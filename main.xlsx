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wanchuan/Documents/PCN/"/>
    </mc:Choice>
  </mc:AlternateContent>
  <xr:revisionPtr revIDLastSave="0" documentId="13_ncr:1_{5E9D1BAF-5197-0949-B4E6-9E2C3BAEA468}" xr6:coauthVersionLast="47" xr6:coauthVersionMax="47" xr10:uidLastSave="{00000000-0000-0000-0000-000000000000}"/>
  <bookViews>
    <workbookView xWindow="0" yWindow="680" windowWidth="29400" windowHeight="18440" tabRatio="754" activeTab="2" xr2:uid="{00000000-000D-0000-FFFF-FFFF00000000}"/>
  </bookViews>
  <sheets>
    <sheet name="PCN Correspondence" sheetId="2" r:id="rId1"/>
    <sheet name="RA index" sheetId="5" r:id="rId2"/>
    <sheet name="snapshot" sheetId="7" r:id="rId3"/>
    <sheet name="PCN upload status" sheetId="3" r:id="rId4"/>
    <sheet name="Aki care" sheetId="4" r:id="rId5"/>
  </sheets>
  <definedNames>
    <definedName name="_xlnm._FilterDatabase" localSheetId="0" hidden="1">'PCN Correspondence'!$A$1:$T$1286</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a="1"/>
  <c r="A2" i="3" a="1"/>
  <c r="B2" i="3" a="1"/>
  <c r="F3" i="3" a="1"/>
  <c r="F2" i="3" s="1" a="1"/>
  <c r="E3" i="3" a="1"/>
  <c r="E2" i="3" s="1" a="1"/>
  <c r="D3" i="3" a="1"/>
  <c r="D2" i="3" s="1" a="1"/>
  <c r="C3" i="3" a="1"/>
  <c r="C2" i="3" s="1" a="1"/>
  <c r="C2" i="2" a="1"/>
  <c r="G2" i="2" s="1"/>
  <c r="C4" i="2" a="1"/>
  <c r="G4" i="2" s="1"/>
  <c r="C5" i="2" a="1"/>
  <c r="G5" i="2" s="1"/>
  <c r="C8" i="2" a="1"/>
  <c r="G8" i="2" s="1"/>
  <c r="C563" i="2" a="1"/>
  <c r="G563" i="2" s="1"/>
  <c r="C11" i="2" a="1"/>
  <c r="G11" i="2" s="1"/>
  <c r="C12" i="2" a="1"/>
  <c r="G12" i="2" s="1"/>
  <c r="C10" i="2" a="1"/>
  <c r="G10" i="2" s="1"/>
  <c r="C6" i="2" a="1"/>
  <c r="G6" i="2" s="1"/>
  <c r="C7" i="2" a="1"/>
  <c r="G7" i="2" s="1"/>
  <c r="C568" i="2" a="1"/>
  <c r="G568" i="2" s="1"/>
  <c r="C9" i="2" a="1"/>
  <c r="G9" i="2" s="1"/>
  <c r="C569" i="2" a="1"/>
  <c r="G569" i="2" s="1"/>
  <c r="C570" i="2" a="1"/>
  <c r="G570" i="2" s="1"/>
  <c r="C13" i="2" a="1"/>
  <c r="G13" i="2" s="1"/>
  <c r="C14" i="2" a="1"/>
  <c r="G14" i="2" s="1"/>
  <c r="C15" i="2" a="1"/>
  <c r="G15" i="2" s="1"/>
  <c r="C3" i="2" a="1"/>
  <c r="G3" i="2" s="1"/>
  <c r="C571" i="2" a="1"/>
  <c r="G571" i="2" s="1"/>
  <c r="C16" i="2" a="1"/>
  <c r="G16" i="2" s="1"/>
  <c r="C572" i="2" a="1"/>
  <c r="G572" i="2" s="1"/>
  <c r="C573" i="2" a="1"/>
  <c r="G573" i="2" s="1"/>
  <c r="C574" i="2" a="1"/>
  <c r="G574" i="2" s="1"/>
  <c r="C20" i="2" a="1"/>
  <c r="G20" i="2" s="1"/>
  <c r="C575" i="2" a="1"/>
  <c r="G575" i="2" s="1"/>
  <c r="C19" i="2" a="1"/>
  <c r="G19" i="2" s="1"/>
  <c r="C576" i="2" a="1"/>
  <c r="G576" i="2" s="1"/>
  <c r="C577" i="2" a="1"/>
  <c r="G577" i="2" s="1"/>
  <c r="C17" i="2" a="1"/>
  <c r="G17" i="2" s="1"/>
  <c r="C18" i="2" a="1"/>
  <c r="G18" i="2" s="1"/>
  <c r="C578" i="2" a="1"/>
  <c r="G578" i="2" s="1"/>
  <c r="C22" i="2" a="1"/>
  <c r="G22" i="2" s="1"/>
  <c r="C23" i="2" a="1"/>
  <c r="G23" i="2" s="1"/>
  <c r="C564" i="2" a="1"/>
  <c r="G564" i="2" s="1"/>
  <c r="C579" i="2" a="1"/>
  <c r="G579" i="2" s="1"/>
  <c r="C21" i="2" a="1"/>
  <c r="G21" i="2" s="1"/>
  <c r="C580" i="2" a="1"/>
  <c r="G580" i="2" s="1"/>
  <c r="C581" i="2" a="1"/>
  <c r="G581" i="2" s="1"/>
  <c r="C582" i="2" a="1"/>
  <c r="G582" i="2" s="1"/>
  <c r="C583" i="2" a="1"/>
  <c r="G583" i="2" s="1"/>
  <c r="C584" i="2" a="1"/>
  <c r="G584" i="2" s="1"/>
  <c r="C25" i="2" a="1"/>
  <c r="G25" i="2" s="1"/>
  <c r="C26" i="2" a="1"/>
  <c r="G26" i="2" s="1"/>
  <c r="C27" i="2" a="1"/>
  <c r="G27" i="2" s="1"/>
  <c r="C585" i="2" a="1"/>
  <c r="G585" i="2" s="1"/>
  <c r="C28" i="2" a="1"/>
  <c r="G28" i="2" s="1"/>
  <c r="C29" i="2" a="1"/>
  <c r="G29" i="2" s="1"/>
  <c r="C586" i="2" a="1"/>
  <c r="G586" i="2" s="1"/>
  <c r="C587" i="2" a="1"/>
  <c r="G587" i="2" s="1"/>
  <c r="C588" i="2" a="1"/>
  <c r="G588" i="2" s="1"/>
  <c r="C33" i="2" a="1"/>
  <c r="G33" i="2" s="1"/>
  <c r="C589" i="2" a="1"/>
  <c r="G589" i="2" s="1"/>
  <c r="C24" i="2" a="1"/>
  <c r="G24" i="2" s="1"/>
  <c r="C30" i="2" a="1"/>
  <c r="G30" i="2" s="1"/>
  <c r="C31" i="2" a="1"/>
  <c r="G31" i="2" s="1"/>
  <c r="C590" i="2" a="1"/>
  <c r="G590" i="2" s="1"/>
  <c r="C34" i="2" a="1"/>
  <c r="G34" i="2" s="1"/>
  <c r="C32" i="2" a="1"/>
  <c r="G32" i="2" s="1"/>
  <c r="C591" i="2" a="1"/>
  <c r="G591" i="2" s="1"/>
  <c r="C592" i="2" a="1"/>
  <c r="G592" i="2" s="1"/>
  <c r="C593" i="2" a="1"/>
  <c r="G593" i="2" s="1"/>
  <c r="C594" i="2" a="1"/>
  <c r="G594" i="2" s="1"/>
  <c r="C595" i="2" a="1"/>
  <c r="G595" i="2" s="1"/>
  <c r="C38" i="2" a="1"/>
  <c r="G38" i="2" s="1"/>
  <c r="C35" i="2" a="1"/>
  <c r="G35" i="2" s="1"/>
  <c r="C37" i="2" a="1"/>
  <c r="G37" i="2" s="1"/>
  <c r="C596" i="2" a="1"/>
  <c r="G596" i="2" s="1"/>
  <c r="C36" i="2" a="1"/>
  <c r="G36" i="2" s="1"/>
  <c r="C597" i="2" a="1"/>
  <c r="G597" i="2" s="1"/>
  <c r="C598" i="2" a="1"/>
  <c r="G598" i="2" s="1"/>
  <c r="C40" i="2" a="1"/>
  <c r="G40" i="2" s="1"/>
  <c r="C599" i="2" a="1"/>
  <c r="G599" i="2" s="1"/>
  <c r="C39" i="2" a="1"/>
  <c r="G39" i="2" s="1"/>
  <c r="C600" i="2" a="1"/>
  <c r="G600" i="2" s="1"/>
  <c r="C601" i="2" a="1"/>
  <c r="G601" i="2" s="1"/>
  <c r="C41" i="2" a="1"/>
  <c r="G41" i="2" s="1"/>
  <c r="C42" i="2" a="1"/>
  <c r="G42" i="2" s="1"/>
  <c r="C602" i="2" a="1"/>
  <c r="G602" i="2" s="1"/>
  <c r="C603" i="2" a="1"/>
  <c r="G603" i="2" s="1"/>
  <c r="C604" i="2" a="1"/>
  <c r="G604" i="2" s="1"/>
  <c r="C605" i="2" a="1"/>
  <c r="G605" i="2" s="1"/>
  <c r="C44" i="2" a="1"/>
  <c r="G44" i="2" s="1"/>
  <c r="C606" i="2" a="1"/>
  <c r="G606" i="2" s="1"/>
  <c r="C607" i="2" a="1"/>
  <c r="G607" i="2" s="1"/>
  <c r="C43" i="2" a="1"/>
  <c r="G43" i="2" s="1"/>
  <c r="C608" i="2" a="1"/>
  <c r="G608" i="2" s="1"/>
  <c r="C45" i="2" a="1"/>
  <c r="G45" i="2" s="1"/>
  <c r="C609" i="2" a="1"/>
  <c r="G609" i="2" s="1"/>
  <c r="C610" i="2" a="1"/>
  <c r="G610" i="2" s="1"/>
  <c r="C46" i="2" a="1"/>
  <c r="G46" i="2" s="1"/>
  <c r="C611" i="2" a="1"/>
  <c r="G611" i="2" s="1"/>
  <c r="C47" i="2" a="1"/>
  <c r="G47" i="2" s="1"/>
  <c r="C612" i="2" a="1"/>
  <c r="G612" i="2" s="1"/>
  <c r="C613" i="2" a="1"/>
  <c r="G613" i="2" s="1"/>
  <c r="C49" i="2" a="1"/>
  <c r="G49" i="2" s="1"/>
  <c r="C565" i="2" a="1"/>
  <c r="G565" i="2" s="1"/>
  <c r="C50" i="2" a="1"/>
  <c r="G50" i="2" s="1"/>
  <c r="C614" i="2" a="1"/>
  <c r="G614" i="2" s="1"/>
  <c r="C48" i="2" a="1"/>
  <c r="G48" i="2" s="1"/>
  <c r="C615" i="2" a="1"/>
  <c r="G615" i="2" s="1"/>
  <c r="C616" i="2" a="1"/>
  <c r="G616" i="2" s="1"/>
  <c r="C53" i="2" a="1"/>
  <c r="G53" i="2" s="1"/>
  <c r="C54" i="2" a="1"/>
  <c r="G54" i="2" s="1"/>
  <c r="C617" i="2" a="1"/>
  <c r="G617" i="2" s="1"/>
  <c r="C55" i="2" a="1"/>
  <c r="G55" i="2" s="1"/>
  <c r="C56" i="2" a="1"/>
  <c r="G56" i="2" s="1"/>
  <c r="C57" i="2" a="1"/>
  <c r="G57" i="2" s="1"/>
  <c r="C51" i="2" a="1"/>
  <c r="G51" i="2" s="1"/>
  <c r="C52" i="2" a="1"/>
  <c r="G52" i="2" s="1"/>
  <c r="C618" i="2" a="1"/>
  <c r="G618" i="2" s="1"/>
  <c r="C619" i="2" a="1"/>
  <c r="G619" i="2" s="1"/>
  <c r="C620" i="2" a="1"/>
  <c r="G620" i="2" s="1"/>
  <c r="C621" i="2" a="1"/>
  <c r="G621" i="2" s="1"/>
  <c r="C622" i="2" a="1"/>
  <c r="G622" i="2" s="1"/>
  <c r="C623" i="2" a="1"/>
  <c r="G623" i="2" s="1"/>
  <c r="C624" i="2" a="1"/>
  <c r="G624" i="2" s="1"/>
  <c r="C625" i="2" a="1"/>
  <c r="G625" i="2" s="1"/>
  <c r="C626" i="2" a="1"/>
  <c r="G626" i="2" s="1"/>
  <c r="C627" i="2" a="1"/>
  <c r="G627" i="2" s="1"/>
  <c r="C628" i="2" a="1"/>
  <c r="G628" i="2" s="1"/>
  <c r="C58" i="2" a="1"/>
  <c r="G58" i="2" s="1"/>
  <c r="C59" i="2" a="1"/>
  <c r="G59" i="2" s="1"/>
  <c r="C60" i="2" a="1"/>
  <c r="G60" i="2" s="1"/>
  <c r="C61" i="2" a="1"/>
  <c r="G61" i="2" s="1"/>
  <c r="C63" i="2" a="1"/>
  <c r="G63" i="2" s="1"/>
  <c r="C62" i="2" a="1"/>
  <c r="G62" i="2" s="1"/>
  <c r="C629" i="2" a="1"/>
  <c r="G629" i="2" s="1"/>
  <c r="C630" i="2" a="1"/>
  <c r="G630" i="2" s="1"/>
  <c r="C64" i="2" a="1"/>
  <c r="G64" i="2" s="1"/>
  <c r="C631" i="2" a="1"/>
  <c r="G631" i="2" s="1"/>
  <c r="C632" i="2" a="1"/>
  <c r="G632" i="2" s="1"/>
  <c r="C633" i="2" a="1"/>
  <c r="G633" i="2" s="1"/>
  <c r="C65" i="2" a="1"/>
  <c r="G65" i="2" s="1"/>
  <c r="C634" i="2" a="1"/>
  <c r="G634" i="2" s="1"/>
  <c r="C635" i="2" a="1"/>
  <c r="G635" i="2" s="1"/>
  <c r="C636" i="2" a="1"/>
  <c r="G636" i="2" s="1"/>
  <c r="C637" i="2" a="1"/>
  <c r="G637" i="2" s="1"/>
  <c r="C66" i="2" a="1"/>
  <c r="G66" i="2" s="1"/>
  <c r="C67" i="2" a="1"/>
  <c r="G67" i="2" s="1"/>
  <c r="C638" i="2" a="1"/>
  <c r="G638" i="2" s="1"/>
  <c r="C639" i="2" a="1"/>
  <c r="G639" i="2" s="1"/>
  <c r="C640" i="2" a="1"/>
  <c r="G640" i="2" s="1"/>
  <c r="C641" i="2" a="1"/>
  <c r="G641" i="2" s="1"/>
  <c r="C76" i="2" a="1"/>
  <c r="G76" i="2" s="1"/>
  <c r="C77" i="2" a="1"/>
  <c r="G77" i="2" s="1"/>
  <c r="C642" i="2" a="1"/>
  <c r="G642" i="2" s="1"/>
  <c r="C68" i="2" a="1"/>
  <c r="G68" i="2" s="1"/>
  <c r="C69" i="2" a="1"/>
  <c r="G69" i="2" s="1"/>
  <c r="C70" i="2" a="1"/>
  <c r="G70" i="2" s="1"/>
  <c r="C72" i="2" a="1"/>
  <c r="G72" i="2" s="1"/>
  <c r="C73" i="2" a="1"/>
  <c r="G73" i="2" s="1"/>
  <c r="C71" i="2" a="1"/>
  <c r="G71" i="2" s="1"/>
  <c r="C75" i="2" a="1"/>
  <c r="G75" i="2" s="1"/>
  <c r="C643" i="2" a="1"/>
  <c r="G643" i="2" s="1"/>
  <c r="C644" i="2" a="1"/>
  <c r="G644" i="2" s="1"/>
  <c r="C74" i="2" a="1"/>
  <c r="G74" i="2" s="1"/>
  <c r="C645" i="2" a="1"/>
  <c r="G645" i="2" s="1"/>
  <c r="C78" i="2" a="1"/>
  <c r="G78" i="2" s="1"/>
  <c r="C646" i="2" a="1"/>
  <c r="G646" i="2" s="1"/>
  <c r="C647" i="2" a="1"/>
  <c r="G647" i="2" s="1"/>
  <c r="C79" i="2" a="1"/>
  <c r="G79" i="2" s="1"/>
  <c r="C80" i="2" a="1"/>
  <c r="G80" i="2" s="1"/>
  <c r="C82" i="2" a="1"/>
  <c r="G82" i="2" s="1"/>
  <c r="C648" i="2" a="1"/>
  <c r="G648" i="2" s="1"/>
  <c r="C649" i="2" a="1"/>
  <c r="G649" i="2" s="1"/>
  <c r="C81" i="2" a="1"/>
  <c r="G81" i="2" s="1"/>
  <c r="C650" i="2" a="1"/>
  <c r="G650" i="2" s="1"/>
  <c r="C651" i="2" a="1"/>
  <c r="G651" i="2" s="1"/>
  <c r="C652" i="2" a="1"/>
  <c r="G652" i="2" s="1"/>
  <c r="C83" i="2" a="1"/>
  <c r="G83" i="2" s="1"/>
  <c r="C84" i="2" a="1"/>
  <c r="G84" i="2" s="1"/>
  <c r="C85" i="2" a="1"/>
  <c r="G85" i="2" s="1"/>
  <c r="C86" i="2" a="1"/>
  <c r="G86" i="2" s="1"/>
  <c r="C653" i="2" a="1"/>
  <c r="G653" i="2" s="1"/>
  <c r="C87" i="2" a="1"/>
  <c r="G87" i="2" s="1"/>
  <c r="C88" i="2" a="1"/>
  <c r="G88" i="2" s="1"/>
  <c r="C654" i="2" a="1"/>
  <c r="G654" i="2" s="1"/>
  <c r="C655" i="2" a="1"/>
  <c r="G655" i="2" s="1"/>
  <c r="C656" i="2" a="1"/>
  <c r="G656" i="2" s="1"/>
  <c r="C90" i="2" a="1"/>
  <c r="G90" i="2" s="1"/>
  <c r="C92" i="2" a="1"/>
  <c r="G92" i="2" s="1"/>
  <c r="C91" i="2" a="1"/>
  <c r="G91" i="2" s="1"/>
  <c r="C89" i="2" a="1"/>
  <c r="G89" i="2" s="1"/>
  <c r="C657" i="2" a="1"/>
  <c r="G657" i="2" s="1"/>
  <c r="C658" i="2" a="1"/>
  <c r="G658" i="2" s="1"/>
  <c r="C659" i="2" a="1"/>
  <c r="G659" i="2" s="1"/>
  <c r="C93" i="2" a="1"/>
  <c r="G93" i="2" s="1"/>
  <c r="C660" i="2" a="1"/>
  <c r="G660" i="2" s="1"/>
  <c r="C661" i="2" a="1"/>
  <c r="G661" i="2" s="1"/>
  <c r="C95" i="2" a="1"/>
  <c r="G95" i="2" s="1"/>
  <c r="C96" i="2" a="1"/>
  <c r="G96" i="2" s="1"/>
  <c r="C662" i="2" a="1"/>
  <c r="G662" i="2" s="1"/>
  <c r="C94" i="2" a="1"/>
  <c r="G94" i="2" s="1"/>
  <c r="C97" i="2" a="1"/>
  <c r="G97" i="2" s="1"/>
  <c r="C99" i="2" a="1"/>
  <c r="G99" i="2" s="1"/>
  <c r="C98" i="2" a="1"/>
  <c r="G98" i="2" s="1"/>
  <c r="C663" i="2" a="1"/>
  <c r="G663" i="2" s="1"/>
  <c r="C664" i="2" a="1"/>
  <c r="G664" i="2" s="1"/>
  <c r="C665" i="2" a="1"/>
  <c r="G665" i="2" s="1"/>
  <c r="C666" i="2" a="1"/>
  <c r="G666" i="2" s="1"/>
  <c r="C100" i="2" a="1"/>
  <c r="G100" i="2" s="1"/>
  <c r="C667" i="2" a="1"/>
  <c r="G667" i="2" s="1"/>
  <c r="C668" i="2" a="1"/>
  <c r="G668" i="2" s="1"/>
  <c r="C669" i="2" a="1"/>
  <c r="G669" i="2" s="1"/>
  <c r="C670" i="2" a="1"/>
  <c r="G670" i="2" s="1"/>
  <c r="C671" i="2" a="1"/>
  <c r="G671" i="2" s="1"/>
  <c r="C103" i="2" a="1"/>
  <c r="G103" i="2" s="1"/>
  <c r="C102" i="2" a="1"/>
  <c r="G102" i="2" s="1"/>
  <c r="C672" i="2" a="1"/>
  <c r="G672" i="2" s="1"/>
  <c r="C673" i="2" a="1"/>
  <c r="G673" i="2" s="1"/>
  <c r="C674" i="2" a="1"/>
  <c r="G674" i="2" s="1"/>
  <c r="C101" i="2" a="1"/>
  <c r="G101" i="2" s="1"/>
  <c r="C675" i="2" a="1"/>
  <c r="G675" i="2" s="1"/>
  <c r="C676" i="2" a="1"/>
  <c r="G676" i="2" s="1"/>
  <c r="C677" i="2" a="1"/>
  <c r="G677" i="2" s="1"/>
  <c r="C678" i="2" a="1"/>
  <c r="G678" i="2" s="1"/>
  <c r="C104" i="2" a="1"/>
  <c r="G104" i="2" s="1"/>
  <c r="C679" i="2" a="1"/>
  <c r="G679" i="2" s="1"/>
  <c r="C680" i="2" a="1"/>
  <c r="G680" i="2" s="1"/>
  <c r="C105" i="2" a="1"/>
  <c r="G105" i="2" s="1"/>
  <c r="C681" i="2" a="1"/>
  <c r="G681" i="2" s="1"/>
  <c r="C682" i="2" a="1"/>
  <c r="G682" i="2" s="1"/>
  <c r="C683" i="2" a="1"/>
  <c r="G683" i="2" s="1"/>
  <c r="C684" i="2" a="1"/>
  <c r="G684" i="2" s="1"/>
  <c r="C685" i="2" a="1"/>
  <c r="G685" i="2" s="1"/>
  <c r="C106" i="2" a="1"/>
  <c r="G106" i="2" s="1"/>
  <c r="C686" i="2" a="1"/>
  <c r="G686" i="2" s="1"/>
  <c r="C107" i="2" a="1"/>
  <c r="G107" i="2" s="1"/>
  <c r="C687" i="2" a="1"/>
  <c r="G687" i="2" s="1"/>
  <c r="C109" i="2" a="1"/>
  <c r="G109" i="2" s="1"/>
  <c r="C688" i="2" a="1"/>
  <c r="G688" i="2" s="1"/>
  <c r="C689" i="2" a="1"/>
  <c r="G689" i="2" s="1"/>
  <c r="C108" i="2" a="1"/>
  <c r="G108" i="2" s="1"/>
  <c r="C112" i="2" a="1"/>
  <c r="G112" i="2" s="1"/>
  <c r="C690" i="2" a="1"/>
  <c r="G690" i="2" s="1"/>
  <c r="C111" i="2" a="1"/>
  <c r="G111" i="2" s="1"/>
  <c r="C691" i="2" a="1"/>
  <c r="G691" i="2" s="1"/>
  <c r="C692" i="2" a="1"/>
  <c r="G692" i="2" s="1"/>
  <c r="C110" i="2" a="1"/>
  <c r="G110" i="2" s="1"/>
  <c r="C113" i="2" a="1"/>
  <c r="G113" i="2" s="1"/>
  <c r="C114" i="2" a="1"/>
  <c r="G114" i="2" s="1"/>
  <c r="C693" i="2" a="1"/>
  <c r="G693" i="2" s="1"/>
  <c r="C115" i="2" a="1"/>
  <c r="G115" i="2" s="1"/>
  <c r="C694" i="2" a="1"/>
  <c r="G694" i="2" s="1"/>
  <c r="C695" i="2" a="1"/>
  <c r="G695" i="2" s="1"/>
  <c r="C696" i="2" a="1"/>
  <c r="G696" i="2" s="1"/>
  <c r="C697" i="2" a="1"/>
  <c r="G697" i="2" s="1"/>
  <c r="C119" i="2" a="1"/>
  <c r="G119" i="2" s="1"/>
  <c r="C698" i="2" a="1"/>
  <c r="G698" i="2" s="1"/>
  <c r="C699" i="2" a="1"/>
  <c r="G699" i="2" s="1"/>
  <c r="C118" i="2" a="1"/>
  <c r="G118" i="2" s="1"/>
  <c r="C117" i="2" a="1"/>
  <c r="G117" i="2" s="1"/>
  <c r="C116" i="2" a="1"/>
  <c r="G116" i="2" s="1"/>
  <c r="C700" i="2" a="1"/>
  <c r="G700" i="2" s="1"/>
  <c r="C122" i="2" a="1"/>
  <c r="G122" i="2" s="1"/>
  <c r="C701" i="2" a="1"/>
  <c r="G701" i="2" s="1"/>
  <c r="C702" i="2" a="1"/>
  <c r="G702" i="2" s="1"/>
  <c r="C703" i="2" a="1"/>
  <c r="G703" i="2" s="1"/>
  <c r="C123" i="2" a="1"/>
  <c r="G123" i="2" s="1"/>
  <c r="C704" i="2" a="1"/>
  <c r="G704" i="2" s="1"/>
  <c r="C705" i="2" a="1"/>
  <c r="G705" i="2" s="1"/>
  <c r="C124" i="2" a="1"/>
  <c r="G124" i="2" s="1"/>
  <c r="C706" i="2" a="1"/>
  <c r="G706" i="2" s="1"/>
  <c r="C707" i="2" a="1"/>
  <c r="G707" i="2" s="1"/>
  <c r="C708" i="2" a="1"/>
  <c r="G708" i="2" s="1"/>
  <c r="C709" i="2" a="1"/>
  <c r="G709" i="2" s="1"/>
  <c r="C710" i="2" a="1"/>
  <c r="G710" i="2" s="1"/>
  <c r="C711" i="2" a="1"/>
  <c r="G711" i="2" s="1"/>
  <c r="C126" i="2" a="1"/>
  <c r="G126" i="2" s="1"/>
  <c r="C128" i="2" a="1"/>
  <c r="G128" i="2" s="1"/>
  <c r="C127" i="2" a="1"/>
  <c r="G127" i="2" s="1"/>
  <c r="C130" i="2" a="1"/>
  <c r="G130" i="2" s="1"/>
  <c r="C712" i="2" a="1"/>
  <c r="G712" i="2" s="1"/>
  <c r="C125" i="2" a="1"/>
  <c r="G125" i="2" s="1"/>
  <c r="C131" i="2" a="1"/>
  <c r="G131" i="2" s="1"/>
  <c r="C134" i="2" a="1"/>
  <c r="G134" i="2" s="1"/>
  <c r="C713" i="2" a="1"/>
  <c r="G713" i="2" s="1"/>
  <c r="C120" i="2" a="1"/>
  <c r="G120" i="2" s="1"/>
  <c r="C121" i="2" a="1"/>
  <c r="G121" i="2" s="1"/>
  <c r="C132" i="2" a="1"/>
  <c r="G132" i="2" s="1"/>
  <c r="C133" i="2" a="1"/>
  <c r="G133" i="2" s="1"/>
  <c r="C714" i="2" a="1"/>
  <c r="G714" i="2" s="1"/>
  <c r="C135" i="2" a="1"/>
  <c r="G135" i="2" s="1"/>
  <c r="C129" i="2" a="1"/>
  <c r="G129" i="2" s="1"/>
  <c r="C138" i="2" a="1"/>
  <c r="G138" i="2" s="1"/>
  <c r="C139" i="2" a="1"/>
  <c r="G139" i="2" s="1"/>
  <c r="C137" i="2" a="1"/>
  <c r="G137" i="2" s="1"/>
  <c r="C715" i="2" a="1"/>
  <c r="G715" i="2" s="1"/>
  <c r="C142" i="2" a="1"/>
  <c r="G142" i="2" s="1"/>
  <c r="C136" i="2" a="1"/>
  <c r="G136" i="2" s="1"/>
  <c r="C716" i="2" a="1"/>
  <c r="G716" i="2" s="1"/>
  <c r="C145" i="2" a="1"/>
  <c r="G145" i="2" s="1"/>
  <c r="C717" i="2" a="1"/>
  <c r="G717" i="2" s="1"/>
  <c r="C718" i="2" a="1"/>
  <c r="G718" i="2" s="1"/>
  <c r="C719" i="2" a="1"/>
  <c r="G719" i="2" s="1"/>
  <c r="C720" i="2" a="1"/>
  <c r="G720" i="2" s="1"/>
  <c r="C721" i="2" a="1"/>
  <c r="G721" i="2" s="1"/>
  <c r="C141" i="2" a="1"/>
  <c r="G141" i="2" s="1"/>
  <c r="C722" i="2" a="1"/>
  <c r="G722" i="2" s="1"/>
  <c r="C140" i="2" a="1"/>
  <c r="G140" i="2" s="1"/>
  <c r="C723" i="2" a="1"/>
  <c r="G723" i="2" s="1"/>
  <c r="C144" i="2" a="1"/>
  <c r="G144" i="2" s="1"/>
  <c r="C724" i="2" a="1"/>
  <c r="G724" i="2" s="1"/>
  <c r="C725" i="2" a="1"/>
  <c r="G725" i="2" s="1"/>
  <c r="C726" i="2" a="1"/>
  <c r="G726" i="2" s="1"/>
  <c r="C727" i="2" a="1"/>
  <c r="G727" i="2" s="1"/>
  <c r="C728" i="2" a="1"/>
  <c r="G728" i="2" s="1"/>
  <c r="C143" i="2" a="1"/>
  <c r="G143" i="2" s="1"/>
  <c r="C146" i="2" a="1"/>
  <c r="G146" i="2" s="1"/>
  <c r="C729" i="2" a="1"/>
  <c r="G729" i="2" s="1"/>
  <c r="C147" i="2" a="1"/>
  <c r="G147" i="2" s="1"/>
  <c r="C730" i="2" a="1"/>
  <c r="G730" i="2" s="1"/>
  <c r="C731" i="2" a="1"/>
  <c r="G731" i="2" s="1"/>
  <c r="C732" i="2" a="1"/>
  <c r="G732" i="2" s="1"/>
  <c r="C149" i="2" a="1"/>
  <c r="G149" i="2" s="1"/>
  <c r="C148" i="2" a="1"/>
  <c r="G148" i="2" s="1"/>
  <c r="C733" i="2" a="1"/>
  <c r="G733" i="2" s="1"/>
  <c r="C734" i="2" a="1"/>
  <c r="G734" i="2" s="1"/>
  <c r="C735" i="2" a="1"/>
  <c r="G735" i="2" s="1"/>
  <c r="C736" i="2" a="1"/>
  <c r="G736" i="2" s="1"/>
  <c r="C737" i="2" a="1"/>
  <c r="G737" i="2" s="1"/>
  <c r="C738" i="2" a="1"/>
  <c r="G738" i="2" s="1"/>
  <c r="C739" i="2" a="1"/>
  <c r="G739" i="2" s="1"/>
  <c r="C740" i="2" a="1"/>
  <c r="G740" i="2" s="1"/>
  <c r="C741" i="2" a="1"/>
  <c r="G741" i="2" s="1"/>
  <c r="C742" i="2" a="1"/>
  <c r="G742" i="2" s="1"/>
  <c r="C153" i="2" a="1"/>
  <c r="G153" i="2" s="1"/>
  <c r="C150" i="2" a="1"/>
  <c r="G150" i="2" s="1"/>
  <c r="C154" i="2" a="1"/>
  <c r="G154" i="2" s="1"/>
  <c r="C152" i="2" a="1"/>
  <c r="G152" i="2" s="1"/>
  <c r="C151" i="2" a="1"/>
  <c r="G151" i="2" s="1"/>
  <c r="C743" i="2" a="1"/>
  <c r="G743" i="2" s="1"/>
  <c r="C744" i="2" a="1"/>
  <c r="G744" i="2" s="1"/>
  <c r="C155" i="2" a="1"/>
  <c r="G155" i="2" s="1"/>
  <c r="C745" i="2" a="1"/>
  <c r="G745" i="2" s="1"/>
  <c r="C156" i="2" a="1"/>
  <c r="G156" i="2" s="1"/>
  <c r="C157" i="2" a="1"/>
  <c r="G157" i="2" s="1"/>
  <c r="C746" i="2" a="1"/>
  <c r="G746" i="2" s="1"/>
  <c r="C747" i="2" a="1"/>
  <c r="G747" i="2" s="1"/>
  <c r="C158" i="2" a="1"/>
  <c r="G158" i="2" s="1"/>
  <c r="C161" i="2" a="1"/>
  <c r="G161" i="2" s="1"/>
  <c r="C748" i="2" a="1"/>
  <c r="G748" i="2" s="1"/>
  <c r="C159" i="2" a="1"/>
  <c r="G159" i="2" s="1"/>
  <c r="C160" i="2" a="1"/>
  <c r="G160" i="2" s="1"/>
  <c r="C749" i="2" a="1"/>
  <c r="G749" i="2" s="1"/>
  <c r="C750" i="2" a="1"/>
  <c r="G750" i="2" s="1"/>
  <c r="C751" i="2" a="1"/>
  <c r="G751" i="2" s="1"/>
  <c r="C164" i="2" a="1"/>
  <c r="G164" i="2" s="1"/>
  <c r="C163" i="2" a="1"/>
  <c r="G163" i="2" s="1"/>
  <c r="C162" i="2" a="1"/>
  <c r="G162" i="2" s="1"/>
  <c r="C752" i="2" a="1"/>
  <c r="G752" i="2" s="1"/>
  <c r="C753" i="2" a="1"/>
  <c r="G753" i="2" s="1"/>
  <c r="C165" i="2" a="1"/>
  <c r="G165" i="2" s="1"/>
  <c r="C166" i="2" a="1"/>
  <c r="G166" i="2" s="1"/>
  <c r="C167" i="2" a="1"/>
  <c r="G167" i="2" s="1"/>
  <c r="C754" i="2" a="1"/>
  <c r="G754" i="2" s="1"/>
  <c r="C755" i="2" a="1"/>
  <c r="G755" i="2" s="1"/>
  <c r="C756" i="2" a="1"/>
  <c r="G756" i="2" s="1"/>
  <c r="C757" i="2" a="1"/>
  <c r="G757" i="2" s="1"/>
  <c r="C758" i="2" a="1"/>
  <c r="G758" i="2" s="1"/>
  <c r="C759" i="2" a="1"/>
  <c r="G759" i="2" s="1"/>
  <c r="C169" i="2" a="1"/>
  <c r="G169" i="2" s="1"/>
  <c r="C168" i="2" a="1"/>
  <c r="G168" i="2" s="1"/>
  <c r="C760" i="2" a="1"/>
  <c r="G760" i="2" s="1"/>
  <c r="C761" i="2" a="1"/>
  <c r="G761" i="2" s="1"/>
  <c r="C762" i="2" a="1"/>
  <c r="G762" i="2" s="1"/>
  <c r="C763" i="2" a="1"/>
  <c r="G763" i="2" s="1"/>
  <c r="C170" i="2" a="1"/>
  <c r="G170" i="2" s="1"/>
  <c r="C764" i="2" a="1"/>
  <c r="G764" i="2" s="1"/>
  <c r="C175" i="2" a="1"/>
  <c r="G175" i="2" s="1"/>
  <c r="C171" i="2" a="1"/>
  <c r="G171" i="2" s="1"/>
  <c r="C172" i="2" a="1"/>
  <c r="G172" i="2" s="1"/>
  <c r="C174" i="2" a="1"/>
  <c r="G174" i="2" s="1"/>
  <c r="C173" i="2" a="1"/>
  <c r="G173" i="2" s="1"/>
  <c r="C765" i="2" a="1"/>
  <c r="G765" i="2" s="1"/>
  <c r="C766" i="2" a="1"/>
  <c r="G766" i="2" s="1"/>
  <c r="C767" i="2" a="1"/>
  <c r="G767" i="2" s="1"/>
  <c r="C768" i="2" a="1"/>
  <c r="G768" i="2" s="1"/>
  <c r="C177" i="2" a="1"/>
  <c r="G177" i="2" s="1"/>
  <c r="C178" i="2" a="1"/>
  <c r="G178" i="2" s="1"/>
  <c r="C769" i="2" a="1"/>
  <c r="G769" i="2" s="1"/>
  <c r="C770" i="2" a="1"/>
  <c r="G770" i="2" s="1"/>
  <c r="C179" i="2" a="1"/>
  <c r="G179" i="2" s="1"/>
  <c r="C176" i="2" a="1"/>
  <c r="G176" i="2" s="1"/>
  <c r="C771" i="2" a="1"/>
  <c r="G771" i="2" s="1"/>
  <c r="C180" i="2" a="1"/>
  <c r="G180" i="2" s="1"/>
  <c r="C181" i="2" a="1"/>
  <c r="G181" i="2" s="1"/>
  <c r="C182" i="2" a="1"/>
  <c r="G182" i="2" s="1"/>
  <c r="C183" i="2" a="1"/>
  <c r="G183" i="2" s="1"/>
  <c r="C184" i="2" a="1"/>
  <c r="G184" i="2" s="1"/>
  <c r="C772" i="2" a="1"/>
  <c r="G772" i="2" s="1"/>
  <c r="C773" i="2" a="1"/>
  <c r="G773" i="2" s="1"/>
  <c r="C185" i="2" a="1"/>
  <c r="G185" i="2" s="1"/>
  <c r="C774" i="2" a="1"/>
  <c r="G774" i="2" s="1"/>
  <c r="C192" i="2" a="1"/>
  <c r="G192" i="2" s="1"/>
  <c r="C193" i="2" a="1"/>
  <c r="G193" i="2" s="1"/>
  <c r="C775" i="2" a="1"/>
  <c r="G775" i="2" s="1"/>
  <c r="C776" i="2" a="1"/>
  <c r="G776" i="2" s="1"/>
  <c r="C191" i="2" a="1"/>
  <c r="G191" i="2" s="1"/>
  <c r="C194" i="2" a="1"/>
  <c r="G194" i="2" s="1"/>
  <c r="C195" i="2" a="1"/>
  <c r="G195" i="2" s="1"/>
  <c r="C196" i="2" a="1"/>
  <c r="G196" i="2" s="1"/>
  <c r="C189" i="2" a="1"/>
  <c r="G189" i="2" s="1"/>
  <c r="C777" i="2" a="1"/>
  <c r="G777" i="2" s="1"/>
  <c r="C186" i="2" a="1"/>
  <c r="G186" i="2" s="1"/>
  <c r="C190" i="2" a="1"/>
  <c r="G190" i="2" s="1"/>
  <c r="C187" i="2" a="1"/>
  <c r="G187" i="2" s="1"/>
  <c r="C778" i="2" a="1"/>
  <c r="G778" i="2" s="1"/>
  <c r="C779" i="2" a="1"/>
  <c r="G779" i="2" s="1"/>
  <c r="C188" i="2" a="1"/>
  <c r="G188" i="2" s="1"/>
  <c r="C780" i="2" a="1"/>
  <c r="G780" i="2" s="1"/>
  <c r="C781" i="2" a="1"/>
  <c r="G781" i="2" s="1"/>
  <c r="C199" i="2" a="1"/>
  <c r="G199" i="2" s="1"/>
  <c r="C782" i="2" a="1"/>
  <c r="G782" i="2" s="1"/>
  <c r="C783" i="2" a="1"/>
  <c r="G783" i="2" s="1"/>
  <c r="C200" i="2" a="1"/>
  <c r="G200" i="2" s="1"/>
  <c r="C784" i="2" a="1"/>
  <c r="G784" i="2" s="1"/>
  <c r="C201" i="2" a="1"/>
  <c r="G201" i="2" s="1"/>
  <c r="C198" i="2" a="1"/>
  <c r="G198" i="2" s="1"/>
  <c r="C197" i="2" a="1"/>
  <c r="G197" i="2" s="1"/>
  <c r="C203" i="2" a="1"/>
  <c r="G203" i="2" s="1"/>
  <c r="C785" i="2" a="1"/>
  <c r="G785" i="2" s="1"/>
  <c r="C786" i="2" a="1"/>
  <c r="G786" i="2" s="1"/>
  <c r="C787" i="2" a="1"/>
  <c r="G787" i="2" s="1"/>
  <c r="C204" i="2" a="1"/>
  <c r="G204" i="2" s="1"/>
  <c r="C788" i="2" a="1"/>
  <c r="G788" i="2" s="1"/>
  <c r="C205" i="2" a="1"/>
  <c r="G205" i="2" s="1"/>
  <c r="C789" i="2" a="1"/>
  <c r="G789" i="2" s="1"/>
  <c r="C206" i="2" a="1"/>
  <c r="G206" i="2" s="1"/>
  <c r="C207" i="2" a="1"/>
  <c r="G207" i="2" s="1"/>
  <c r="C790" i="2" a="1"/>
  <c r="G790" i="2" s="1"/>
  <c r="C202" i="2" a="1"/>
  <c r="G202" i="2" s="1"/>
  <c r="C791" i="2" a="1"/>
  <c r="G791" i="2" s="1"/>
  <c r="C208" i="2" a="1"/>
  <c r="G208" i="2" s="1"/>
  <c r="C792" i="2" a="1"/>
  <c r="G792" i="2" s="1"/>
  <c r="C209" i="2" a="1"/>
  <c r="G209" i="2" s="1"/>
  <c r="C210" i="2" a="1"/>
  <c r="G210" i="2" s="1"/>
  <c r="C212" i="2" a="1"/>
  <c r="G212" i="2" s="1"/>
  <c r="C793" i="2" a="1"/>
  <c r="G793" i="2" s="1"/>
  <c r="C213" i="2" a="1"/>
  <c r="G213" i="2" s="1"/>
  <c r="C214" i="2" a="1"/>
  <c r="G214" i="2" s="1"/>
  <c r="C216" i="2" a="1"/>
  <c r="G216" i="2" s="1"/>
  <c r="C794" i="2" a="1"/>
  <c r="G794" i="2" s="1"/>
  <c r="C215" i="2" a="1"/>
  <c r="G215" i="2" s="1"/>
  <c r="C217" i="2" a="1"/>
  <c r="G217" i="2" s="1"/>
  <c r="C219" i="2" a="1"/>
  <c r="G219" i="2" s="1"/>
  <c r="C566" i="2" a="1"/>
  <c r="G566" i="2" s="1"/>
  <c r="C218" i="2" a="1"/>
  <c r="G218" i="2" s="1"/>
  <c r="C795" i="2" a="1"/>
  <c r="G795" i="2" s="1"/>
  <c r="C796" i="2" a="1"/>
  <c r="G796" i="2" s="1"/>
  <c r="C221" i="2" a="1"/>
  <c r="G221" i="2" s="1"/>
  <c r="C797" i="2" a="1"/>
  <c r="G797" i="2" s="1"/>
  <c r="C220" i="2" a="1"/>
  <c r="G220" i="2" s="1"/>
  <c r="C222" i="2" a="1"/>
  <c r="G222" i="2" s="1"/>
  <c r="C223" i="2" a="1"/>
  <c r="G223" i="2" s="1"/>
  <c r="C798" i="2" a="1"/>
  <c r="G798" i="2" s="1"/>
  <c r="C211" i="2" a="1"/>
  <c r="G211" i="2" s="1"/>
  <c r="C799" i="2" a="1"/>
  <c r="G799" i="2" s="1"/>
  <c r="C800" i="2" a="1"/>
  <c r="G800" i="2" s="1"/>
  <c r="C801" i="2" a="1"/>
  <c r="G801" i="2" s="1"/>
  <c r="C802" i="2" a="1"/>
  <c r="G802" i="2" s="1"/>
  <c r="C224" i="2" a="1"/>
  <c r="G224" i="2" s="1"/>
  <c r="C803" i="2" a="1"/>
  <c r="G803" i="2" s="1"/>
  <c r="C804" i="2" a="1"/>
  <c r="G804" i="2" s="1"/>
  <c r="C225" i="2" a="1"/>
  <c r="G225" i="2" s="1"/>
  <c r="C226" i="2" a="1"/>
  <c r="G226" i="2" s="1"/>
  <c r="C227" i="2" a="1"/>
  <c r="G227" i="2" s="1"/>
  <c r="C228" i="2" a="1"/>
  <c r="G228" i="2" s="1"/>
  <c r="C805" i="2" a="1"/>
  <c r="G805" i="2" s="1"/>
  <c r="C229" i="2" a="1"/>
  <c r="G229" i="2" s="1"/>
  <c r="C806" i="2" a="1"/>
  <c r="G806" i="2" s="1"/>
  <c r="C807" i="2" a="1"/>
  <c r="G807" i="2" s="1"/>
  <c r="C230" i="2" a="1"/>
  <c r="G230" i="2" s="1"/>
  <c r="C808" i="2" a="1"/>
  <c r="G808" i="2" s="1"/>
  <c r="C809" i="2" a="1"/>
  <c r="G809" i="2" s="1"/>
  <c r="C233" i="2" a="1"/>
  <c r="G233" i="2" s="1"/>
  <c r="C234" i="2" a="1"/>
  <c r="G234" i="2" s="1"/>
  <c r="C235" i="2" a="1"/>
  <c r="G235" i="2" s="1"/>
  <c r="C231" i="2" a="1"/>
  <c r="G231" i="2" s="1"/>
  <c r="C232" i="2" a="1"/>
  <c r="G232" i="2" s="1"/>
  <c r="C810" i="2" a="1"/>
  <c r="G810" i="2" s="1"/>
  <c r="C811" i="2" a="1"/>
  <c r="G811" i="2" s="1"/>
  <c r="C812" i="2" a="1"/>
  <c r="G812" i="2" s="1"/>
  <c r="C813" i="2" a="1"/>
  <c r="G813" i="2" s="1"/>
  <c r="C236" i="2" a="1"/>
  <c r="G236" i="2" s="1"/>
  <c r="C237" i="2" a="1"/>
  <c r="G237" i="2" s="1"/>
  <c r="C238" i="2" a="1"/>
  <c r="G238" i="2" s="1"/>
  <c r="C814" i="2" a="1"/>
  <c r="G814" i="2" s="1"/>
  <c r="C239" i="2" a="1"/>
  <c r="G239" i="2" s="1"/>
  <c r="C240" i="2" a="1"/>
  <c r="G240" i="2" s="1"/>
  <c r="C815" i="2" a="1"/>
  <c r="G815" i="2" s="1"/>
  <c r="C241" i="2" a="1"/>
  <c r="G241" i="2" s="1"/>
  <c r="C242" i="2" a="1"/>
  <c r="G242" i="2" s="1"/>
  <c r="C816" i="2" a="1"/>
  <c r="G816" i="2" s="1"/>
  <c r="C243" i="2" a="1"/>
  <c r="G243" i="2" s="1"/>
  <c r="C245" i="2" a="1"/>
  <c r="G245" i="2" s="1"/>
  <c r="C244" i="2" a="1"/>
  <c r="G244" i="2" s="1"/>
  <c r="C246" i="2" a="1"/>
  <c r="G246" i="2" s="1"/>
  <c r="C252" i="2" a="1"/>
  <c r="G252" i="2" s="1"/>
  <c r="C248" i="2" a="1"/>
  <c r="G248" i="2" s="1"/>
  <c r="C253" i="2" a="1"/>
  <c r="G253" i="2" s="1"/>
  <c r="C817" i="2" a="1"/>
  <c r="G817" i="2" s="1"/>
  <c r="C818" i="2" a="1"/>
  <c r="G818" i="2" s="1"/>
  <c r="C249" i="2" a="1"/>
  <c r="G249" i="2" s="1"/>
  <c r="C819" i="2" a="1"/>
  <c r="G819" i="2" s="1"/>
  <c r="C820" i="2" a="1"/>
  <c r="G820" i="2" s="1"/>
  <c r="C821" i="2" a="1"/>
  <c r="G821" i="2" s="1"/>
  <c r="C251" i="2" a="1"/>
  <c r="G251" i="2" s="1"/>
  <c r="C250" i="2" a="1"/>
  <c r="G250" i="2" s="1"/>
  <c r="C822" i="2" a="1"/>
  <c r="G822" i="2" s="1"/>
  <c r="C823" i="2" a="1"/>
  <c r="G823" i="2" s="1"/>
  <c r="C247" i="2" a="1"/>
  <c r="G247" i="2" s="1"/>
  <c r="C824" i="2" a="1"/>
  <c r="G824" i="2" s="1"/>
  <c r="C254" i="2" a="1"/>
  <c r="G254" i="2" s="1"/>
  <c r="C255" i="2" a="1"/>
  <c r="G255" i="2" s="1"/>
  <c r="C825" i="2" a="1"/>
  <c r="G825" i="2" s="1"/>
  <c r="C826" i="2" a="1"/>
  <c r="G826" i="2" s="1"/>
  <c r="C827" i="2" a="1"/>
  <c r="G827" i="2" s="1"/>
  <c r="C828" i="2" a="1"/>
  <c r="G828" i="2" s="1"/>
  <c r="C256" i="2" a="1"/>
  <c r="G256" i="2" s="1"/>
  <c r="C257" i="2" a="1"/>
  <c r="G257" i="2" s="1"/>
  <c r="C829" i="2" a="1"/>
  <c r="G829" i="2" s="1"/>
  <c r="C258" i="2" a="1"/>
  <c r="G258" i="2" s="1"/>
  <c r="C260" i="2" a="1"/>
  <c r="G260" i="2" s="1"/>
  <c r="C263" i="2" a="1"/>
  <c r="G263" i="2" s="1"/>
  <c r="C830" i="2" a="1"/>
  <c r="G830" i="2" s="1"/>
  <c r="C831" i="2" a="1"/>
  <c r="G831" i="2" s="1"/>
  <c r="C261" i="2" a="1"/>
  <c r="G261" i="2" s="1"/>
  <c r="C259" i="2" a="1"/>
  <c r="G259" i="2" s="1"/>
  <c r="C262" i="2" a="1"/>
  <c r="G262" i="2" s="1"/>
  <c r="C832" i="2" a="1"/>
  <c r="G832" i="2" s="1"/>
  <c r="C269" i="2" a="1"/>
  <c r="G269" i="2" s="1"/>
  <c r="C833" i="2" a="1"/>
  <c r="G833" i="2" s="1"/>
  <c r="C834" i="2" a="1"/>
  <c r="G834" i="2" s="1"/>
  <c r="C266" i="2" a="1"/>
  <c r="G266" i="2" s="1"/>
  <c r="C835" i="2" a="1"/>
  <c r="G835" i="2" s="1"/>
  <c r="C268" i="2" a="1"/>
  <c r="G268" i="2" s="1"/>
  <c r="C265" i="2" a="1"/>
  <c r="G265" i="2" s="1"/>
  <c r="C836" i="2" a="1"/>
  <c r="G836" i="2" s="1"/>
  <c r="C270" i="2" a="1"/>
  <c r="G270" i="2" s="1"/>
  <c r="C272" i="2" a="1"/>
  <c r="G272" i="2" s="1"/>
  <c r="C273" i="2" a="1"/>
  <c r="G273" i="2" s="1"/>
  <c r="C271" i="2" a="1"/>
  <c r="G271" i="2" s="1"/>
  <c r="C837" i="2" a="1"/>
  <c r="G837" i="2" s="1"/>
  <c r="C267" i="2" a="1"/>
  <c r="G267" i="2" s="1"/>
  <c r="C838" i="2" a="1"/>
  <c r="G838" i="2" s="1"/>
  <c r="C839" i="2" a="1"/>
  <c r="G839" i="2" s="1"/>
  <c r="C264" i="2" a="1"/>
  <c r="G264" i="2" s="1"/>
  <c r="C840" i="2" a="1"/>
  <c r="G840" i="2" s="1"/>
  <c r="C841" i="2" a="1"/>
  <c r="G841" i="2" s="1"/>
  <c r="C274" i="2" a="1"/>
  <c r="G274" i="2" s="1"/>
  <c r="C275" i="2" a="1"/>
  <c r="G275" i="2" s="1"/>
  <c r="C842" i="2" a="1"/>
  <c r="G842" i="2" s="1"/>
  <c r="C843" i="2" a="1"/>
  <c r="G843" i="2" s="1"/>
  <c r="C844" i="2" a="1"/>
  <c r="G844" i="2" s="1"/>
  <c r="C276" i="2" a="1"/>
  <c r="G276" i="2" s="1"/>
  <c r="C277" i="2" a="1"/>
  <c r="G277" i="2" s="1"/>
  <c r="C845" i="2" a="1"/>
  <c r="G845" i="2" s="1"/>
  <c r="C278" i="2" a="1"/>
  <c r="G278" i="2" s="1"/>
  <c r="C846" i="2" a="1"/>
  <c r="G846" i="2" s="1"/>
  <c r="C847" i="2" a="1"/>
  <c r="G847" i="2" s="1"/>
  <c r="C848" i="2" a="1"/>
  <c r="G848" i="2" s="1"/>
  <c r="C279" i="2" a="1"/>
  <c r="G279" i="2" s="1"/>
  <c r="C849" i="2" a="1"/>
  <c r="G849" i="2" s="1"/>
  <c r="C281" i="2" a="1"/>
  <c r="G281" i="2" s="1"/>
  <c r="C282" i="2" a="1"/>
  <c r="G282" i="2" s="1"/>
  <c r="C283" i="2" a="1"/>
  <c r="G283" i="2" s="1"/>
  <c r="C850" i="2" a="1"/>
  <c r="G850" i="2" s="1"/>
  <c r="C851" i="2" a="1"/>
  <c r="G851" i="2" s="1"/>
  <c r="C286" i="2" a="1"/>
  <c r="G286" i="2" s="1"/>
  <c r="C287" i="2" a="1"/>
  <c r="G287" i="2" s="1"/>
  <c r="C285" i="2" a="1"/>
  <c r="G285" i="2" s="1"/>
  <c r="C852" i="2" a="1"/>
  <c r="G852" i="2" s="1"/>
  <c r="C853" i="2" a="1"/>
  <c r="G853" i="2" s="1"/>
  <c r="C284" i="2" a="1"/>
  <c r="G284" i="2" s="1"/>
  <c r="C288" i="2" a="1"/>
  <c r="G288" i="2" s="1"/>
  <c r="C854" i="2" a="1"/>
  <c r="G854" i="2" s="1"/>
  <c r="C855" i="2" a="1"/>
  <c r="G855" i="2" s="1"/>
  <c r="C856" i="2" a="1"/>
  <c r="G856" i="2" s="1"/>
  <c r="C289" i="2" a="1"/>
  <c r="G289" i="2" s="1"/>
  <c r="C857" i="2" a="1"/>
  <c r="G857" i="2" s="1"/>
  <c r="C858" i="2" a="1"/>
  <c r="G858" i="2" s="1"/>
  <c r="C291" i="2" a="1"/>
  <c r="G291" i="2" s="1"/>
  <c r="C859" i="2" a="1"/>
  <c r="G859" i="2" s="1"/>
  <c r="C290" i="2" a="1"/>
  <c r="G290" i="2" s="1"/>
  <c r="C860" i="2" a="1"/>
  <c r="G860" i="2" s="1"/>
  <c r="C861" i="2" a="1"/>
  <c r="G861" i="2" s="1"/>
  <c r="C295" i="2" a="1"/>
  <c r="G295" i="2" s="1"/>
  <c r="C862" i="2" a="1"/>
  <c r="G862" i="2" s="1"/>
  <c r="C863" i="2" a="1"/>
  <c r="G863" i="2" s="1"/>
  <c r="C296" i="2" a="1"/>
  <c r="G296" i="2" s="1"/>
  <c r="C297" i="2" a="1"/>
  <c r="G297" i="2" s="1"/>
  <c r="C864" i="2" a="1"/>
  <c r="G864" i="2" s="1"/>
  <c r="C298" i="2" a="1"/>
  <c r="G298" i="2" s="1"/>
  <c r="C865" i="2" a="1"/>
  <c r="G865" i="2" s="1"/>
  <c r="C866" i="2" a="1"/>
  <c r="G866" i="2" s="1"/>
  <c r="C300" i="2" a="1"/>
  <c r="G300" i="2" s="1"/>
  <c r="C867" i="2" a="1"/>
  <c r="G867" i="2" s="1"/>
  <c r="C868" i="2" a="1"/>
  <c r="G868" i="2" s="1"/>
  <c r="C869" i="2" a="1"/>
  <c r="G869" i="2" s="1"/>
  <c r="C870" i="2" a="1"/>
  <c r="G870" i="2" s="1"/>
  <c r="C303" i="2" a="1"/>
  <c r="G303" i="2" s="1"/>
  <c r="C871" i="2" a="1"/>
  <c r="G871" i="2" s="1"/>
  <c r="C872" i="2" a="1"/>
  <c r="G872" i="2" s="1"/>
  <c r="C873" i="2" a="1"/>
  <c r="G873" i="2" s="1"/>
  <c r="C302" i="2" a="1"/>
  <c r="G302" i="2" s="1"/>
  <c r="C874" i="2" a="1"/>
  <c r="G874" i="2" s="1"/>
  <c r="C875" i="2" a="1"/>
  <c r="G875" i="2" s="1"/>
  <c r="C304" i="2" a="1"/>
  <c r="G304" i="2" s="1"/>
  <c r="C876" i="2" a="1"/>
  <c r="G876" i="2" s="1"/>
  <c r="C280" i="2" a="1"/>
  <c r="G280" i="2" s="1"/>
  <c r="C306" i="2" a="1"/>
  <c r="G306" i="2" s="1"/>
  <c r="C305" i="2" a="1"/>
  <c r="G305" i="2" s="1"/>
  <c r="C877" i="2" a="1"/>
  <c r="G877" i="2" s="1"/>
  <c r="C299" i="2" a="1"/>
  <c r="G299" i="2" s="1"/>
  <c r="C878" i="2" a="1"/>
  <c r="G878" i="2" s="1"/>
  <c r="C307" i="2" a="1"/>
  <c r="G307" i="2" s="1"/>
  <c r="C879" i="2" a="1"/>
  <c r="G879" i="2" s="1"/>
  <c r="C880" i="2" a="1"/>
  <c r="G880" i="2" s="1"/>
  <c r="C308" i="2" a="1"/>
  <c r="G308" i="2" s="1"/>
  <c r="C881" i="2" a="1"/>
  <c r="G881" i="2" s="1"/>
  <c r="C882" i="2" a="1"/>
  <c r="G882" i="2" s="1"/>
  <c r="C883" i="2" a="1"/>
  <c r="G883" i="2" s="1"/>
  <c r="C309" i="2" a="1"/>
  <c r="G309" i="2" s="1"/>
  <c r="C884" i="2" a="1"/>
  <c r="G884" i="2" s="1"/>
  <c r="C885" i="2" a="1"/>
  <c r="G885" i="2" s="1"/>
  <c r="C310" i="2" a="1"/>
  <c r="G310" i="2" s="1"/>
  <c r="C886" i="2" a="1"/>
  <c r="G886" i="2" s="1"/>
  <c r="C887" i="2" a="1"/>
  <c r="G887" i="2" s="1"/>
  <c r="C888" i="2" a="1"/>
  <c r="G888" i="2" s="1"/>
  <c r="C889" i="2" a="1"/>
  <c r="G889" i="2" s="1"/>
  <c r="C313" i="2" a="1"/>
  <c r="G313" i="2" s="1"/>
  <c r="C890" i="2" a="1"/>
  <c r="G890" i="2" s="1"/>
  <c r="C891" i="2" a="1"/>
  <c r="G891" i="2" s="1"/>
  <c r="C892" i="2" a="1"/>
  <c r="G892" i="2" s="1"/>
  <c r="C311" i="2" a="1"/>
  <c r="G311" i="2" s="1"/>
  <c r="C312" i="2" a="1"/>
  <c r="G312" i="2" s="1"/>
  <c r="C893" i="2" a="1"/>
  <c r="G893" i="2" s="1"/>
  <c r="C314" i="2" a="1"/>
  <c r="G314" i="2" s="1"/>
  <c r="C894" i="2" a="1"/>
  <c r="G894" i="2" s="1"/>
  <c r="C315" i="2" a="1"/>
  <c r="G315" i="2" s="1"/>
  <c r="C895" i="2" a="1"/>
  <c r="G895" i="2" s="1"/>
  <c r="C896" i="2" a="1"/>
  <c r="G896" i="2" s="1"/>
  <c r="C897" i="2" a="1"/>
  <c r="G897" i="2" s="1"/>
  <c r="C898" i="2" a="1"/>
  <c r="G898" i="2" s="1"/>
  <c r="C899" i="2" a="1"/>
  <c r="G899" i="2" s="1"/>
  <c r="C316" i="2" a="1"/>
  <c r="G316" i="2" s="1"/>
  <c r="C900" i="2" a="1"/>
  <c r="G900" i="2" s="1"/>
  <c r="C317" i="2" a="1"/>
  <c r="G317" i="2" s="1"/>
  <c r="C901" i="2" a="1"/>
  <c r="G901" i="2" s="1"/>
  <c r="C902" i="2" a="1"/>
  <c r="G902" i="2" s="1"/>
  <c r="C319" i="2" a="1"/>
  <c r="G319" i="2" s="1"/>
  <c r="C320" i="2" a="1"/>
  <c r="G320" i="2" s="1"/>
  <c r="C321" i="2" a="1"/>
  <c r="G321" i="2" s="1"/>
  <c r="C322" i="2" a="1"/>
  <c r="G322" i="2" s="1"/>
  <c r="C903" i="2" a="1"/>
  <c r="G903" i="2" s="1"/>
  <c r="C325" i="2" a="1"/>
  <c r="G325" i="2" s="1"/>
  <c r="C324" i="2" a="1"/>
  <c r="G324" i="2" s="1"/>
  <c r="C904" i="2" a="1"/>
  <c r="G904" i="2" s="1"/>
  <c r="C905" i="2" a="1"/>
  <c r="G905" i="2" s="1"/>
  <c r="C906" i="2" a="1"/>
  <c r="G906" i="2" s="1"/>
  <c r="C907" i="2" a="1"/>
  <c r="G907" i="2" s="1"/>
  <c r="C323" i="2" a="1"/>
  <c r="G323" i="2" s="1"/>
  <c r="C908" i="2" a="1"/>
  <c r="G908" i="2" s="1"/>
  <c r="C909" i="2" a="1"/>
  <c r="G909" i="2" s="1"/>
  <c r="C318" i="2" a="1"/>
  <c r="G318" i="2" s="1"/>
  <c r="C910" i="2" a="1"/>
  <c r="G910" i="2" s="1"/>
  <c r="C911" i="2" a="1"/>
  <c r="G911" i="2" s="1"/>
  <c r="C327" i="2" a="1"/>
  <c r="G327" i="2" s="1"/>
  <c r="C912" i="2" a="1"/>
  <c r="G912" i="2" s="1"/>
  <c r="C913" i="2" a="1"/>
  <c r="G913" i="2" s="1"/>
  <c r="C292" i="2" a="1"/>
  <c r="G292" i="2" s="1"/>
  <c r="C293" i="2" a="1"/>
  <c r="G293" i="2" s="1"/>
  <c r="C294" i="2" a="1"/>
  <c r="G294" i="2" s="1"/>
  <c r="C914" i="2" a="1"/>
  <c r="G914" i="2" s="1"/>
  <c r="C915" i="2" a="1"/>
  <c r="G915" i="2" s="1"/>
  <c r="C328" i="2" a="1"/>
  <c r="G328" i="2" s="1"/>
  <c r="C329" i="2" a="1"/>
  <c r="G329" i="2" s="1"/>
  <c r="C916" i="2" a="1"/>
  <c r="G916" i="2" s="1"/>
  <c r="C301" i="2" a="1"/>
  <c r="G301" i="2" s="1"/>
  <c r="C330" i="2" a="1"/>
  <c r="G330" i="2" s="1"/>
  <c r="C331" i="2" a="1"/>
  <c r="G331" i="2" s="1"/>
  <c r="C335" i="2" a="1"/>
  <c r="G335" i="2" s="1"/>
  <c r="C917" i="2" a="1"/>
  <c r="G917" i="2" s="1"/>
  <c r="C336" i="2" a="1"/>
  <c r="G336" i="2" s="1"/>
  <c r="C918" i="2" a="1"/>
  <c r="G918" i="2" s="1"/>
  <c r="C333" i="2" a="1"/>
  <c r="G333" i="2" s="1"/>
  <c r="C919" i="2" a="1"/>
  <c r="G919" i="2" s="1"/>
  <c r="C920" i="2" a="1"/>
  <c r="G920" i="2" s="1"/>
  <c r="C334" i="2" a="1"/>
  <c r="G334" i="2" s="1"/>
  <c r="C332" i="2" a="1"/>
  <c r="G332" i="2" s="1"/>
  <c r="C921" i="2" a="1"/>
  <c r="G921" i="2" s="1"/>
  <c r="C922" i="2" a="1"/>
  <c r="G922" i="2" s="1"/>
  <c r="C923" i="2" a="1"/>
  <c r="G923" i="2" s="1"/>
  <c r="C338" i="2" a="1"/>
  <c r="G338" i="2" s="1"/>
  <c r="C339" i="2" a="1"/>
  <c r="G339" i="2" s="1"/>
  <c r="C342" i="2" a="1"/>
  <c r="G342" i="2" s="1"/>
  <c r="C343" i="2" a="1"/>
  <c r="G343" i="2" s="1"/>
  <c r="C340" i="2" a="1"/>
  <c r="G340" i="2" s="1"/>
  <c r="C341" i="2" a="1"/>
  <c r="G341" i="2" s="1"/>
  <c r="C924" i="2" a="1"/>
  <c r="G924" i="2" s="1"/>
  <c r="C925" i="2" a="1"/>
  <c r="G925" i="2" s="1"/>
  <c r="C337" i="2" a="1"/>
  <c r="G337" i="2" s="1"/>
  <c r="C345" i="2" a="1"/>
  <c r="G345" i="2" s="1"/>
  <c r="C344" i="2" a="1"/>
  <c r="G344" i="2" s="1"/>
  <c r="C326" i="2" a="1"/>
  <c r="G326" i="2" s="1"/>
  <c r="C926" i="2" a="1"/>
  <c r="G926" i="2" s="1"/>
  <c r="C927" i="2" a="1"/>
  <c r="G927" i="2" s="1"/>
  <c r="C928" i="2" a="1"/>
  <c r="G928" i="2" s="1"/>
  <c r="C929" i="2" a="1"/>
  <c r="G929" i="2" s="1"/>
  <c r="C346" i="2" a="1"/>
  <c r="G346" i="2" s="1"/>
  <c r="C930" i="2" a="1"/>
  <c r="G930" i="2" s="1"/>
  <c r="C348" i="2" a="1"/>
  <c r="G348" i="2" s="1"/>
  <c r="C931" i="2" a="1"/>
  <c r="G931" i="2" s="1"/>
  <c r="C932" i="2" a="1"/>
  <c r="G932" i="2" s="1"/>
  <c r="C352" i="2" a="1"/>
  <c r="G352" i="2" s="1"/>
  <c r="C933" i="2" a="1"/>
  <c r="G933" i="2" s="1"/>
  <c r="C934" i="2" a="1"/>
  <c r="G934" i="2" s="1"/>
  <c r="C935" i="2" a="1"/>
  <c r="G935" i="2" s="1"/>
  <c r="C353" i="2" a="1"/>
  <c r="G353" i="2" s="1"/>
  <c r="C351" i="2" a="1"/>
  <c r="G351" i="2" s="1"/>
  <c r="C936" i="2" a="1"/>
  <c r="G936" i="2" s="1"/>
  <c r="C937" i="2" a="1"/>
  <c r="G937" i="2" s="1"/>
  <c r="C938" i="2" a="1"/>
  <c r="G938" i="2" s="1"/>
  <c r="C350" i="2" a="1"/>
  <c r="G350" i="2" s="1"/>
  <c r="C349" i="2" a="1"/>
  <c r="G349" i="2" s="1"/>
  <c r="C939" i="2" a="1"/>
  <c r="G939" i="2" s="1"/>
  <c r="C355" i="2" a="1"/>
  <c r="G355" i="2" s="1"/>
  <c r="C361" i="2" a="1"/>
  <c r="G361" i="2" s="1"/>
  <c r="C940" i="2" a="1"/>
  <c r="G940" i="2" s="1"/>
  <c r="C347" i="2" a="1"/>
  <c r="G347" i="2" s="1"/>
  <c r="C941" i="2" a="1"/>
  <c r="G941" i="2" s="1"/>
  <c r="C942" i="2" a="1"/>
  <c r="G942" i="2" s="1"/>
  <c r="C357" i="2" a="1"/>
  <c r="G357" i="2" s="1"/>
  <c r="C356" i="2" a="1"/>
  <c r="G356" i="2" s="1"/>
  <c r="C358" i="2" a="1"/>
  <c r="G358" i="2" s="1"/>
  <c r="C359" i="2" a="1"/>
  <c r="G359" i="2" s="1"/>
  <c r="C943" i="2" a="1"/>
  <c r="G943" i="2" s="1"/>
  <c r="C360" i="2" a="1"/>
  <c r="G360" i="2" s="1"/>
  <c r="C944" i="2" a="1"/>
  <c r="G944" i="2" s="1"/>
  <c r="C354" i="2" a="1"/>
  <c r="G354" i="2" s="1"/>
  <c r="C363" i="2" a="1"/>
  <c r="G363" i="2" s="1"/>
  <c r="C945" i="2" a="1"/>
  <c r="G945" i="2" s="1"/>
  <c r="C364" i="2" a="1"/>
  <c r="G364" i="2" s="1"/>
  <c r="C946" i="2" a="1"/>
  <c r="G946" i="2" s="1"/>
  <c r="C362" i="2" a="1"/>
  <c r="G362" i="2" s="1"/>
  <c r="C947" i="2" a="1"/>
  <c r="G947" i="2" s="1"/>
  <c r="C948" i="2" a="1"/>
  <c r="G948" i="2" s="1"/>
  <c r="C366" i="2" a="1"/>
  <c r="G366" i="2" s="1"/>
  <c r="C949" i="2" a="1"/>
  <c r="G949" i="2" s="1"/>
  <c r="C950" i="2" a="1"/>
  <c r="G950" i="2" s="1"/>
  <c r="C951" i="2" a="1"/>
  <c r="G951" i="2" s="1"/>
  <c r="C369" i="2" a="1"/>
  <c r="G369" i="2" s="1"/>
  <c r="C370" i="2" a="1"/>
  <c r="G370" i="2" s="1"/>
  <c r="C952" i="2" a="1"/>
  <c r="G952" i="2" s="1"/>
  <c r="C953" i="2" a="1"/>
  <c r="G953" i="2" s="1"/>
  <c r="C954" i="2" a="1"/>
  <c r="G954" i="2" s="1"/>
  <c r="C955" i="2" a="1"/>
  <c r="G955" i="2" s="1"/>
  <c r="C371" i="2" a="1"/>
  <c r="G371" i="2" s="1"/>
  <c r="C956" i="2" a="1"/>
  <c r="G956" i="2" s="1"/>
  <c r="C368" i="2" a="1"/>
  <c r="G368" i="2" s="1"/>
  <c r="C957" i="2" a="1"/>
  <c r="G957" i="2" s="1"/>
  <c r="C958" i="2" a="1"/>
  <c r="G958" i="2" s="1"/>
  <c r="C375" i="2" a="1"/>
  <c r="G375" i="2" s="1"/>
  <c r="C374" i="2" a="1"/>
  <c r="G374" i="2" s="1"/>
  <c r="C373" i="2" a="1"/>
  <c r="G373" i="2" s="1"/>
  <c r="C959" i="2" a="1"/>
  <c r="G959" i="2" s="1"/>
  <c r="C960" i="2" a="1"/>
  <c r="G960" i="2" s="1"/>
  <c r="C376" i="2" a="1"/>
  <c r="G376" i="2" s="1"/>
  <c r="C377" i="2" a="1"/>
  <c r="G377" i="2" s="1"/>
  <c r="C961" i="2" a="1"/>
  <c r="G961" i="2" s="1"/>
  <c r="C962" i="2" a="1"/>
  <c r="G962" i="2" s="1"/>
  <c r="C372" i="2" a="1"/>
  <c r="G372" i="2" s="1"/>
  <c r="C963" i="2" a="1"/>
  <c r="G963" i="2" s="1"/>
  <c r="C964" i="2" a="1"/>
  <c r="G964" i="2" s="1"/>
  <c r="C367" i="2" a="1"/>
  <c r="G367" i="2" s="1"/>
  <c r="C965" i="2" a="1"/>
  <c r="G965" i="2" s="1"/>
  <c r="C966" i="2" a="1"/>
  <c r="G966" i="2" s="1"/>
  <c r="C378" i="2" a="1"/>
  <c r="G378" i="2" s="1"/>
  <c r="C379" i="2" a="1"/>
  <c r="G379" i="2" s="1"/>
  <c r="C967" i="2" a="1"/>
  <c r="G967" i="2" s="1"/>
  <c r="C968" i="2" a="1"/>
  <c r="G968" i="2" s="1"/>
  <c r="C381" i="2" a="1"/>
  <c r="G381" i="2" s="1"/>
  <c r="C382" i="2" a="1"/>
  <c r="G382" i="2" s="1"/>
  <c r="C969" i="2" a="1"/>
  <c r="G969" i="2" s="1"/>
  <c r="C383" i="2" a="1"/>
  <c r="G383" i="2" s="1"/>
  <c r="C970" i="2" a="1"/>
  <c r="G970" i="2" s="1"/>
  <c r="C971" i="2" a="1"/>
  <c r="G971" i="2" s="1"/>
  <c r="C384" i="2" a="1"/>
  <c r="G384" i="2" s="1"/>
  <c r="C972" i="2" a="1"/>
  <c r="G972" i="2" s="1"/>
  <c r="C385" i="2" a="1"/>
  <c r="G385" i="2" s="1"/>
  <c r="C973" i="2" a="1"/>
  <c r="G973" i="2" s="1"/>
  <c r="C974" i="2" a="1"/>
  <c r="G974" i="2" s="1"/>
  <c r="C975" i="2" a="1"/>
  <c r="G975" i="2" s="1"/>
  <c r="C380" i="2" a="1"/>
  <c r="G380" i="2" s="1"/>
  <c r="C365" i="2" a="1"/>
  <c r="G365" i="2" s="1"/>
  <c r="C386" i="2" a="1"/>
  <c r="G386" i="2" s="1"/>
  <c r="C387" i="2" a="1"/>
  <c r="G387" i="2" s="1"/>
  <c r="C976" i="2" a="1"/>
  <c r="G976" i="2" s="1"/>
  <c r="C977" i="2" a="1"/>
  <c r="G977" i="2" s="1"/>
  <c r="C389" i="2" a="1"/>
  <c r="G389" i="2" s="1"/>
  <c r="C978" i="2" a="1"/>
  <c r="G978" i="2" s="1"/>
  <c r="C388" i="2" a="1"/>
  <c r="G388" i="2" s="1"/>
  <c r="C979" i="2" a="1"/>
  <c r="G979" i="2" s="1"/>
  <c r="C980" i="2" a="1"/>
  <c r="G980" i="2" s="1"/>
  <c r="C981" i="2" a="1"/>
  <c r="G981" i="2" s="1"/>
  <c r="C390" i="2" a="1"/>
  <c r="G390" i="2" s="1"/>
  <c r="C391" i="2" a="1"/>
  <c r="G391" i="2" s="1"/>
  <c r="C393" i="2" a="1"/>
  <c r="G393" i="2" s="1"/>
  <c r="C982" i="2" a="1"/>
  <c r="G982" i="2" s="1"/>
  <c r="C400" i="2" a="1"/>
  <c r="G400" i="2" s="1"/>
  <c r="C983" i="2" a="1"/>
  <c r="G983" i="2" s="1"/>
  <c r="C399" i="2" a="1"/>
  <c r="G399" i="2" s="1"/>
  <c r="C984" i="2" a="1"/>
  <c r="G984" i="2" s="1"/>
  <c r="C985" i="2" a="1"/>
  <c r="G985" i="2" s="1"/>
  <c r="C986" i="2" a="1"/>
  <c r="G986" i="2" s="1"/>
  <c r="C987" i="2" a="1"/>
  <c r="G987" i="2" s="1"/>
  <c r="C402" i="2" a="1"/>
  <c r="G402" i="2" s="1"/>
  <c r="C988" i="2" a="1"/>
  <c r="G988" i="2" s="1"/>
  <c r="C398" i="2" a="1"/>
  <c r="G398" i="2" s="1"/>
  <c r="C989" i="2" a="1"/>
  <c r="G989" i="2" s="1"/>
  <c r="C403" i="2" a="1"/>
  <c r="G403" i="2" s="1"/>
  <c r="C397" i="2" a="1"/>
  <c r="G397" i="2" s="1"/>
  <c r="C396" i="2" a="1"/>
  <c r="G396" i="2" s="1"/>
  <c r="C990" i="2" a="1"/>
  <c r="G990" i="2" s="1"/>
  <c r="C991" i="2" a="1"/>
  <c r="G991" i="2" s="1"/>
  <c r="C395" i="2" a="1"/>
  <c r="G395" i="2" s="1"/>
  <c r="C392" i="2" a="1"/>
  <c r="G392" i="2" s="1"/>
  <c r="C394" i="2" a="1"/>
  <c r="G394" i="2" s="1"/>
  <c r="C408" i="2" a="1"/>
  <c r="G408" i="2" s="1"/>
  <c r="C992" i="2" a="1"/>
  <c r="G992" i="2" s="1"/>
  <c r="C407" i="2" a="1"/>
  <c r="G407" i="2" s="1"/>
  <c r="C993" i="2" a="1"/>
  <c r="G993" i="2" s="1"/>
  <c r="C994" i="2" a="1"/>
  <c r="G994" i="2" s="1"/>
  <c r="C410" i="2" a="1"/>
  <c r="G410" i="2" s="1"/>
  <c r="C409" i="2" a="1"/>
  <c r="G409" i="2" s="1"/>
  <c r="C995" i="2" a="1"/>
  <c r="G995" i="2" s="1"/>
  <c r="C996" i="2" a="1"/>
  <c r="G996" i="2" s="1"/>
  <c r="C406" i="2" a="1"/>
  <c r="G406" i="2" s="1"/>
  <c r="C997" i="2" a="1"/>
  <c r="G997" i="2" s="1"/>
  <c r="C998" i="2" a="1"/>
  <c r="G998" i="2" s="1"/>
  <c r="C999" i="2" a="1"/>
  <c r="G999" i="2" s="1"/>
  <c r="C411" i="2" a="1"/>
  <c r="G411" i="2" s="1"/>
  <c r="C1000" i="2" a="1"/>
  <c r="G1000" i="2" s="1"/>
  <c r="C1001" i="2" a="1"/>
  <c r="G1001" i="2" s="1"/>
  <c r="C1002" i="2" a="1"/>
  <c r="G1002" i="2" s="1"/>
  <c r="C412" i="2" a="1"/>
  <c r="G412" i="2" s="1"/>
  <c r="C1003" i="2" a="1"/>
  <c r="G1003" i="2" s="1"/>
  <c r="C1004" i="2" a="1"/>
  <c r="G1004" i="2" s="1"/>
  <c r="C404" i="2" a="1"/>
  <c r="G404" i="2" s="1"/>
  <c r="C405" i="2" a="1"/>
  <c r="G405" i="2" s="1"/>
  <c r="C1005" i="2" a="1"/>
  <c r="G1005" i="2" s="1"/>
  <c r="C415" i="2" a="1"/>
  <c r="G415" i="2" s="1"/>
  <c r="C1006" i="2" a="1"/>
  <c r="G1006" i="2" s="1"/>
  <c r="C416" i="2" a="1"/>
  <c r="G416" i="2" s="1"/>
  <c r="C1007" i="2" a="1"/>
  <c r="G1007" i="2" s="1"/>
  <c r="C1008" i="2" a="1"/>
  <c r="G1008" i="2" s="1"/>
  <c r="C417" i="2" a="1"/>
  <c r="G417" i="2" s="1"/>
  <c r="C1009" i="2" a="1"/>
  <c r="G1009" i="2" s="1"/>
  <c r="C418" i="2" a="1"/>
  <c r="G418" i="2" s="1"/>
  <c r="C1010" i="2" a="1"/>
  <c r="G1010" i="2" s="1"/>
  <c r="C420" i="2" a="1"/>
  <c r="G420" i="2" s="1"/>
  <c r="C419" i="2" a="1"/>
  <c r="G419" i="2" s="1"/>
  <c r="C1011" i="2" a="1"/>
  <c r="G1011" i="2" s="1"/>
  <c r="C421" i="2" a="1"/>
  <c r="G421" i="2" s="1"/>
  <c r="C1012" i="2" a="1"/>
  <c r="G1012" i="2" s="1"/>
  <c r="C1013" i="2" a="1"/>
  <c r="G1013" i="2" s="1"/>
  <c r="C425" i="2" a="1"/>
  <c r="G425" i="2" s="1"/>
  <c r="C1014" i="2" a="1"/>
  <c r="G1014" i="2" s="1"/>
  <c r="C424" i="2" a="1"/>
  <c r="G424" i="2" s="1"/>
  <c r="C426" i="2" a="1"/>
  <c r="G426" i="2" s="1"/>
  <c r="C427" i="2" a="1"/>
  <c r="G427" i="2" s="1"/>
  <c r="C1015" i="2" a="1"/>
  <c r="G1015" i="2" s="1"/>
  <c r="C1016" i="2" a="1"/>
  <c r="G1016" i="2" s="1"/>
  <c r="C422" i="2" a="1"/>
  <c r="G422" i="2" s="1"/>
  <c r="C423" i="2" a="1"/>
  <c r="G423" i="2" s="1"/>
  <c r="C1017" i="2" a="1"/>
  <c r="G1017" i="2" s="1"/>
  <c r="C428" i="2" a="1"/>
  <c r="G428" i="2" s="1"/>
  <c r="C1018" i="2" a="1"/>
  <c r="G1018" i="2" s="1"/>
  <c r="C429" i="2" a="1"/>
  <c r="G429" i="2" s="1"/>
  <c r="C430" i="2" a="1"/>
  <c r="G430" i="2" s="1"/>
  <c r="C1019" i="2" a="1"/>
  <c r="G1019" i="2" s="1"/>
  <c r="C431" i="2" a="1"/>
  <c r="G431" i="2" s="1"/>
  <c r="C1020" i="2" a="1"/>
  <c r="G1020" i="2" s="1"/>
  <c r="C432" i="2" a="1"/>
  <c r="G432" i="2" s="1"/>
  <c r="C435" i="2" a="1"/>
  <c r="G435" i="2" s="1"/>
  <c r="C1021" i="2" a="1"/>
  <c r="G1021" i="2" s="1"/>
  <c r="C433" i="2" a="1"/>
  <c r="G433" i="2" s="1"/>
  <c r="C1022" i="2" a="1"/>
  <c r="G1022" i="2" s="1"/>
  <c r="C1023" i="2" a="1"/>
  <c r="G1023" i="2" s="1"/>
  <c r="C434" i="2" a="1"/>
  <c r="G434" i="2" s="1"/>
  <c r="C436" i="2" a="1"/>
  <c r="G436" i="2" s="1"/>
  <c r="C1024" i="2" a="1"/>
  <c r="G1024" i="2" s="1"/>
  <c r="C437" i="2" a="1"/>
  <c r="G437" i="2" s="1"/>
  <c r="C438" i="2" a="1"/>
  <c r="G438" i="2" s="1"/>
  <c r="C413" i="2" a="1"/>
  <c r="G413" i="2" s="1"/>
  <c r="C1025" i="2" a="1"/>
  <c r="G1025" i="2" s="1"/>
  <c r="C439" i="2" a="1"/>
  <c r="G439" i="2" s="1"/>
  <c r="C1026" i="2" a="1"/>
  <c r="G1026" i="2" s="1"/>
  <c r="C1027" i="2" a="1"/>
  <c r="G1027" i="2" s="1"/>
  <c r="C440" i="2" a="1"/>
  <c r="G440" i="2" s="1"/>
  <c r="C441" i="2" a="1"/>
  <c r="G441" i="2" s="1"/>
  <c r="C442" i="2" a="1"/>
  <c r="G442" i="2" s="1"/>
  <c r="C1028" i="2" a="1"/>
  <c r="G1028" i="2" s="1"/>
  <c r="C1029" i="2" a="1"/>
  <c r="G1029" i="2" s="1"/>
  <c r="C1030" i="2" a="1"/>
  <c r="G1030" i="2" s="1"/>
  <c r="C443" i="2" a="1"/>
  <c r="G443" i="2" s="1"/>
  <c r="C444" i="2" a="1"/>
  <c r="G444" i="2" s="1"/>
  <c r="C1031" i="2" a="1"/>
  <c r="G1031" i="2" s="1"/>
  <c r="C445" i="2" a="1"/>
  <c r="G445" i="2" s="1"/>
  <c r="C1032" i="2" a="1"/>
  <c r="G1032" i="2" s="1"/>
  <c r="C1033" i="2" a="1"/>
  <c r="G1033" i="2" s="1"/>
  <c r="C446" i="2" a="1"/>
  <c r="G446" i="2" s="1"/>
  <c r="C447" i="2" a="1"/>
  <c r="G447" i="2" s="1"/>
  <c r="C1034" i="2" a="1"/>
  <c r="G1034" i="2" s="1"/>
  <c r="C1035" i="2" a="1"/>
  <c r="G1035" i="2" s="1"/>
  <c r="C448" i="2" a="1"/>
  <c r="G448" i="2" s="1"/>
  <c r="C1036" i="2" a="1"/>
  <c r="G1036" i="2" s="1"/>
  <c r="C1037" i="2" a="1"/>
  <c r="G1037" i="2" s="1"/>
  <c r="C449" i="2" a="1"/>
  <c r="G449" i="2" s="1"/>
  <c r="C1038" i="2" a="1"/>
  <c r="G1038" i="2" s="1"/>
  <c r="C451" i="2" a="1"/>
  <c r="G451" i="2" s="1"/>
  <c r="C450" i="2" a="1"/>
  <c r="G450" i="2" s="1"/>
  <c r="C452" i="2" a="1"/>
  <c r="G452" i="2" s="1"/>
  <c r="C1039" i="2" a="1"/>
  <c r="G1039" i="2" s="1"/>
  <c r="C1040" i="2" a="1"/>
  <c r="G1040" i="2" s="1"/>
  <c r="C414" i="2" a="1"/>
  <c r="G414" i="2" s="1"/>
  <c r="C1041" i="2" a="1"/>
  <c r="G1041" i="2" s="1"/>
  <c r="C453" i="2" a="1"/>
  <c r="G453" i="2" s="1"/>
  <c r="C454" i="2" a="1"/>
  <c r="G454" i="2" s="1"/>
  <c r="C1042" i="2" a="1"/>
  <c r="G1042" i="2" s="1"/>
  <c r="C455" i="2" a="1"/>
  <c r="G455" i="2" s="1"/>
  <c r="C456" i="2" a="1"/>
  <c r="G456" i="2" s="1"/>
  <c r="C457" i="2" a="1"/>
  <c r="G457" i="2" s="1"/>
  <c r="C1043" i="2" a="1"/>
  <c r="G1043" i="2" s="1"/>
  <c r="C458" i="2" a="1"/>
  <c r="G458" i="2" s="1"/>
  <c r="C1044" i="2" a="1"/>
  <c r="G1044" i="2" s="1"/>
  <c r="C1045" i="2" a="1"/>
  <c r="G1045" i="2" s="1"/>
  <c r="C1046" i="2" a="1"/>
  <c r="G1046" i="2" s="1"/>
  <c r="C1047" i="2" a="1"/>
  <c r="G1047" i="2" s="1"/>
  <c r="C459" i="2" a="1"/>
  <c r="G459" i="2" s="1"/>
  <c r="C1048" i="2" a="1"/>
  <c r="G1048" i="2" s="1"/>
  <c r="C1049" i="2" a="1"/>
  <c r="G1049" i="2" s="1"/>
  <c r="C1050" i="2" a="1"/>
  <c r="G1050" i="2" s="1"/>
  <c r="C1051" i="2" a="1"/>
  <c r="G1051" i="2" s="1"/>
  <c r="C1052" i="2" a="1"/>
  <c r="G1052" i="2" s="1"/>
  <c r="C1053" i="2" a="1"/>
  <c r="G1053" i="2" s="1"/>
  <c r="C1054" i="2" a="1"/>
  <c r="G1054" i="2" s="1"/>
  <c r="C460" i="2" a="1"/>
  <c r="G460" i="2" s="1"/>
  <c r="C1055" i="2" a="1"/>
  <c r="G1055" i="2" s="1"/>
  <c r="C461" i="2" a="1"/>
  <c r="G461" i="2" s="1"/>
  <c r="C1056" i="2" a="1"/>
  <c r="G1056" i="2" s="1"/>
  <c r="C1057" i="2" a="1"/>
  <c r="G1057" i="2" s="1"/>
  <c r="C1058" i="2" a="1"/>
  <c r="G1058" i="2" s="1"/>
  <c r="C463" i="2" a="1"/>
  <c r="G463" i="2" s="1"/>
  <c r="C462" i="2" a="1"/>
  <c r="G462" i="2" s="1"/>
  <c r="C464" i="2" a="1"/>
  <c r="G464" i="2" s="1"/>
  <c r="C1059" i="2" a="1"/>
  <c r="G1059" i="2" s="1"/>
  <c r="C1060" i="2" a="1"/>
  <c r="G1060" i="2" s="1"/>
  <c r="C1061" i="2" a="1"/>
  <c r="G1061" i="2" s="1"/>
  <c r="C467" i="2" a="1"/>
  <c r="G467" i="2" s="1"/>
  <c r="C1062" i="2" a="1"/>
  <c r="G1062" i="2" s="1"/>
  <c r="C1063" i="2" a="1"/>
  <c r="G1063" i="2" s="1"/>
  <c r="C1064" i="2" a="1"/>
  <c r="G1064" i="2" s="1"/>
  <c r="C465" i="2" a="1"/>
  <c r="G465" i="2" s="1"/>
  <c r="C466" i="2" a="1"/>
  <c r="G466" i="2" s="1"/>
  <c r="C1065" i="2" a="1"/>
  <c r="G1065" i="2" s="1"/>
  <c r="C1066" i="2" a="1"/>
  <c r="G1066" i="2" s="1"/>
  <c r="C469" i="2" a="1"/>
  <c r="G469" i="2" s="1"/>
  <c r="C401" i="2" a="1"/>
  <c r="G401" i="2" s="1"/>
  <c r="C1067" i="2" a="1"/>
  <c r="G1067" i="2" s="1"/>
  <c r="C1068" i="2" a="1"/>
  <c r="G1068" i="2" s="1"/>
  <c r="C468" i="2" a="1"/>
  <c r="G468" i="2" s="1"/>
  <c r="C1069" i="2" a="1"/>
  <c r="G1069" i="2" s="1"/>
  <c r="C1070" i="2" a="1"/>
  <c r="G1070" i="2" s="1"/>
  <c r="C1071" i="2" a="1"/>
  <c r="G1071" i="2" s="1"/>
  <c r="C1072" i="2" a="1"/>
  <c r="G1072" i="2" s="1"/>
  <c r="C1073" i="2" a="1"/>
  <c r="G1073" i="2" s="1"/>
  <c r="C471" i="2" a="1"/>
  <c r="G471" i="2" s="1"/>
  <c r="C470" i="2" a="1"/>
  <c r="G470" i="2" s="1"/>
  <c r="C472" i="2" a="1"/>
  <c r="G472" i="2" s="1"/>
  <c r="C473" i="2" a="1"/>
  <c r="G473" i="2" s="1"/>
  <c r="C1074" i="2" a="1"/>
  <c r="G1074" i="2" s="1"/>
  <c r="C474" i="2" a="1"/>
  <c r="G474" i="2" s="1"/>
  <c r="C475" i="2" a="1"/>
  <c r="G475" i="2" s="1"/>
  <c r="C476" i="2" a="1"/>
  <c r="G476" i="2" s="1"/>
  <c r="C1075" i="2" a="1"/>
  <c r="G1075" i="2" s="1"/>
  <c r="C1076" i="2" a="1"/>
  <c r="G1076" i="2" s="1"/>
  <c r="C1077" i="2" a="1"/>
  <c r="G1077" i="2" s="1"/>
  <c r="C477" i="2" a="1"/>
  <c r="G477" i="2" s="1"/>
  <c r="C1078" i="2" a="1"/>
  <c r="G1078" i="2" s="1"/>
  <c r="C478" i="2" a="1"/>
  <c r="G478" i="2" s="1"/>
  <c r="C1079" i="2" a="1"/>
  <c r="G1079" i="2" s="1"/>
  <c r="C479" i="2" a="1"/>
  <c r="G479" i="2" s="1"/>
  <c r="C480" i="2" a="1"/>
  <c r="G480" i="2" s="1"/>
  <c r="C481" i="2" a="1"/>
  <c r="G481" i="2" s="1"/>
  <c r="C482" i="2" a="1"/>
  <c r="G482" i="2" s="1"/>
  <c r="C1080" i="2" a="1"/>
  <c r="G1080" i="2" s="1"/>
  <c r="C1081" i="2" a="1"/>
  <c r="G1081" i="2" s="1"/>
  <c r="C483" i="2" a="1"/>
  <c r="G483" i="2" s="1"/>
  <c r="C1082" i="2" a="1"/>
  <c r="G1082" i="2" s="1"/>
  <c r="C1083" i="2" a="1"/>
  <c r="G1083" i="2" s="1"/>
  <c r="C1084" i="2" a="1"/>
  <c r="G1084" i="2" s="1"/>
  <c r="C484" i="2" a="1"/>
  <c r="G484" i="2" s="1"/>
  <c r="C1085" i="2" a="1"/>
  <c r="G1085" i="2" s="1"/>
  <c r="C1086" i="2" a="1"/>
  <c r="G1086" i="2" s="1"/>
  <c r="C485" i="2" a="1"/>
  <c r="G485" i="2" s="1"/>
  <c r="C1087" i="2" a="1"/>
  <c r="G1087" i="2" s="1"/>
  <c r="C486" i="2" a="1"/>
  <c r="G486" i="2" s="1"/>
  <c r="C1088" i="2" a="1"/>
  <c r="G1088" i="2" s="1"/>
  <c r="C487" i="2" a="1"/>
  <c r="G487" i="2" s="1"/>
  <c r="C1089" i="2" a="1"/>
  <c r="G1089" i="2" s="1"/>
  <c r="C488" i="2" a="1"/>
  <c r="G488" i="2" s="1"/>
  <c r="C1090" i="2" a="1"/>
  <c r="G1090" i="2" s="1"/>
  <c r="C1091" i="2" a="1"/>
  <c r="G1091" i="2" s="1"/>
  <c r="C489" i="2" a="1"/>
  <c r="G489" i="2" s="1"/>
  <c r="C1092" i="2" a="1"/>
  <c r="G1092" i="2" s="1"/>
  <c r="C1093" i="2" a="1"/>
  <c r="G1093" i="2" s="1"/>
  <c r="C490" i="2" a="1"/>
  <c r="G490" i="2" s="1"/>
  <c r="C491" i="2" a="1"/>
  <c r="G491" i="2" s="1"/>
  <c r="C492" i="2" a="1"/>
  <c r="G492" i="2" s="1"/>
  <c r="C493" i="2" a="1"/>
  <c r="G493" i="2" s="1"/>
  <c r="C1094" i="2" a="1"/>
  <c r="G1094" i="2" s="1"/>
  <c r="C1095" i="2" a="1"/>
  <c r="G1095" i="2" s="1"/>
  <c r="C1096" i="2" a="1"/>
  <c r="G1096" i="2" s="1"/>
  <c r="C499" i="2" a="1"/>
  <c r="G499" i="2" s="1"/>
  <c r="C498" i="2" a="1"/>
  <c r="G498" i="2" s="1"/>
  <c r="C497" i="2" a="1"/>
  <c r="G497" i="2" s="1"/>
  <c r="C1097" i="2" a="1"/>
  <c r="G1097" i="2" s="1"/>
  <c r="C494" i="2" a="1"/>
  <c r="G494" i="2" s="1"/>
  <c r="C1098" i="2" a="1"/>
  <c r="G1098" i="2" s="1"/>
  <c r="C1099" i="2" a="1"/>
  <c r="G1099" i="2" s="1"/>
  <c r="C1100" i="2" a="1"/>
  <c r="G1100" i="2" s="1"/>
  <c r="C1101" i="2" a="1"/>
  <c r="G1101" i="2" s="1"/>
  <c r="C495" i="2" a="1"/>
  <c r="G495" i="2" s="1"/>
  <c r="C496" i="2" a="1"/>
  <c r="G496" i="2" s="1"/>
  <c r="C501" i="2" a="1"/>
  <c r="G501" i="2" s="1"/>
  <c r="C1102" i="2" a="1"/>
  <c r="G1102" i="2" s="1"/>
  <c r="C500" i="2" a="1"/>
  <c r="G500" i="2" s="1"/>
  <c r="C1103" i="2" a="1"/>
  <c r="G1103" i="2" s="1"/>
  <c r="C1104" i="2" a="1"/>
  <c r="G1104" i="2" s="1"/>
  <c r="C502" i="2" a="1"/>
  <c r="G502" i="2" s="1"/>
  <c r="C1105" i="2" a="1"/>
  <c r="G1105" i="2" s="1"/>
  <c r="C503" i="2" a="1"/>
  <c r="G503" i="2" s="1"/>
  <c r="C1106" i="2" a="1"/>
  <c r="G1106" i="2" s="1"/>
  <c r="C504" i="2" a="1"/>
  <c r="G504" i="2" s="1"/>
  <c r="C1107" i="2" a="1"/>
  <c r="G1107" i="2" s="1"/>
  <c r="C1108" i="2" a="1"/>
  <c r="G1108" i="2" s="1"/>
  <c r="C1109" i="2" a="1"/>
  <c r="G1109" i="2" s="1"/>
  <c r="C505" i="2" a="1"/>
  <c r="G505" i="2" s="1"/>
  <c r="C507" i="2" a="1"/>
  <c r="G507" i="2" s="1"/>
  <c r="C1110" i="2" a="1"/>
  <c r="G1110" i="2" s="1"/>
  <c r="C506" i="2" a="1"/>
  <c r="G506" i="2" s="1"/>
  <c r="C508" i="2" a="1"/>
  <c r="G508" i="2" s="1"/>
  <c r="C1111" i="2" a="1"/>
  <c r="G1111" i="2" s="1"/>
  <c r="C1112" i="2" a="1"/>
  <c r="G1112" i="2" s="1"/>
  <c r="C1113" i="2" a="1"/>
  <c r="G1113" i="2" s="1"/>
  <c r="C510" i="2" a="1"/>
  <c r="G510" i="2" s="1"/>
  <c r="C1114" i="2" a="1"/>
  <c r="G1114" i="2" s="1"/>
  <c r="C1115" i="2" a="1"/>
  <c r="G1115" i="2" s="1"/>
  <c r="C1116" i="2" a="1"/>
  <c r="G1116" i="2" s="1"/>
  <c r="C1117" i="2" a="1"/>
  <c r="G1117" i="2" s="1"/>
  <c r="C1118" i="2" a="1"/>
  <c r="G1118" i="2" s="1"/>
  <c r="C1119" i="2" a="1"/>
  <c r="G1119" i="2" s="1"/>
  <c r="C511" i="2" a="1"/>
  <c r="G511" i="2" s="1"/>
  <c r="C512" i="2" a="1"/>
  <c r="G512" i="2" s="1"/>
  <c r="C513" i="2" a="1"/>
  <c r="G513" i="2" s="1"/>
  <c r="C1120" i="2" a="1"/>
  <c r="G1120" i="2" s="1"/>
  <c r="C509" i="2" a="1"/>
  <c r="G509" i="2" s="1"/>
  <c r="C1121" i="2" a="1"/>
  <c r="G1121" i="2" s="1"/>
  <c r="C514" i="2" a="1"/>
  <c r="G514" i="2" s="1"/>
  <c r="C515" i="2" a="1"/>
  <c r="G515" i="2" s="1"/>
  <c r="C516" i="2" a="1"/>
  <c r="G516" i="2" s="1"/>
  <c r="C1122" i="2" a="1"/>
  <c r="G1122" i="2" s="1"/>
  <c r="C1123" i="2" a="1"/>
  <c r="G1123" i="2" s="1"/>
  <c r="C1124" i="2" a="1"/>
  <c r="G1124" i="2" s="1"/>
  <c r="C1125" i="2" a="1"/>
  <c r="G1125" i="2" s="1"/>
  <c r="C1126" i="2" a="1"/>
  <c r="G1126" i="2" s="1"/>
  <c r="C1127" i="2" a="1"/>
  <c r="G1127" i="2" s="1"/>
  <c r="C1128" i="2" a="1"/>
  <c r="G1128" i="2" s="1"/>
  <c r="C1129" i="2" a="1"/>
  <c r="G1129" i="2" s="1"/>
  <c r="C1130" i="2" a="1"/>
  <c r="G1130" i="2" s="1"/>
  <c r="C1131" i="2" a="1"/>
  <c r="G1131" i="2" s="1"/>
  <c r="C1132" i="2" a="1"/>
  <c r="G1132" i="2" s="1"/>
  <c r="C517" i="2" a="1"/>
  <c r="G517" i="2" s="1"/>
  <c r="C1133" i="2" a="1"/>
  <c r="G1133" i="2" s="1"/>
  <c r="C518" i="2" a="1"/>
  <c r="G518" i="2" s="1"/>
  <c r="C1134" i="2" a="1"/>
  <c r="G1134" i="2" s="1"/>
  <c r="C1135" i="2" a="1"/>
  <c r="G1135" i="2" s="1"/>
  <c r="C1136" i="2" a="1"/>
  <c r="G1136" i="2" s="1"/>
  <c r="C519" i="2" a="1"/>
  <c r="G519" i="2" s="1"/>
  <c r="C521" i="2" a="1"/>
  <c r="G521" i="2" s="1"/>
  <c r="C1137" i="2" a="1"/>
  <c r="G1137" i="2" s="1"/>
  <c r="C1138" i="2" a="1"/>
  <c r="G1138" i="2" s="1"/>
  <c r="C520" i="2" a="1"/>
  <c r="G520" i="2" s="1"/>
  <c r="C1139" i="2" a="1"/>
  <c r="G1139" i="2" s="1"/>
  <c r="C1140" i="2" a="1"/>
  <c r="G1140" i="2" s="1"/>
  <c r="C1141" i="2" a="1"/>
  <c r="G1141" i="2" s="1"/>
  <c r="C1142" i="2" a="1"/>
  <c r="G1142" i="2" s="1"/>
  <c r="C1143" i="2" a="1"/>
  <c r="G1143" i="2" s="1"/>
  <c r="C522" i="2" a="1"/>
  <c r="G522" i="2" s="1"/>
  <c r="C1144" i="2" a="1"/>
  <c r="G1144" i="2" s="1"/>
  <c r="C523" i="2" a="1"/>
  <c r="G523" i="2" s="1"/>
  <c r="C1145" i="2" a="1"/>
  <c r="G1145" i="2" s="1"/>
  <c r="C1146" i="2" a="1"/>
  <c r="G1146" i="2" s="1"/>
  <c r="C1147" i="2" a="1"/>
  <c r="G1147" i="2" s="1"/>
  <c r="C1148" i="2" a="1"/>
  <c r="G1148" i="2" s="1"/>
  <c r="C524" i="2" a="1"/>
  <c r="G524" i="2" s="1"/>
  <c r="C1149" i="2" a="1"/>
  <c r="G1149" i="2" s="1"/>
  <c r="C1150" i="2" a="1"/>
  <c r="G1150" i="2" s="1"/>
  <c r="C525" i="2" a="1"/>
  <c r="G525" i="2" s="1"/>
  <c r="C1151" i="2" a="1"/>
  <c r="G1151" i="2" s="1"/>
  <c r="C526" i="2" a="1"/>
  <c r="G526" i="2" s="1"/>
  <c r="C1152" i="2" a="1"/>
  <c r="G1152" i="2" s="1"/>
  <c r="C1153" i="2" a="1"/>
  <c r="G1153" i="2" s="1"/>
  <c r="C527" i="2" a="1"/>
  <c r="G527" i="2" s="1"/>
  <c r="C1154" i="2" a="1"/>
  <c r="G1154" i="2" s="1"/>
  <c r="C528" i="2" a="1"/>
  <c r="G528" i="2" s="1"/>
  <c r="C1155" i="2" a="1"/>
  <c r="G1155" i="2" s="1"/>
  <c r="C1156" i="2" a="1"/>
  <c r="G1156" i="2" s="1"/>
  <c r="C1157" i="2" a="1"/>
  <c r="G1157" i="2" s="1"/>
  <c r="C1158" i="2" a="1"/>
  <c r="G1158" i="2" s="1"/>
  <c r="C1159" i="2" a="1"/>
  <c r="G1159" i="2" s="1"/>
  <c r="C1160" i="2" a="1"/>
  <c r="G1160" i="2" s="1"/>
  <c r="C1161" i="2" a="1"/>
  <c r="G1161" i="2" s="1"/>
  <c r="C1162" i="2" a="1"/>
  <c r="G1162" i="2" s="1"/>
  <c r="C1163" i="2" a="1"/>
  <c r="G1163" i="2" s="1"/>
  <c r="C1164" i="2" a="1"/>
  <c r="G1164" i="2" s="1"/>
  <c r="C1165" i="2" a="1"/>
  <c r="G1165" i="2" s="1"/>
  <c r="C1166" i="2" a="1"/>
  <c r="G1166" i="2" s="1"/>
  <c r="C1167" i="2" a="1"/>
  <c r="G1167" i="2" s="1"/>
  <c r="C1168" i="2" a="1"/>
  <c r="G1168" i="2" s="1"/>
  <c r="C529" i="2" a="1"/>
  <c r="G529" i="2" s="1"/>
  <c r="C1169" i="2" a="1"/>
  <c r="G1169" i="2" s="1"/>
  <c r="C1170" i="2" a="1"/>
  <c r="G1170" i="2" s="1"/>
  <c r="C1171" i="2" a="1"/>
  <c r="G1171" i="2" s="1"/>
  <c r="C530" i="2" a="1"/>
  <c r="G530" i="2" s="1"/>
  <c r="C1172" i="2" a="1"/>
  <c r="G1172" i="2" s="1"/>
  <c r="C1173" i="2" a="1"/>
  <c r="G1173" i="2" s="1"/>
  <c r="C1174" i="2" a="1"/>
  <c r="G1174" i="2" s="1"/>
  <c r="C531" i="2" a="1"/>
  <c r="G531" i="2" s="1"/>
  <c r="C532" i="2" a="1"/>
  <c r="G532" i="2" s="1"/>
  <c r="C1175" i="2" a="1"/>
  <c r="G1175" i="2" s="1"/>
  <c r="C534" i="2" a="1"/>
  <c r="G534" i="2" s="1"/>
  <c r="C533" i="2" a="1"/>
  <c r="G533" i="2" s="1"/>
  <c r="C1176" i="2" a="1"/>
  <c r="G1176" i="2" s="1"/>
  <c r="C1177" i="2" a="1"/>
  <c r="G1177" i="2" s="1"/>
  <c r="C535" i="2" a="1"/>
  <c r="G535" i="2" s="1"/>
  <c r="C1178" i="2" a="1"/>
  <c r="G1178" i="2" s="1"/>
  <c r="C537" i="2" a="1"/>
  <c r="G537" i="2" s="1"/>
  <c r="C1179" i="2" a="1"/>
  <c r="G1179" i="2" s="1"/>
  <c r="C536" i="2" a="1"/>
  <c r="G536" i="2" s="1"/>
  <c r="C539" i="2" a="1"/>
  <c r="G539" i="2" s="1"/>
  <c r="C1180" i="2" a="1"/>
  <c r="G1180" i="2" s="1"/>
  <c r="C1181" i="2" a="1"/>
  <c r="G1181" i="2" s="1"/>
  <c r="C1182" i="2" a="1"/>
  <c r="G1182" i="2" s="1"/>
  <c r="C538" i="2" a="1"/>
  <c r="G538" i="2" s="1"/>
  <c r="C1183" i="2" a="1"/>
  <c r="G1183" i="2" s="1"/>
  <c r="C540" i="2" a="1"/>
  <c r="G540" i="2" s="1"/>
  <c r="C1184" i="2" a="1"/>
  <c r="G1184" i="2" s="1"/>
  <c r="C1185" i="2" a="1"/>
  <c r="G1185" i="2" s="1"/>
  <c r="C1186" i="2" a="1"/>
  <c r="G1186" i="2" s="1"/>
  <c r="C1187" i="2" a="1"/>
  <c r="G1187" i="2" s="1"/>
  <c r="C1188" i="2" a="1"/>
  <c r="G1188" i="2" s="1"/>
  <c r="C1189" i="2" a="1"/>
  <c r="G1189" i="2" s="1"/>
  <c r="C1190" i="2" a="1"/>
  <c r="G1190" i="2" s="1"/>
  <c r="C1191" i="2" a="1"/>
  <c r="G1191" i="2" s="1"/>
  <c r="C1192" i="2" a="1"/>
  <c r="G1192" i="2" s="1"/>
  <c r="C1193" i="2" a="1"/>
  <c r="G1193" i="2" s="1"/>
  <c r="C1194" i="2" a="1"/>
  <c r="G1194" i="2" s="1"/>
  <c r="C1195" i="2" a="1"/>
  <c r="G1195" i="2" s="1"/>
  <c r="C1196" i="2" a="1"/>
  <c r="G1196" i="2" s="1"/>
  <c r="C541" i="2" a="1"/>
  <c r="G541" i="2" s="1"/>
  <c r="C1197" i="2" a="1"/>
  <c r="G1197" i="2" s="1"/>
  <c r="C1198" i="2" a="1"/>
  <c r="G1198" i="2" s="1"/>
  <c r="C1199" i="2" a="1"/>
  <c r="G1199" i="2" s="1"/>
  <c r="C1200" i="2" a="1"/>
  <c r="G1200" i="2" s="1"/>
  <c r="C1201" i="2" a="1"/>
  <c r="G1201" i="2" s="1"/>
  <c r="C543" i="2" a="1"/>
  <c r="G543" i="2" s="1"/>
  <c r="C1202" i="2" a="1"/>
  <c r="G1202" i="2" s="1"/>
  <c r="C1203" i="2" a="1"/>
  <c r="G1203" i="2" s="1"/>
  <c r="C542" i="2" a="1"/>
  <c r="G542" i="2" s="1"/>
  <c r="C1204" i="2" a="1"/>
  <c r="G1204" i="2" s="1"/>
  <c r="C1205" i="2" a="1"/>
  <c r="G1205" i="2" s="1"/>
  <c r="C1206" i="2" a="1"/>
  <c r="G1206" i="2" s="1"/>
  <c r="C544" i="2" a="1"/>
  <c r="G544" i="2" s="1"/>
  <c r="C1207" i="2" a="1"/>
  <c r="G1207" i="2" s="1"/>
  <c r="C545" i="2" a="1"/>
  <c r="G545" i="2" s="1"/>
  <c r="C1208" i="2" a="1"/>
  <c r="G1208" i="2" s="1"/>
  <c r="C546" i="2" a="1"/>
  <c r="G546" i="2" s="1"/>
  <c r="C547" i="2" a="1"/>
  <c r="G547" i="2" s="1"/>
  <c r="C1209" i="2" a="1"/>
  <c r="G1209" i="2" s="1"/>
  <c r="C1210" i="2" a="1"/>
  <c r="G1210" i="2" s="1"/>
  <c r="C1211" i="2" a="1"/>
  <c r="G1211" i="2" s="1"/>
  <c r="C548" i="2" a="1"/>
  <c r="G548" i="2" s="1"/>
  <c r="C1212" i="2" a="1"/>
  <c r="G1212" i="2" s="1"/>
  <c r="C1213" i="2" a="1"/>
  <c r="G1213" i="2" s="1"/>
  <c r="C1214" i="2" a="1"/>
  <c r="G1214" i="2" s="1"/>
  <c r="C1215" i="2" a="1"/>
  <c r="G1215" i="2" s="1"/>
  <c r="C1216" i="2" a="1"/>
  <c r="G1216" i="2" s="1"/>
  <c r="C549" i="2" a="1"/>
  <c r="G549" i="2" s="1"/>
  <c r="C1217" i="2" a="1"/>
  <c r="G1217" i="2" s="1"/>
  <c r="C1218" i="2" a="1"/>
  <c r="G1218" i="2" s="1"/>
  <c r="C1219" i="2" a="1"/>
  <c r="G1219" i="2" s="1"/>
  <c r="C1220" i="2" a="1"/>
  <c r="G1220" i="2" s="1"/>
  <c r="C1221" i="2" a="1"/>
  <c r="G1221" i="2" s="1"/>
  <c r="C1222" i="2" a="1"/>
  <c r="G1222" i="2" s="1"/>
  <c r="C1223" i="2" a="1"/>
  <c r="G1223" i="2" s="1"/>
  <c r="C1224" i="2" a="1"/>
  <c r="G1224" i="2" s="1"/>
  <c r="C1225" i="2" a="1"/>
  <c r="G1225" i="2" s="1"/>
  <c r="C1226" i="2" a="1"/>
  <c r="G1226" i="2" s="1"/>
  <c r="C1227" i="2" a="1"/>
  <c r="G1227" i="2" s="1"/>
  <c r="C550" i="2" a="1"/>
  <c r="G550" i="2" s="1"/>
  <c r="C1228" i="2" a="1"/>
  <c r="G1228" i="2" s="1"/>
  <c r="C1229" i="2" a="1"/>
  <c r="G1229" i="2" s="1"/>
  <c r="C1230" i="2" a="1"/>
  <c r="G1230" i="2" s="1"/>
  <c r="C1231" i="2" a="1"/>
  <c r="G1231" i="2" s="1"/>
  <c r="C1232" i="2" a="1"/>
  <c r="G1232" i="2" s="1"/>
  <c r="C551" i="2" a="1"/>
  <c r="G551" i="2" s="1"/>
  <c r="C1233" i="2" a="1"/>
  <c r="G1233" i="2" s="1"/>
  <c r="C552" i="2" a="1"/>
  <c r="G552" i="2" s="1"/>
  <c r="C1234" i="2" a="1"/>
  <c r="G1234" i="2" s="1"/>
  <c r="C1235" i="2" a="1"/>
  <c r="G1235" i="2" s="1"/>
  <c r="C1236" i="2" a="1"/>
  <c r="G1236" i="2" s="1"/>
  <c r="C1237" i="2" a="1"/>
  <c r="G1237" i="2" s="1"/>
  <c r="C1238" i="2" a="1"/>
  <c r="G1238" i="2" s="1"/>
  <c r="C553" i="2" a="1"/>
  <c r="G553" i="2" s="1"/>
  <c r="C554" i="2" a="1"/>
  <c r="G554" i="2" s="1"/>
  <c r="C1239" i="2" a="1"/>
  <c r="G1239" i="2" s="1"/>
  <c r="C1240" i="2" a="1"/>
  <c r="G1240" i="2" s="1"/>
  <c r="C1241" i="2" a="1"/>
  <c r="G1241" i="2" s="1"/>
  <c r="C1242" i="2" a="1"/>
  <c r="G1242" i="2" s="1"/>
  <c r="C1243" i="2" a="1"/>
  <c r="G1243" i="2" s="1"/>
  <c r="C1244" i="2" a="1"/>
  <c r="G1244" i="2" s="1"/>
  <c r="C1245" i="2" a="1"/>
  <c r="G1245" i="2" s="1"/>
  <c r="C1246" i="2" a="1"/>
  <c r="G1246" i="2" s="1"/>
  <c r="C1247" i="2" a="1"/>
  <c r="G1247" i="2" s="1"/>
  <c r="C1248" i="2" a="1"/>
  <c r="G1248" i="2" s="1"/>
  <c r="C1249" i="2" a="1"/>
  <c r="G1249" i="2" s="1"/>
  <c r="C1250" i="2" a="1"/>
  <c r="G1250" i="2" s="1"/>
  <c r="C1251" i="2" a="1"/>
  <c r="G1251" i="2" s="1"/>
  <c r="C555" i="2" a="1"/>
  <c r="G555" i="2" s="1"/>
  <c r="C1252" i="2" a="1"/>
  <c r="G1252" i="2" s="1"/>
  <c r="C556" i="2" a="1"/>
  <c r="G556" i="2" s="1"/>
  <c r="C1253" i="2" a="1"/>
  <c r="G1253" i="2" s="1"/>
  <c r="C1254" i="2" a="1"/>
  <c r="G1254" i="2" s="1"/>
  <c r="C1255" i="2" a="1"/>
  <c r="G1255" i="2" s="1"/>
  <c r="C1256" i="2" a="1"/>
  <c r="G1256" i="2" s="1"/>
  <c r="C1257" i="2" a="1"/>
  <c r="G1257" i="2" s="1"/>
  <c r="C1258" i="2" a="1"/>
  <c r="G1258" i="2" s="1"/>
  <c r="C1259" i="2" a="1"/>
  <c r="G1259" i="2" s="1"/>
  <c r="C1260" i="2" a="1"/>
  <c r="G1260" i="2" s="1"/>
  <c r="C1261" i="2" a="1"/>
  <c r="G1261" i="2" s="1"/>
  <c r="C1262" i="2" a="1"/>
  <c r="G1262" i="2" s="1"/>
  <c r="C557" i="2" a="1"/>
  <c r="G557" i="2" s="1"/>
  <c r="C1263" i="2" a="1"/>
  <c r="G1263" i="2" s="1"/>
  <c r="C1264" i="2" a="1"/>
  <c r="G1264" i="2" s="1"/>
  <c r="C1265" i="2" a="1"/>
  <c r="G1265" i="2" s="1"/>
  <c r="C1266" i="2" a="1"/>
  <c r="G1266" i="2" s="1"/>
  <c r="C558" i="2" a="1"/>
  <c r="G558" i="2" s="1"/>
  <c r="C1267" i="2" a="1"/>
  <c r="G1267" i="2" s="1"/>
  <c r="C1268" i="2" a="1"/>
  <c r="G1268" i="2" s="1"/>
  <c r="C1269" i="2" a="1"/>
  <c r="G1269" i="2" s="1"/>
  <c r="C1270" i="2" a="1"/>
  <c r="G1270" i="2" s="1"/>
  <c r="C559" i="2" a="1"/>
  <c r="G559" i="2" s="1"/>
  <c r="C1271" i="2" a="1"/>
  <c r="G1271" i="2" s="1"/>
  <c r="C1272" i="2" a="1"/>
  <c r="G1272" i="2" s="1"/>
  <c r="C1273" i="2" a="1"/>
  <c r="G1273" i="2" s="1"/>
  <c r="C560" i="2" a="1"/>
  <c r="G560" i="2" s="1"/>
  <c r="C1274" i="2" a="1"/>
  <c r="G1274" i="2" s="1"/>
  <c r="C561" i="2" a="1"/>
  <c r="G561" i="2" s="1"/>
  <c r="C1275" i="2" a="1"/>
  <c r="G1275" i="2" s="1"/>
  <c r="C1276" i="2" a="1"/>
  <c r="G1276" i="2" s="1"/>
  <c r="C1277" i="2" a="1"/>
  <c r="G1277" i="2" s="1"/>
  <c r="C1278" i="2" a="1"/>
  <c r="G1278" i="2" s="1"/>
  <c r="C1279" i="2" a="1"/>
  <c r="G1279" i="2" s="1"/>
  <c r="C1280" i="2" a="1"/>
  <c r="G1280" i="2" s="1"/>
  <c r="C1281" i="2" a="1"/>
  <c r="G1281" i="2" s="1"/>
  <c r="C1282" i="2" a="1"/>
  <c r="G1282" i="2" s="1"/>
  <c r="C1283" i="2" a="1"/>
  <c r="G1283" i="2" s="1"/>
  <c r="C1284" i="2" a="1"/>
  <c r="G1284" i="2" s="1"/>
  <c r="C1285" i="2" a="1"/>
  <c r="G1285" i="2" s="1"/>
  <c r="C562" i="2" a="1"/>
  <c r="G562" i="2" s="1"/>
  <c r="C1286" i="2" a="1"/>
  <c r="G1286" i="2" s="1"/>
  <c r="C567" i="2" a="1"/>
  <c r="G567" i="2" s="1"/>
  <c r="H2" i="4" l="1" a="1"/>
  <c r="G2" i="3"/>
  <c r="B133" i="2" a="1"/>
  <c r="F133" i="2" s="1" a="1"/>
  <c r="B215" i="2" a="1"/>
  <c r="F215" i="2" s="1" a="1"/>
  <c r="B757" i="2" a="1"/>
  <c r="F757" i="2" s="1" a="1"/>
  <c r="B333" i="2" a="1"/>
  <c r="F333" i="2" s="1" a="1"/>
  <c r="B691" i="2" a="1"/>
  <c r="F691" i="2" s="1" a="1"/>
  <c r="B387" i="2" a="1"/>
  <c r="F387" i="2" s="1" a="1"/>
  <c r="B866" i="2" a="1"/>
  <c r="F866" i="2" s="1" a="1"/>
  <c r="B40" i="2" a="1"/>
  <c r="F40" i="2" s="1" a="1"/>
  <c r="B155" i="2" a="1"/>
  <c r="F155" i="2" s="1" a="1"/>
  <c r="B194" i="2" a="1"/>
  <c r="F194" i="2" s="1" a="1"/>
  <c r="B462" i="2" a="1"/>
  <c r="F462" i="2" s="1" a="1"/>
  <c r="B498" i="2" a="1"/>
  <c r="F498" i="2" s="1" a="1"/>
  <c r="B307" i="2" a="1"/>
  <c r="F307" i="2" s="1" a="1"/>
  <c r="B478" i="2" a="1"/>
  <c r="F478" i="2" s="1" a="1"/>
  <c r="B514" i="2" a="1"/>
  <c r="F514" i="2" s="1" a="1"/>
  <c r="B107" i="2" a="1"/>
  <c r="F107" i="2" s="1" a="1"/>
  <c r="B542" i="2" a="1"/>
  <c r="F542" i="2" s="1" a="1"/>
  <c r="B301" i="2" a="1"/>
  <c r="F301" i="2" s="1" a="1"/>
  <c r="B1016" i="2" a="1"/>
  <c r="F1016" i="2" s="1" a="1"/>
  <c r="B570" i="2" a="1"/>
  <c r="F570" i="2" s="1" a="1"/>
  <c r="B835" i="2" a="1"/>
  <c r="F835" i="2" s="1" a="1"/>
  <c r="B637" i="2" a="1"/>
  <c r="F637" i="2" s="1" a="1"/>
  <c r="B317" i="2" a="1"/>
  <c r="F317" i="2" s="1" a="1"/>
  <c r="B7" i="2" a="1"/>
  <c r="F7" i="2" s="1" a="1"/>
  <c r="B384" i="2" a="1"/>
  <c r="F384" i="2" s="1" a="1"/>
  <c r="B80" i="2" a="1"/>
  <c r="F80" i="2" s="1" a="1"/>
  <c r="B1073" i="2" a="1"/>
  <c r="F1073" i="2" s="1" a="1"/>
  <c r="B555" i="2" a="1"/>
  <c r="F555" i="2" s="1" a="1"/>
  <c r="B585" i="2" a="1"/>
  <c r="F585" i="2" s="1" a="1"/>
  <c r="B1019" i="2" a="1"/>
  <c r="F1019" i="2" s="1" a="1"/>
  <c r="B851" i="2" a="1"/>
  <c r="F851" i="2" s="1" a="1"/>
  <c r="B789" i="2" a="1"/>
  <c r="F789" i="2" s="1" a="1"/>
  <c r="B44" i="2" a="1"/>
  <c r="F44" i="2" s="1" a="1"/>
  <c r="B447" i="2" a="1"/>
  <c r="F447" i="2" s="1" a="1"/>
  <c r="B960" i="2" a="1"/>
  <c r="F960" i="2" s="1" a="1"/>
  <c r="B938" i="2" a="1"/>
  <c r="F938" i="2" s="1" a="1"/>
  <c r="B1178" i="2" a="1"/>
  <c r="F1178" i="2" s="1" a="1"/>
  <c r="B76" i="2" a="1"/>
  <c r="F76" i="2" s="1" a="1"/>
  <c r="B526" i="2" a="1"/>
  <c r="F526" i="2" s="1" a="1"/>
  <c r="B22" i="2" a="1"/>
  <c r="F22" i="2" s="1" a="1"/>
  <c r="B1001" i="2" a="1"/>
  <c r="F1001" i="2" s="1" a="1"/>
  <c r="B1112" i="2" a="1"/>
  <c r="F1112" i="2" s="1" a="1"/>
  <c r="B18" i="2" a="1"/>
  <c r="F18" i="2" s="1" a="1"/>
  <c r="B910" i="2" a="1"/>
  <c r="F910" i="2" s="1" a="1"/>
  <c r="B398" i="2" a="1"/>
  <c r="F398" i="2" s="1" a="1"/>
  <c r="B569" i="2" a="1"/>
  <c r="F569" i="2" s="1" a="1"/>
  <c r="B1047" i="2" a="1"/>
  <c r="F1047" i="2" s="1" a="1"/>
  <c r="B363" i="2" a="1"/>
  <c r="F363" i="2" s="1" a="1"/>
  <c r="B87" i="2" a="1"/>
  <c r="F87" i="2" s="1" a="1"/>
  <c r="B1120" i="2" a="1"/>
  <c r="F1120" i="2" s="1" a="1"/>
  <c r="B584" i="2" a="1"/>
  <c r="F584" i="2" s="1" a="1"/>
  <c r="B894" i="2" a="1"/>
  <c r="F894" i="2" s="1" a="1"/>
  <c r="B1199" i="2" a="1"/>
  <c r="F1199" i="2" s="1" a="1"/>
  <c r="B959" i="2" a="1"/>
  <c r="F959" i="2" s="1" a="1"/>
  <c r="B821" i="2" a="1"/>
  <c r="F821" i="2" s="1" a="1"/>
  <c r="B393" i="2" a="1"/>
  <c r="F393" i="2" s="1" a="1"/>
  <c r="B53" i="2" a="1"/>
  <c r="F53" i="2" s="1" a="1"/>
  <c r="B429" i="2" a="1"/>
  <c r="F429" i="2" s="1" a="1"/>
  <c r="B118" i="2" a="1"/>
  <c r="F118" i="2" s="1" a="1"/>
  <c r="B1151" i="2" a="1"/>
  <c r="F1151" i="2" s="1" a="1"/>
  <c r="B815" i="2" a="1"/>
  <c r="F815" i="2" s="1" a="1"/>
  <c r="B909" i="2" a="1"/>
  <c r="F909" i="2" s="1" a="1"/>
  <c r="B1214" i="2" a="1"/>
  <c r="F1214" i="2" s="1" a="1"/>
  <c r="B974" i="2" a="1"/>
  <c r="F974" i="2" s="1" a="1"/>
  <c r="B454" i="2" a="1"/>
  <c r="F454" i="2" s="1" a="1"/>
  <c r="B318" i="2" a="1"/>
  <c r="F318" i="2" s="1" a="1"/>
  <c r="B677" i="2" a="1"/>
  <c r="F677" i="2" s="1" a="1"/>
  <c r="B372" i="2" a="1"/>
  <c r="F372" i="2" s="1" a="1"/>
  <c r="B689" i="2" a="1"/>
  <c r="F689" i="2" s="1" a="1"/>
  <c r="B29" i="2" a="1"/>
  <c r="F29" i="2" s="1" a="1"/>
  <c r="B431" i="2" a="1"/>
  <c r="F431" i="2" s="1" a="1"/>
  <c r="B538" i="2" a="1"/>
  <c r="F538" i="2" s="1" a="1"/>
  <c r="B721" i="2" a="1"/>
  <c r="F721" i="2" s="1" a="1"/>
  <c r="B882" i="2" a="1"/>
  <c r="F882" i="2" s="1" a="1"/>
  <c r="B292" i="2" a="1"/>
  <c r="F292" i="2" s="1" a="1"/>
  <c r="B461" i="2" a="1"/>
  <c r="F461" i="2" s="1" a="1"/>
  <c r="B479" i="2" a="1"/>
  <c r="F479" i="2" s="1" a="1"/>
  <c r="B240" i="2" a="1"/>
  <c r="F240" i="2" s="1" a="1"/>
  <c r="B477" i="2" a="1"/>
  <c r="F477" i="2" s="1" a="1"/>
  <c r="B1172" i="2" a="1"/>
  <c r="F1172" i="2" s="1" a="1"/>
  <c r="B323" i="2" a="1"/>
  <c r="F323" i="2" s="1" a="1"/>
  <c r="B509" i="2" a="1"/>
  <c r="F509" i="2" s="1" a="1"/>
  <c r="B726" i="2" a="1"/>
  <c r="F726" i="2" s="1" a="1"/>
  <c r="B37" i="2" a="1"/>
  <c r="F37" i="2" s="1" a="1"/>
  <c r="B353" i="2" a="1"/>
  <c r="F353" i="2" s="1" a="1"/>
  <c r="B23" i="2" a="1"/>
  <c r="F23" i="2" s="1" a="1"/>
  <c r="B1105" i="2" a="1"/>
  <c r="F1105" i="2" s="1" a="1"/>
  <c r="B865" i="2" a="1"/>
  <c r="F865" i="2" s="1" a="1"/>
  <c r="B38" i="2" a="1"/>
  <c r="F38" i="2" s="1" a="1"/>
  <c r="B209" i="2" a="1"/>
  <c r="F209" i="2" s="1" a="1"/>
  <c r="B43" i="2" a="1"/>
  <c r="F43" i="2" s="1" a="1"/>
  <c r="B88" i="2" a="1"/>
  <c r="F88" i="2" s="1" a="1"/>
  <c r="B956" i="2" a="1"/>
  <c r="F956" i="2" s="1" a="1"/>
  <c r="B1125" i="2" a="1"/>
  <c r="F1125" i="2" s="1" a="1"/>
  <c r="B730" i="2" a="1"/>
  <c r="F730" i="2" s="1" a="1"/>
  <c r="B225" i="2" a="1"/>
  <c r="F225" i="2" s="1" a="1"/>
  <c r="B70" i="2" a="1"/>
  <c r="F70" i="2" s="1" a="1"/>
  <c r="B89" i="2" a="1"/>
  <c r="F89" i="2" s="1" a="1"/>
  <c r="B614" i="2" a="1"/>
  <c r="F614" i="2" s="1" a="1"/>
  <c r="B135" i="2" a="1"/>
  <c r="F135" i="2" s="1" a="1"/>
  <c r="B847" i="2" a="1"/>
  <c r="F847" i="2" s="1" a="1"/>
  <c r="B972" i="2" a="1"/>
  <c r="F972" i="2" s="1" a="1"/>
  <c r="B250" i="2" a="1"/>
  <c r="F250" i="2" s="1" a="1"/>
  <c r="B589" i="2" a="1"/>
  <c r="F589" i="2" s="1" a="1"/>
  <c r="B424" i="2" a="1"/>
  <c r="F424" i="2" s="1" a="1"/>
  <c r="B13" i="2" a="1"/>
  <c r="F13" i="2" s="1" a="1"/>
  <c r="B152" i="2" a="1"/>
  <c r="F152" i="2" s="1" a="1"/>
  <c r="B958" i="2" a="1"/>
  <c r="F958" i="2" s="1" a="1"/>
  <c r="B9" i="2" a="1"/>
  <c r="F9" i="2" s="1" a="1"/>
  <c r="B263" i="2" a="1"/>
  <c r="F263" i="2" s="1" a="1"/>
  <c r="B1033" i="2" a="1"/>
  <c r="F1033" i="2" s="1" a="1"/>
  <c r="B5" i="2" a="1"/>
  <c r="F5" i="2" s="1" a="1"/>
  <c r="B278" i="2" a="1"/>
  <c r="F278" i="2" s="1" a="1"/>
  <c r="B432" i="2" a="1"/>
  <c r="F432" i="2" s="1" a="1"/>
  <c r="B224" i="2" a="1"/>
  <c r="F224" i="2" s="1" a="1"/>
  <c r="B60" i="2" a="1"/>
  <c r="F60" i="2" s="1" a="1"/>
  <c r="B171" i="2" a="1"/>
  <c r="F171" i="2" s="1" a="1"/>
  <c r="B6" i="2" a="1"/>
  <c r="F6" i="2" s="1" a="1"/>
  <c r="B985" i="2" a="1"/>
  <c r="F985" i="2" s="1" a="1"/>
  <c r="B312" i="2" a="1"/>
  <c r="F312" i="2" s="1" a="1"/>
  <c r="B272" i="2" a="1"/>
  <c r="F272" i="2" s="1" a="1"/>
  <c r="B492" i="2" a="1"/>
  <c r="F492" i="2" s="1" a="1"/>
  <c r="B621" i="2" a="1"/>
  <c r="F621" i="2" s="1" a="1"/>
  <c r="B540" i="2" a="1"/>
  <c r="F540" i="2" s="1" a="1"/>
  <c r="B347" i="2" a="1"/>
  <c r="F347" i="2" s="1" a="1"/>
  <c r="B111" i="2" a="1"/>
  <c r="F111" i="2" s="1" a="1"/>
  <c r="B878" i="2" a="1"/>
  <c r="F878" i="2" s="1" a="1"/>
  <c r="B805" i="2" a="1"/>
  <c r="F805" i="2" s="1" a="1"/>
  <c r="B414" i="2" a="1"/>
  <c r="F414" i="2" s="1" a="1"/>
  <c r="B54" i="2" a="1"/>
  <c r="F54" i="2" s="1" a="1"/>
  <c r="B599" i="2" a="1"/>
  <c r="F599" i="2" s="1" a="1"/>
  <c r="B831" i="2" a="1"/>
  <c r="F831" i="2" s="1" a="1"/>
  <c r="B1230" i="2" a="1"/>
  <c r="F1230" i="2" s="1" a="1"/>
  <c r="B241" i="2" a="1"/>
  <c r="F241" i="2" s="1" a="1"/>
  <c r="B86" i="2" a="1"/>
  <c r="F86" i="2" s="1" a="1"/>
  <c r="B105" i="2" a="1"/>
  <c r="F105" i="2" s="1" a="1"/>
  <c r="B630" i="2" a="1"/>
  <c r="F630" i="2" s="1" a="1"/>
  <c r="B167" i="2" a="1"/>
  <c r="F167" i="2" s="1" a="1"/>
  <c r="B862" i="2" a="1"/>
  <c r="F862" i="2" s="1" a="1"/>
  <c r="B987" i="2" a="1"/>
  <c r="F987" i="2" s="1" a="1"/>
  <c r="B771" i="2" a="1"/>
  <c r="F771" i="2" s="1" a="1"/>
  <c r="B605" i="2" a="1"/>
  <c r="F605" i="2" s="1" a="1"/>
  <c r="B701" i="2" a="1"/>
  <c r="F701" i="2" s="1" a="1"/>
  <c r="B257" i="2" a="1"/>
  <c r="F257" i="2" s="1" a="1"/>
  <c r="B101" i="2" a="1"/>
  <c r="F101" i="2" s="1" a="1"/>
  <c r="B121" i="2" a="1"/>
  <c r="F121" i="2" s="1" a="1"/>
  <c r="B646" i="2" a="1"/>
  <c r="F646" i="2" s="1" a="1"/>
  <c r="B183" i="2" a="1"/>
  <c r="F183" i="2" s="1" a="1"/>
  <c r="B877" i="2" a="1"/>
  <c r="F877" i="2" s="1" a="1"/>
  <c r="B1018" i="2" a="1"/>
  <c r="F1018" i="2" s="1" a="1"/>
  <c r="B802" i="2" a="1"/>
  <c r="F802" i="2" s="1" a="1"/>
  <c r="B636" i="2" a="1"/>
  <c r="F636" i="2" s="1" a="1"/>
  <c r="B1099" i="2" a="1"/>
  <c r="F1099" i="2" s="1" a="1"/>
  <c r="B302" i="2" a="1"/>
  <c r="F302" i="2" s="1" a="1"/>
  <c r="B117" i="2" a="1"/>
  <c r="F117" i="2" s="1" a="1"/>
  <c r="B153" i="2" a="1"/>
  <c r="F153" i="2" s="1" a="1"/>
  <c r="B661" i="2" a="1"/>
  <c r="F661" i="2" s="1" a="1"/>
  <c r="B199" i="2" a="1"/>
  <c r="F199" i="2" s="1" a="1"/>
  <c r="B73" i="2" a="1"/>
  <c r="F73" i="2" s="1" a="1"/>
  <c r="B326" i="2" a="1"/>
  <c r="F326" i="2" s="1" a="1"/>
  <c r="B942" i="2" a="1"/>
  <c r="F942" i="2" s="1" a="1"/>
  <c r="B742" i="2" a="1"/>
  <c r="F742" i="2" s="1" a="1"/>
  <c r="B394" i="2" a="1"/>
  <c r="F394" i="2" s="1" a="1"/>
  <c r="B600" i="2" a="1"/>
  <c r="F600" i="2" s="1" a="1"/>
  <c r="B296" i="2" a="1"/>
  <c r="F296" i="2" s="1" a="1"/>
  <c r="B929" i="2" a="1"/>
  <c r="F929" i="2" s="1" a="1"/>
  <c r="B55" i="2" a="1"/>
  <c r="F55" i="2" s="1" a="1"/>
  <c r="B767" i="2" a="1"/>
  <c r="F767" i="2" s="1" a="1"/>
  <c r="B632" i="2" a="1"/>
  <c r="F632" i="2" s="1" a="1"/>
  <c r="B402" i="2" a="1"/>
  <c r="F402" i="2" s="1" a="1"/>
  <c r="B78" i="2" a="1"/>
  <c r="F78" i="2" s="1" a="1"/>
  <c r="B1264" i="2" a="1"/>
  <c r="F1264" i="2" s="1" a="1"/>
  <c r="B36" i="2" a="1"/>
  <c r="F36" i="2" s="1" a="1"/>
  <c r="B42" i="2" a="1"/>
  <c r="F42" i="2" s="1" a="1"/>
  <c r="B182" i="2" a="1"/>
  <c r="F182" i="2" s="1" a="1"/>
  <c r="B1227" i="2" a="1"/>
  <c r="F1227" i="2" s="1" a="1"/>
  <c r="B279" i="2" a="1"/>
  <c r="F279" i="2" s="1" a="1"/>
  <c r="B617" i="2" a="1"/>
  <c r="F617" i="2" s="1" a="1"/>
  <c r="B108" i="2" a="1"/>
  <c r="F108" i="2" s="1" a="1"/>
  <c r="B1150" i="2" a="1"/>
  <c r="F1150" i="2" s="1" a="1"/>
  <c r="B51" i="2" a="1"/>
  <c r="F51" i="2" s="1" a="1"/>
  <c r="B57" i="2" a="1"/>
  <c r="F57" i="2" s="1" a="1"/>
  <c r="B445" i="2" a="1"/>
  <c r="F445" i="2" s="1" a="1"/>
  <c r="B324" i="2" a="1"/>
  <c r="F324" i="2" s="1" a="1"/>
  <c r="B663" i="2" a="1"/>
  <c r="F663" i="2" s="1" a="1"/>
  <c r="B63" i="2" a="1"/>
  <c r="F63" i="2" s="1" a="1"/>
  <c r="B112" i="2" a="1"/>
  <c r="F112" i="2" s="1" a="1"/>
  <c r="B830" i="2" a="1"/>
  <c r="F830" i="2" s="1" a="1"/>
  <c r="B693" i="2" a="1"/>
  <c r="F693" i="2" s="1" a="1"/>
  <c r="B694" i="2" a="1"/>
  <c r="F694" i="2" s="1" a="1"/>
  <c r="B465" i="2" a="1"/>
  <c r="F465" i="2" s="1" a="1"/>
  <c r="B282" i="2" a="1"/>
  <c r="F282" i="2" s="1" a="1"/>
  <c r="B221" i="2" a="1"/>
  <c r="F221" i="2" s="1" a="1"/>
  <c r="B79" i="2" a="1"/>
  <c r="F79" i="2" s="1" a="1"/>
  <c r="B794" i="2" a="1"/>
  <c r="F794" i="2" s="1" a="1"/>
  <c r="B1196" i="2" a="1"/>
  <c r="F1196" i="2" s="1" a="1"/>
  <c r="B216" i="2" a="1"/>
  <c r="F216" i="2" s="1" a="1"/>
  <c r="B571" i="2" a="1"/>
  <c r="F571" i="2" s="1" a="1"/>
  <c r="B898" i="2" a="1"/>
  <c r="F898" i="2" s="1" a="1"/>
  <c r="B656" i="2" a="1"/>
  <c r="F656" i="2" s="1" a="1"/>
  <c r="B3" i="2" a="1"/>
  <c r="F3" i="2" s="1" a="1"/>
  <c r="B21" i="2" a="1"/>
  <c r="F21" i="2" s="1" a="1"/>
  <c r="B27" i="2" a="1"/>
  <c r="F27" i="2" s="1" a="1"/>
  <c r="B150" i="2" a="1"/>
  <c r="F150" i="2" s="1" a="1"/>
  <c r="B293" i="2" a="1"/>
  <c r="F293" i="2" s="1" a="1"/>
  <c r="B248" i="2" a="1"/>
  <c r="F248" i="2" s="1" a="1"/>
  <c r="B602" i="2" a="1"/>
  <c r="F602" i="2" s="1" a="1"/>
  <c r="B328" i="2" a="1"/>
  <c r="F328" i="2" s="1" a="1"/>
  <c r="B945" i="2" a="1"/>
  <c r="F945" i="2" s="1" a="1"/>
  <c r="B980" i="2" a="1"/>
  <c r="F980" i="2" s="1" a="1"/>
  <c r="B1225" i="2" a="1"/>
  <c r="F1225" i="2" s="1" a="1"/>
  <c r="B19" i="2" a="1"/>
  <c r="F19" i="2" s="1" a="1"/>
  <c r="B35" i="2" a="1"/>
  <c r="F35" i="2" s="1" a="1"/>
  <c r="B100" i="2" a="1"/>
  <c r="F100" i="2" s="1" a="1"/>
  <c r="B102" i="2" a="1"/>
  <c r="F102" i="2" s="1" a="1"/>
  <c r="B75" i="2" a="1"/>
  <c r="F75" i="2" s="1" a="1"/>
  <c r="B798" i="2" a="1"/>
  <c r="F798" i="2" s="1" a="1"/>
  <c r="B308" i="2" a="1"/>
  <c r="F308" i="2" s="1" a="1"/>
  <c r="B631" i="2" a="1"/>
  <c r="F631" i="2" s="1" a="1"/>
  <c r="B648" i="2" a="1"/>
  <c r="F648" i="2" s="1" a="1"/>
  <c r="B10" i="2" a="1"/>
  <c r="F10" i="2" s="1" a="1"/>
  <c r="B418" i="2" a="1"/>
  <c r="F418" i="2" s="1" a="1"/>
  <c r="B342" i="2" a="1"/>
  <c r="F342" i="2" s="1" a="1"/>
  <c r="B93" i="2" a="1"/>
  <c r="F93" i="2" s="1" a="1"/>
  <c r="B47" i="2" a="1"/>
  <c r="F47" i="2" s="1" a="1"/>
  <c r="B162" i="2" a="1"/>
  <c r="F162" i="2" s="1" a="1"/>
  <c r="B1243" i="2" a="1"/>
  <c r="F1243" i="2" s="1" a="1"/>
  <c r="B81" i="2" a="1"/>
  <c r="F81" i="2" s="1" a="1"/>
  <c r="B66" i="2" a="1"/>
  <c r="F66" i="2" s="1" a="1"/>
  <c r="B132" i="2" a="1"/>
  <c r="F132" i="2" s="1" a="1"/>
  <c r="B134" i="2" a="1"/>
  <c r="F134" i="2" s="1" a="1"/>
  <c r="B90" i="2" a="1"/>
  <c r="F90" i="2" s="1" a="1"/>
  <c r="B814" i="2" a="1"/>
  <c r="F814" i="2" s="1" a="1"/>
  <c r="B1241" i="2" a="1"/>
  <c r="F1241" i="2" s="1" a="1"/>
  <c r="B647" i="2" a="1"/>
  <c r="F647" i="2" s="1" a="1"/>
  <c r="B294" i="2" a="1"/>
  <c r="F294" i="2" s="1" a="1"/>
  <c r="B74" i="2" a="1"/>
  <c r="F74" i="2" s="1" a="1"/>
  <c r="B664" i="2" a="1"/>
  <c r="F664" i="2" s="1" a="1"/>
  <c r="B433" i="2" a="1"/>
  <c r="F433" i="2" s="1" a="1"/>
  <c r="B450" i="2" a="1"/>
  <c r="F450" i="2" s="1" a="1"/>
  <c r="B124" i="2" a="1"/>
  <c r="F124" i="2" s="1" a="1"/>
  <c r="B205" i="2" a="1"/>
  <c r="F205" i="2" s="1" a="1"/>
  <c r="B519" i="2" a="1"/>
  <c r="F519" i="2" s="1" a="1"/>
  <c r="B576" i="2" a="1"/>
  <c r="F576" i="2" s="1" a="1"/>
  <c r="B1284" i="2" a="1"/>
  <c r="F1284" i="2" s="1" a="1"/>
  <c r="B82" i="2" a="1"/>
  <c r="F82" i="2" s="1" a="1"/>
  <c r="B67" i="2" a="1"/>
  <c r="F67" i="2" s="1" a="1"/>
  <c r="B148" i="2" a="1"/>
  <c r="F148" i="2" s="1" a="1"/>
  <c r="B198" i="2" a="1"/>
  <c r="F198" i="2" s="1" a="1"/>
  <c r="B104" i="2" a="1"/>
  <c r="F104" i="2" s="1" a="1"/>
  <c r="B122" i="2" a="1"/>
  <c r="F122" i="2" s="1" a="1"/>
  <c r="B491" i="2" a="1"/>
  <c r="F491" i="2" s="1" a="1"/>
  <c r="B1256" i="2" a="1"/>
  <c r="F1256" i="2" s="1" a="1"/>
  <c r="B339" i="2" a="1"/>
  <c r="F339" i="2" s="1" a="1"/>
  <c r="B678" i="2" a="1"/>
  <c r="F678" i="2" s="1" a="1"/>
  <c r="B309" i="2" a="1"/>
  <c r="F309" i="2" s="1" a="1"/>
  <c r="B217" i="2" a="1"/>
  <c r="F217" i="2" s="1" a="1"/>
  <c r="B527" i="2" a="1"/>
  <c r="F527" i="2" s="1" a="1"/>
  <c r="B144" i="2" a="1"/>
  <c r="F144" i="2" s="1" a="1"/>
  <c r="B97" i="2" a="1"/>
  <c r="F97" i="2" s="1" a="1"/>
  <c r="B98" i="2" a="1"/>
  <c r="F98" i="2" s="1" a="1"/>
  <c r="B164" i="2" a="1"/>
  <c r="F164" i="2" s="1" a="1"/>
  <c r="B214" i="2" a="1"/>
  <c r="F214" i="2" s="1" a="1"/>
  <c r="B120" i="2" a="1"/>
  <c r="F120" i="2" s="1" a="1"/>
  <c r="B138" i="2" a="1"/>
  <c r="F138" i="2" s="1" a="1"/>
  <c r="B507" i="2" a="1"/>
  <c r="F507" i="2" s="1" a="1"/>
  <c r="B861" i="2" a="1"/>
  <c r="F861" i="2" s="1" a="1"/>
  <c r="B1271" i="2" a="1"/>
  <c r="F1271" i="2" s="1" a="1"/>
  <c r="B354" i="2" a="1"/>
  <c r="F354" i="2" s="1" a="1"/>
  <c r="B722" i="2" a="1"/>
  <c r="F722" i="2" s="1" a="1"/>
  <c r="B325" i="2" a="1"/>
  <c r="F325" i="2" s="1" a="1"/>
  <c r="B738" i="2" a="1"/>
  <c r="F738" i="2" s="1" a="1"/>
  <c r="B249" i="2" a="1"/>
  <c r="F249" i="2" s="1" a="1"/>
  <c r="B709" i="2" a="1"/>
  <c r="F709" i="2" s="1" a="1"/>
  <c r="B543" i="2" a="1"/>
  <c r="F543" i="2" s="1" a="1"/>
  <c r="B588" i="2" a="1"/>
  <c r="F588" i="2" s="1" a="1"/>
  <c r="B313" i="2" a="1"/>
  <c r="F313" i="2" s="1" a="1"/>
  <c r="B237" i="2" a="1"/>
  <c r="F237" i="2" s="1" a="1"/>
  <c r="B174" i="2" a="1"/>
  <c r="F174" i="2" s="1" a="1"/>
  <c r="B1132" i="2" a="1"/>
  <c r="F1132" i="2" s="1" a="1"/>
  <c r="B1183" i="2" a="1"/>
  <c r="F1183" i="2" s="1" a="1"/>
  <c r="B601" i="2" a="1"/>
  <c r="F601" i="2" s="1" a="1"/>
  <c r="B1046" i="2" a="1"/>
  <c r="F1046" i="2" s="1" a="1"/>
  <c r="B1140" i="2" a="1"/>
  <c r="F1140" i="2" s="1" a="1"/>
  <c r="B790" i="2" a="1"/>
  <c r="F790" i="2" s="1" a="1"/>
  <c r="B4" i="2" a="1"/>
  <c r="F4" i="2" s="1" a="1"/>
  <c r="B69" i="2" a="1"/>
  <c r="F69" i="2" s="1" a="1"/>
  <c r="B59" i="2" a="1"/>
  <c r="F59" i="2" s="1" a="1"/>
  <c r="B1166" i="2" a="1"/>
  <c r="F1166" i="2" s="1" a="1"/>
  <c r="B615" i="2" a="1"/>
  <c r="F615" i="2" s="1" a="1"/>
  <c r="B1075" i="2" a="1"/>
  <c r="F1075" i="2" s="1" a="1"/>
  <c r="B1156" i="2" a="1"/>
  <c r="F1156" i="2" s="1" a="1"/>
  <c r="B176" i="2" a="1"/>
  <c r="F176" i="2" s="1" a="1"/>
  <c r="B129" i="2" a="1"/>
  <c r="F129" i="2" s="1" a="1"/>
  <c r="B130" i="2" a="1"/>
  <c r="F130" i="2" s="1" a="1"/>
  <c r="B196" i="2" a="1"/>
  <c r="F196" i="2" s="1" a="1"/>
  <c r="B230" i="2" a="1"/>
  <c r="F230" i="2" s="1" a="1"/>
  <c r="B136" i="2" a="1"/>
  <c r="F136" i="2" s="1" a="1"/>
  <c r="B186" i="2" a="1"/>
  <c r="F186" i="2" s="1" a="1"/>
  <c r="B523" i="2" a="1"/>
  <c r="F523" i="2" s="1" a="1"/>
  <c r="B876" i="2" a="1"/>
  <c r="F876" i="2" s="1" a="1"/>
  <c r="B370" i="2" a="1"/>
  <c r="F370" i="2" s="1" a="1"/>
  <c r="B737" i="2" a="1"/>
  <c r="F737" i="2" s="1" a="1"/>
  <c r="B371" i="2" a="1"/>
  <c r="F371" i="2" s="1" a="1"/>
  <c r="B769" i="2" a="1"/>
  <c r="F769" i="2" s="1" a="1"/>
  <c r="B265" i="2" a="1"/>
  <c r="F265" i="2" s="1" a="1"/>
  <c r="B817" i="2" a="1"/>
  <c r="F817" i="2" s="1" a="1"/>
  <c r="B650" i="2" a="1"/>
  <c r="F650" i="2" s="1" a="1"/>
  <c r="B604" i="2" a="1"/>
  <c r="F604" i="2" s="1" a="1"/>
  <c r="B329" i="2" a="1"/>
  <c r="F329" i="2" s="1" a="1"/>
  <c r="B344" i="2" a="1"/>
  <c r="F344" i="2" s="1" a="1"/>
  <c r="B190" i="2" a="1"/>
  <c r="F190" i="2" s="1" a="1"/>
  <c r="B243" i="2" a="1"/>
  <c r="F243" i="2" s="1" a="1"/>
  <c r="B904" i="2" a="1"/>
  <c r="F904" i="2" s="1" a="1"/>
  <c r="B192" i="2" a="1"/>
  <c r="F192" i="2" s="1" a="1"/>
  <c r="B145" i="2" a="1"/>
  <c r="F145" i="2" s="1" a="1"/>
  <c r="B146" i="2" a="1"/>
  <c r="F146" i="2" s="1" a="1"/>
  <c r="B8" i="2" a="1"/>
  <c r="F8" i="2" s="1" a="1"/>
  <c r="B262" i="2" a="1"/>
  <c r="F262" i="2" s="1" a="1"/>
  <c r="B168" i="2" a="1"/>
  <c r="F168" i="2" s="1" a="1"/>
  <c r="B30" i="2" a="1"/>
  <c r="F30" i="2" s="1" a="1"/>
  <c r="B539" i="2" a="1"/>
  <c r="F539" i="2" s="1" a="1"/>
  <c r="B892" i="2" a="1"/>
  <c r="F892" i="2" s="1" a="1"/>
  <c r="B56" i="2" a="1"/>
  <c r="F56" i="2" s="1" a="1"/>
  <c r="B415" i="2" a="1"/>
  <c r="F415" i="2" s="1" a="1"/>
  <c r="B753" i="2" a="1"/>
  <c r="F753" i="2" s="1" a="1"/>
  <c r="B386" i="2" a="1"/>
  <c r="F386" i="2" s="1" a="1"/>
  <c r="B784" i="2" a="1"/>
  <c r="F784" i="2" s="1" a="1"/>
  <c r="B295" i="2" a="1"/>
  <c r="F295" i="2" s="1" a="1"/>
  <c r="B833" i="2" a="1"/>
  <c r="F833" i="2" s="1" a="1"/>
  <c r="B665" i="2" a="1"/>
  <c r="F665" i="2" s="1" a="1"/>
  <c r="B619" i="2" a="1"/>
  <c r="F619" i="2" s="1" a="1"/>
  <c r="B420" i="2" a="1"/>
  <c r="F420" i="2" s="1" a="1"/>
  <c r="B360" i="2" a="1"/>
  <c r="F360" i="2" s="1" a="1"/>
  <c r="B175" i="2" a="1"/>
  <c r="F175" i="2" s="1" a="1"/>
  <c r="B566" i="2" a="1"/>
  <c r="F566" i="2" s="1" a="1"/>
  <c r="B1168" i="2" a="1"/>
  <c r="F1168" i="2" s="1" a="1"/>
  <c r="B208" i="2" a="1"/>
  <c r="F208" i="2" s="1" a="1"/>
  <c r="B177" i="2" a="1"/>
  <c r="F177" i="2" s="1" a="1"/>
  <c r="B178" i="2" a="1"/>
  <c r="F178" i="2" s="1" a="1"/>
  <c r="B39" i="2" a="1"/>
  <c r="F39" i="2" s="1" a="1"/>
  <c r="B277" i="2" a="1"/>
  <c r="F277" i="2" s="1" a="1"/>
  <c r="B184" i="2" a="1"/>
  <c r="F184" i="2" s="1" a="1"/>
  <c r="B45" i="2" a="1"/>
  <c r="F45" i="2" s="1" a="1"/>
  <c r="B583" i="2" a="1"/>
  <c r="F583" i="2" s="1" a="1"/>
  <c r="B907" i="2" a="1"/>
  <c r="F907" i="2" s="1" a="1"/>
  <c r="B72" i="2" a="1"/>
  <c r="F72" i="2" s="1" a="1"/>
  <c r="B446" i="2" a="1"/>
  <c r="F446" i="2" s="1" a="1"/>
  <c r="B768" i="2" a="1"/>
  <c r="F768" i="2" s="1" a="1"/>
  <c r="B400" i="2" a="1"/>
  <c r="F400" i="2" s="1" a="1"/>
  <c r="B816" i="2" a="1"/>
  <c r="F816" i="2" s="1" a="1"/>
  <c r="B310" i="2" a="1"/>
  <c r="F310" i="2" s="1" a="1"/>
  <c r="B849" i="2" a="1"/>
  <c r="F849" i="2" s="1" a="1"/>
  <c r="B680" i="2" a="1"/>
  <c r="F680" i="2" s="1" a="1"/>
  <c r="B711" i="2" a="1"/>
  <c r="F711" i="2" s="1" a="1"/>
  <c r="B435" i="2" a="1"/>
  <c r="F435" i="2" s="1" a="1"/>
  <c r="B467" i="2" a="1"/>
  <c r="F467" i="2" s="1" a="1"/>
  <c r="B191" i="2" a="1"/>
  <c r="F191" i="2" s="1" a="1"/>
  <c r="B811" i="2" a="1"/>
  <c r="F811" i="2" s="1" a="1"/>
  <c r="B968" i="2" a="1"/>
  <c r="F968" i="2" s="1" a="1"/>
  <c r="B396" i="2" a="1"/>
  <c r="F396" i="2" s="1" a="1"/>
  <c r="B422" i="2" a="1"/>
  <c r="F422" i="2" s="1" a="1"/>
  <c r="B1139" i="2" a="1"/>
  <c r="F1139" i="2" s="1" a="1"/>
  <c r="B1025" i="2" a="1"/>
  <c r="F1025" i="2" s="1" a="1"/>
  <c r="B276" i="2" a="1"/>
  <c r="F276" i="2" s="1" a="1"/>
  <c r="B954" i="2" a="1"/>
  <c r="F954" i="2" s="1" a="1"/>
  <c r="B893" i="2" a="1"/>
  <c r="F893" i="2" s="1" a="1"/>
  <c r="B1102" i="2" a="1"/>
  <c r="F1102" i="2" s="1" a="1"/>
  <c r="B1051" i="2" a="1"/>
  <c r="F1051" i="2" s="1" a="1"/>
  <c r="B334" i="2" a="1"/>
  <c r="F334" i="2" s="1" a="1"/>
  <c r="B438" i="2" a="1"/>
  <c r="F438" i="2" s="1" a="1"/>
  <c r="B715" i="2" a="1"/>
  <c r="F715" i="2" s="1" a="1"/>
  <c r="B994" i="2" a="1"/>
  <c r="F994" i="2" s="1" a="1"/>
  <c r="B408" i="2" a="1"/>
  <c r="F408" i="2" s="1" a="1"/>
  <c r="B686" i="2" a="1"/>
  <c r="F686" i="2" s="1" a="1"/>
  <c r="B1083" i="2" a="1"/>
  <c r="F1083" i="2" s="1" a="1"/>
  <c r="B364" i="2" a="1"/>
  <c r="F364" i="2" s="1" a="1"/>
  <c r="B641" i="2" a="1"/>
  <c r="F641" i="2" s="1" a="1"/>
  <c r="B949" i="2" a="1"/>
  <c r="F949" i="2" s="1" a="1"/>
  <c r="B1266" i="2" a="1"/>
  <c r="F1266" i="2" s="1" a="1"/>
  <c r="B503" i="2" a="1"/>
  <c r="F503" i="2" s="1" a="1"/>
  <c r="B778" i="2" a="1"/>
  <c r="F778" i="2" s="1" a="1"/>
  <c r="B1116" i="2" a="1"/>
  <c r="F1116" i="2" s="1" a="1"/>
  <c r="B227" i="2" a="1"/>
  <c r="F227" i="2" s="1" a="1"/>
  <c r="B551" i="2" a="1"/>
  <c r="F551" i="2" s="1" a="1"/>
  <c r="B795" i="2" a="1"/>
  <c r="F795" i="2" s="1" a="1"/>
  <c r="B382" i="2" a="1"/>
  <c r="F382" i="2" s="1" a="1"/>
  <c r="B675" i="2" a="1"/>
  <c r="F675" i="2" s="1" a="1"/>
  <c r="B261" i="2" a="1"/>
  <c r="F261" i="2" s="1" a="1"/>
  <c r="B522" i="2" a="1"/>
  <c r="F522" i="2" s="1" a="1"/>
  <c r="B508" i="2" a="1"/>
  <c r="F508" i="2" s="1" a="1"/>
  <c r="B1101" i="2" a="1"/>
  <c r="F1101" i="2" s="1" a="1"/>
  <c r="B1086" i="2" a="1"/>
  <c r="F1086" i="2" s="1" a="1"/>
  <c r="B774" i="2" a="1"/>
  <c r="F774" i="2" s="1" a="1"/>
  <c r="B1209" i="2" a="1"/>
  <c r="F1209" i="2" s="1" a="1"/>
  <c r="B1119" i="2" a="1"/>
  <c r="F1119" i="2" s="1" a="1"/>
  <c r="B545" i="2" a="1"/>
  <c r="F545" i="2" s="1" a="1"/>
  <c r="B1182" i="2" a="1"/>
  <c r="F1182" i="2" s="1" a="1"/>
  <c r="B1167" i="2" a="1"/>
  <c r="F1167" i="2" s="1" a="1"/>
  <c r="B889" i="2" a="1"/>
  <c r="F889" i="2" s="1" a="1"/>
  <c r="B1153" i="2" a="1"/>
  <c r="F1153" i="2" s="1" a="1"/>
  <c r="B952" i="2" a="1"/>
  <c r="F952" i="2" s="1" a="1"/>
  <c r="B406" i="2" a="1"/>
  <c r="F406" i="2" s="1" a="1"/>
  <c r="B1124" i="2" a="1"/>
  <c r="F1124" i="2" s="1" a="1"/>
  <c r="B922" i="2" a="1"/>
  <c r="F922" i="2" s="1" a="1"/>
  <c r="B782" i="2" a="1"/>
  <c r="F782" i="2" s="1" a="1"/>
  <c r="B1157" i="2" a="1"/>
  <c r="F1157" i="2" s="1" a="1"/>
  <c r="B1096" i="2" a="1"/>
  <c r="F1096" i="2" s="1" a="1"/>
  <c r="B1035" i="2" a="1"/>
  <c r="F1035" i="2" s="1" a="1"/>
  <c r="B1279" i="2" a="1"/>
  <c r="F1279" i="2" s="1" a="1"/>
  <c r="B1249" i="2" a="1"/>
  <c r="F1249" i="2" s="1" a="1"/>
  <c r="B1135" i="2" a="1"/>
  <c r="F1135" i="2" s="1" a="1"/>
  <c r="B1252" i="2" a="1"/>
  <c r="F1252" i="2" s="1" a="1"/>
  <c r="B1092" i="2" a="1"/>
  <c r="F1092" i="2" s="1" a="1"/>
  <c r="B311" i="2" a="1"/>
  <c r="F311" i="2" s="1" a="1"/>
  <c r="B557" i="2" a="1"/>
  <c r="F557" i="2" s="1" a="1"/>
  <c r="B850" i="2" a="1"/>
  <c r="F850" i="2" s="1" a="1"/>
  <c r="B187" i="2" a="1"/>
  <c r="F187" i="2" s="1" a="1"/>
  <c r="B496" i="2" a="1"/>
  <c r="F496" i="2" s="1" a="1"/>
  <c r="B741" i="2" a="1"/>
  <c r="F741" i="2" s="1" a="1"/>
  <c r="B990" i="2" a="1"/>
  <c r="F990" i="2" s="1" a="1"/>
  <c r="B140" i="2" a="1"/>
  <c r="F140" i="2" s="1" a="1"/>
  <c r="B451" i="2" a="1"/>
  <c r="F451" i="2" s="1" a="1"/>
  <c r="B773" i="2" a="1"/>
  <c r="F773" i="2" s="1" a="1"/>
  <c r="B109" i="2" a="1"/>
  <c r="F109" i="2" s="1" a="1"/>
  <c r="B376" i="2" a="1"/>
  <c r="F376" i="2" s="1" a="1"/>
  <c r="B653" i="2" a="1"/>
  <c r="F653" i="2" s="1" a="1"/>
  <c r="B961" i="2" a="1"/>
  <c r="F961" i="2" s="1" a="1"/>
  <c r="B206" i="2" a="1"/>
  <c r="F206" i="2" s="1" a="1"/>
  <c r="B207" i="2" a="1"/>
  <c r="F207" i="2" s="1" a="1"/>
  <c r="B469" i="2" a="1"/>
  <c r="F469" i="2" s="1" a="1"/>
  <c r="B745" i="2" a="1"/>
  <c r="F745" i="2" s="1" a="1"/>
  <c r="B1053" i="2" a="1"/>
  <c r="F1053" i="2" s="1" a="1"/>
  <c r="B439" i="2" a="1"/>
  <c r="F439" i="2" s="1" a="1"/>
  <c r="B716" i="2" a="1"/>
  <c r="F716" i="2" s="1" a="1"/>
  <c r="B1130" i="2" a="1"/>
  <c r="F1130" i="2" s="1" a="1"/>
  <c r="B409" i="2" a="1"/>
  <c r="F409" i="2" s="1" a="1"/>
  <c r="B672" i="2" a="1"/>
  <c r="F672" i="2" s="1" a="1"/>
  <c r="B996" i="2" a="1"/>
  <c r="F996" i="2" s="1" a="1"/>
  <c r="B226" i="2" a="1"/>
  <c r="F226" i="2" s="1" a="1"/>
  <c r="B535" i="2" a="1"/>
  <c r="F535" i="2" s="1" a="1"/>
  <c r="B810" i="2" a="1"/>
  <c r="F810" i="2" s="1" a="1"/>
  <c r="B1147" i="2" a="1"/>
  <c r="F1147" i="2" s="1" a="1"/>
  <c r="B259" i="2" a="1"/>
  <c r="F259" i="2" s="1" a="1"/>
  <c r="B827" i="2" a="1"/>
  <c r="F827" i="2" s="1" a="1"/>
  <c r="B412" i="2" a="1"/>
  <c r="F412" i="2" s="1" a="1"/>
  <c r="B705" i="2" a="1"/>
  <c r="F705" i="2" s="1" a="1"/>
  <c r="B291" i="2" a="1"/>
  <c r="F291" i="2" s="1" a="1"/>
  <c r="B553" i="2" a="1"/>
  <c r="F553" i="2" s="1" a="1"/>
  <c r="B975" i="2" a="1"/>
  <c r="F975" i="2" s="1" a="1"/>
  <c r="B1192" i="2" a="1"/>
  <c r="F1192" i="2" s="1" a="1"/>
  <c r="B1117" i="2" a="1"/>
  <c r="F1117" i="2" s="1" a="1"/>
  <c r="B822" i="2" a="1"/>
  <c r="F822" i="2" s="1" a="1"/>
  <c r="B1239" i="2" a="1"/>
  <c r="F1239" i="2" s="1" a="1"/>
  <c r="B1165" i="2" a="1"/>
  <c r="F1165" i="2" s="1" a="1"/>
  <c r="B591" i="2" a="1"/>
  <c r="F591" i="2" s="1" a="1"/>
  <c r="B41" i="2" a="1"/>
  <c r="F41" i="2" s="1" a="1"/>
  <c r="B1197" i="2" a="1"/>
  <c r="F1197" i="2" s="1" a="1"/>
  <c r="B919" i="2" a="1"/>
  <c r="F919" i="2" s="1" a="1"/>
  <c r="B1184" i="2" a="1"/>
  <c r="F1184" i="2" s="1" a="1"/>
  <c r="B983" i="2" a="1"/>
  <c r="F983" i="2" s="1" a="1"/>
  <c r="B844" i="2" a="1"/>
  <c r="F844" i="2" s="1" a="1"/>
  <c r="B1155" i="2" a="1"/>
  <c r="F1155" i="2" s="1" a="1"/>
  <c r="B970" i="2" a="1"/>
  <c r="F970" i="2" s="1" a="1"/>
  <c r="B908" i="2" a="1"/>
  <c r="F908" i="2" s="1" a="1"/>
  <c r="B1202" i="2" a="1"/>
  <c r="F1202" i="2" s="1" a="1"/>
  <c r="B1127" i="2" a="1"/>
  <c r="F1127" i="2" s="1" a="1"/>
  <c r="B1066" i="2" a="1"/>
  <c r="F1066" i="2" s="1" a="1"/>
  <c r="B366" i="2" a="1"/>
  <c r="F366" i="2" s="1" a="1"/>
  <c r="B1280" i="2" a="1"/>
  <c r="F1280" i="2" s="1" a="1"/>
  <c r="B622" i="2" a="1"/>
  <c r="F622" i="2" s="1" a="1"/>
  <c r="B1285" i="2" a="1"/>
  <c r="F1285" i="2" s="1" a="1"/>
  <c r="B448" i="2" a="1"/>
  <c r="F448" i="2" s="1" a="1"/>
  <c r="B1108" i="2" a="1"/>
  <c r="F1108" i="2" s="1" a="1"/>
  <c r="B572" i="2" a="1"/>
  <c r="F572" i="2" s="1" a="1"/>
  <c r="B203" i="2" a="1"/>
  <c r="F203" i="2" s="1" a="1"/>
  <c r="B512" i="2" a="1"/>
  <c r="F512" i="2" s="1" a="1"/>
  <c r="B756" i="2" a="1"/>
  <c r="F756" i="2" s="1" a="1"/>
  <c r="B1006" i="2" a="1"/>
  <c r="F1006" i="2" s="1" a="1"/>
  <c r="B466" i="2" a="1"/>
  <c r="F466" i="2" s="1" a="1"/>
  <c r="B788" i="2" a="1"/>
  <c r="F788" i="2" s="1" a="1"/>
  <c r="B125" i="2" a="1"/>
  <c r="F125" i="2" s="1" a="1"/>
  <c r="B390" i="2" a="1"/>
  <c r="F390" i="2" s="1" a="1"/>
  <c r="B668" i="2" a="1"/>
  <c r="F668" i="2" s="1" a="1"/>
  <c r="B976" i="2" a="1"/>
  <c r="F976" i="2" s="1" a="1"/>
  <c r="B222" i="2" a="1"/>
  <c r="F222" i="2" s="1" a="1"/>
  <c r="B223" i="2" a="1"/>
  <c r="F223" i="2" s="1" a="1"/>
  <c r="B500" i="2" a="1"/>
  <c r="F500" i="2" s="1" a="1"/>
  <c r="B760" i="2" a="1"/>
  <c r="F760" i="2" s="1" a="1"/>
  <c r="B1067" i="2" a="1"/>
  <c r="F1067" i="2" s="1" a="1"/>
  <c r="B455" i="2" a="1"/>
  <c r="F455" i="2" s="1" a="1"/>
  <c r="B746" i="2" a="1"/>
  <c r="F746" i="2" s="1" a="1"/>
  <c r="B1145" i="2" a="1"/>
  <c r="F1145" i="2" s="1" a="1"/>
  <c r="B425" i="2" a="1"/>
  <c r="F425" i="2" s="1" a="1"/>
  <c r="B687" i="2" a="1"/>
  <c r="F687" i="2" s="1" a="1"/>
  <c r="B1011" i="2" a="1"/>
  <c r="F1011" i="2" s="1" a="1"/>
  <c r="B242" i="2" a="1"/>
  <c r="F242" i="2" s="1" a="1"/>
  <c r="B550" i="2" a="1"/>
  <c r="F550" i="2" s="1" a="1"/>
  <c r="B826" i="2" a="1"/>
  <c r="F826" i="2" s="1" a="1"/>
  <c r="B1162" i="2" a="1"/>
  <c r="F1162" i="2" s="1" a="1"/>
  <c r="B274" i="2" a="1"/>
  <c r="F274" i="2" s="1" a="1"/>
  <c r="B596" i="2" a="1"/>
  <c r="F596" i="2" s="1" a="1"/>
  <c r="B843" i="2" a="1"/>
  <c r="F843" i="2" s="1" a="1"/>
  <c r="B443" i="2" a="1"/>
  <c r="F443" i="2" s="1" a="1"/>
  <c r="B719" i="2" a="1"/>
  <c r="F719" i="2" s="1" a="1"/>
  <c r="B306" i="2" a="1"/>
  <c r="F306" i="2" s="1" a="1"/>
  <c r="B582" i="2" a="1"/>
  <c r="F582" i="2" s="1" a="1"/>
  <c r="B991" i="2" a="1"/>
  <c r="F991" i="2" s="1" a="1"/>
  <c r="B1207" i="2" a="1"/>
  <c r="F1207" i="2" s="1" a="1"/>
  <c r="B1133" i="2" a="1"/>
  <c r="F1133" i="2" s="1" a="1"/>
  <c r="B838" i="2" a="1"/>
  <c r="F838" i="2" s="1" a="1"/>
  <c r="B1254" i="2" a="1"/>
  <c r="F1254" i="2" s="1" a="1"/>
  <c r="B1181" i="2" a="1"/>
  <c r="F1181" i="2" s="1" a="1"/>
  <c r="B607" i="2" a="1"/>
  <c r="F607" i="2" s="1" a="1"/>
  <c r="B561" i="2" a="1"/>
  <c r="F561" i="2" s="1" a="1"/>
  <c r="B1212" i="2" a="1"/>
  <c r="F1212" i="2" s="1" a="1"/>
  <c r="B935" i="2" a="1"/>
  <c r="F935" i="2" s="1" a="1"/>
  <c r="B1198" i="2" a="1"/>
  <c r="F1198" i="2" s="1" a="1"/>
  <c r="B999" i="2" a="1"/>
  <c r="F999" i="2" s="1" a="1"/>
  <c r="B859" i="2" a="1"/>
  <c r="F859" i="2" s="1" a="1"/>
  <c r="B1170" i="2" a="1"/>
  <c r="F1170" i="2" s="1" a="1"/>
  <c r="B1017" i="2" a="1"/>
  <c r="F1017" i="2" s="1" a="1"/>
  <c r="B923" i="2" a="1"/>
  <c r="F923" i="2" s="1" a="1"/>
  <c r="B1217" i="2" a="1"/>
  <c r="F1217" i="2" s="1" a="1"/>
  <c r="B1142" i="2" a="1"/>
  <c r="F1142" i="2" s="1" a="1"/>
  <c r="B1081" i="2" a="1"/>
  <c r="F1081" i="2" s="1" a="1"/>
  <c r="B427" i="2" a="1"/>
  <c r="F427" i="2" s="1" a="1"/>
  <c r="B320" i="2" a="1"/>
  <c r="F320" i="2" s="1" a="1"/>
  <c r="B654" i="2" a="1"/>
  <c r="F654" i="2" s="1" a="1"/>
  <c r="B1257" i="2" a="1"/>
  <c r="F1257" i="2" s="1" a="1"/>
  <c r="B724" i="2" a="1"/>
  <c r="F724" i="2" s="1" a="1"/>
  <c r="B327" i="2" a="1"/>
  <c r="F327" i="2" s="1" a="1"/>
  <c r="B864" i="2" a="1"/>
  <c r="F864" i="2" s="1" a="1"/>
  <c r="B172" i="2" a="1"/>
  <c r="F172" i="2" s="1" a="1"/>
  <c r="B256" i="2" a="1"/>
  <c r="F256" i="2" s="1" a="1"/>
  <c r="B161" i="2" a="1"/>
  <c r="F161" i="2" s="1" a="1"/>
  <c r="B83" i="2" a="1"/>
  <c r="F83" i="2" s="1" a="1"/>
  <c r="B85" i="2" a="1"/>
  <c r="F85" i="2" s="1" a="1"/>
  <c r="B149" i="2" a="1"/>
  <c r="F149" i="2" s="1" a="1"/>
  <c r="B338" i="2" a="1"/>
  <c r="F338" i="2" s="1" a="1"/>
  <c r="B200" i="2" a="1"/>
  <c r="F200" i="2" s="1" a="1"/>
  <c r="B154" i="2" a="1"/>
  <c r="F154" i="2" s="1" a="1"/>
  <c r="B246" i="2" a="1"/>
  <c r="F246" i="2" s="1" a="1"/>
  <c r="B707" i="2" a="1"/>
  <c r="F707" i="2" s="1" a="1"/>
  <c r="B1059" i="2" a="1"/>
  <c r="F1059" i="2" s="1" a="1"/>
  <c r="B119" i="2" a="1"/>
  <c r="F119" i="2" s="1" a="1"/>
  <c r="B399" i="2" a="1"/>
  <c r="F399" i="2" s="1" a="1"/>
  <c r="B662" i="2" a="1"/>
  <c r="F662" i="2" s="1" a="1"/>
  <c r="B232" i="2" a="1"/>
  <c r="F232" i="2" s="1" a="1"/>
  <c r="B493" i="2" a="1"/>
  <c r="F493" i="2" s="1" a="1"/>
  <c r="B800" i="2" a="1"/>
  <c r="F800" i="2" s="1" a="1"/>
  <c r="B26" i="2" a="1"/>
  <c r="F26" i="2" s="1" a="1"/>
  <c r="B463" i="2" a="1"/>
  <c r="F463" i="2" s="1" a="1"/>
  <c r="B739" i="2" a="1"/>
  <c r="F739" i="2" s="1" a="1"/>
  <c r="B1123" i="2" a="1"/>
  <c r="F1123" i="2" s="1" a="1"/>
  <c r="B341" i="2" a="1"/>
  <c r="F341" i="2" s="1" a="1"/>
  <c r="B587" i="2" a="1"/>
  <c r="F587" i="2" s="1" a="1"/>
  <c r="B880" i="2" a="1"/>
  <c r="F880" i="2" s="1" a="1"/>
  <c r="B219" i="2" a="1"/>
  <c r="F219" i="2" s="1" a="1"/>
  <c r="B528" i="2" a="1"/>
  <c r="F528" i="2" s="1" a="1"/>
  <c r="B772" i="2" a="1"/>
  <c r="F772" i="2" s="1" a="1"/>
  <c r="B1021" i="2" a="1"/>
  <c r="F1021" i="2" s="1" a="1"/>
  <c r="B188" i="2" a="1"/>
  <c r="F188" i="2" s="1" a="1"/>
  <c r="B482" i="2" a="1"/>
  <c r="F482" i="2" s="1" a="1"/>
  <c r="B804" i="2" a="1"/>
  <c r="F804" i="2" s="1" a="1"/>
  <c r="B141" i="2" a="1"/>
  <c r="F141" i="2" s="1" a="1"/>
  <c r="B405" i="2" a="1"/>
  <c r="F405" i="2" s="1" a="1"/>
  <c r="B683" i="2" a="1"/>
  <c r="F683" i="2" s="1" a="1"/>
  <c r="B992" i="2" a="1"/>
  <c r="F992" i="2" s="1" a="1"/>
  <c r="B238" i="2" a="1"/>
  <c r="F238" i="2" s="1" a="1"/>
  <c r="B239" i="2" a="1"/>
  <c r="F239" i="2" s="1" a="1"/>
  <c r="B516" i="2" a="1"/>
  <c r="F516" i="2" s="1" a="1"/>
  <c r="B775" i="2" a="1"/>
  <c r="F775" i="2" s="1" a="1"/>
  <c r="B1082" i="2" a="1"/>
  <c r="F1082" i="2" s="1" a="1"/>
  <c r="B470" i="2" a="1"/>
  <c r="F470" i="2" s="1" a="1"/>
  <c r="B776" i="2" a="1"/>
  <c r="F776" i="2" s="1" a="1"/>
  <c r="B1160" i="2" a="1"/>
  <c r="F1160" i="2" s="1" a="1"/>
  <c r="B440" i="2" a="1"/>
  <c r="F440" i="2" s="1" a="1"/>
  <c r="B702" i="2" a="1"/>
  <c r="F702" i="2" s="1" a="1"/>
  <c r="B1027" i="2" a="1"/>
  <c r="F1027" i="2" s="1" a="1"/>
  <c r="B258" i="2" a="1"/>
  <c r="F258" i="2" s="1" a="1"/>
  <c r="B565" i="2" a="1"/>
  <c r="F565" i="2" s="1" a="1"/>
  <c r="B872" i="2" a="1"/>
  <c r="F872" i="2" s="1" a="1"/>
  <c r="B20" i="2" a="1"/>
  <c r="F20" i="2" s="1" a="1"/>
  <c r="B289" i="2" a="1"/>
  <c r="F289" i="2" s="1" a="1"/>
  <c r="B611" i="2" a="1"/>
  <c r="F611" i="2" s="1" a="1"/>
  <c r="B873" i="2" a="1"/>
  <c r="F873" i="2" s="1" a="1"/>
  <c r="B458" i="2" a="1"/>
  <c r="F458" i="2" s="1" a="1"/>
  <c r="B734" i="2" a="1"/>
  <c r="F734" i="2" s="1" a="1"/>
  <c r="B322" i="2" a="1"/>
  <c r="F322" i="2" s="1" a="1"/>
  <c r="B613" i="2" a="1"/>
  <c r="F613" i="2" s="1" a="1"/>
  <c r="B1007" i="2" a="1"/>
  <c r="F1007" i="2" s="1" a="1"/>
  <c r="B1223" i="2" a="1"/>
  <c r="F1223" i="2" s="1" a="1"/>
  <c r="B1148" i="2" a="1"/>
  <c r="F1148" i="2" s="1" a="1"/>
  <c r="B947" i="2" a="1"/>
  <c r="F947" i="2" s="1" a="1"/>
  <c r="B1269" i="2" a="1"/>
  <c r="F1269" i="2" s="1" a="1"/>
  <c r="B1195" i="2" a="1"/>
  <c r="F1195" i="2" s="1" a="1"/>
  <c r="B638" i="2" a="1"/>
  <c r="F638" i="2" s="1" a="1"/>
  <c r="B670" i="2" a="1"/>
  <c r="F670" i="2" s="1" a="1"/>
  <c r="B1228" i="2" a="1"/>
  <c r="F1228" i="2" s="1" a="1"/>
  <c r="B951" i="2" a="1"/>
  <c r="F951" i="2" s="1" a="1"/>
  <c r="B1213" i="2" a="1"/>
  <c r="F1213" i="2" s="1" a="1"/>
  <c r="B1015" i="2" a="1"/>
  <c r="F1015" i="2" s="1" a="1"/>
  <c r="B875" i="2" a="1"/>
  <c r="F875" i="2" s="1" a="1"/>
  <c r="B1186" i="2" a="1"/>
  <c r="F1186" i="2" s="1" a="1"/>
  <c r="B1032" i="2" a="1"/>
  <c r="F1032" i="2" s="1" a="1"/>
  <c r="B939" i="2" a="1"/>
  <c r="F939" i="2" s="1" a="1"/>
  <c r="B1261" i="2" a="1"/>
  <c r="F1261" i="2" s="1" a="1"/>
  <c r="B1173" i="2" a="1"/>
  <c r="F1173" i="2" s="1" a="1"/>
  <c r="B1097" i="2" a="1"/>
  <c r="F1097" i="2" s="1" a="1"/>
  <c r="B708" i="2" a="1"/>
  <c r="F708" i="2" s="1" a="1"/>
  <c r="B428" i="2" a="1"/>
  <c r="F428" i="2" s="1" a="1"/>
  <c r="B824" i="2" a="1"/>
  <c r="F824" i="2" s="1" a="1"/>
  <c r="B786" i="2" a="1"/>
  <c r="F786" i="2" s="1" a="1"/>
  <c r="B1138" i="2" a="1"/>
  <c r="F1138" i="2" s="1" a="1"/>
  <c r="B896" i="2" a="1"/>
  <c r="F896" i="2" s="1" a="1"/>
  <c r="B544" i="2" a="1"/>
  <c r="F544" i="2" s="1" a="1"/>
  <c r="B787" i="2" a="1"/>
  <c r="F787" i="2" s="1" a="1"/>
  <c r="B1034" i="2" a="1"/>
  <c r="F1034" i="2" s="1" a="1"/>
  <c r="B204" i="2" a="1"/>
  <c r="F204" i="2" s="1" a="1"/>
  <c r="B513" i="2" a="1"/>
  <c r="F513" i="2" s="1" a="1"/>
  <c r="B820" i="2" a="1"/>
  <c r="F820" i="2" s="1" a="1"/>
  <c r="B157" i="2" a="1"/>
  <c r="F157" i="2" s="1" a="1"/>
  <c r="B698" i="2" a="1"/>
  <c r="F698" i="2" s="1" a="1"/>
  <c r="B1008" i="2" a="1"/>
  <c r="F1008" i="2" s="1" a="1"/>
  <c r="B254" i="2" a="1"/>
  <c r="F254" i="2" s="1" a="1"/>
  <c r="B255" i="2" a="1"/>
  <c r="F255" i="2" s="1" a="1"/>
  <c r="B532" i="2" a="1"/>
  <c r="F532" i="2" s="1" a="1"/>
  <c r="B791" i="2" a="1"/>
  <c r="F791" i="2" s="1" a="1"/>
  <c r="B1098" i="2" a="1"/>
  <c r="F1098" i="2" s="1" a="1"/>
  <c r="B485" i="2" a="1"/>
  <c r="F485" i="2" s="1" a="1"/>
  <c r="B792" i="2" a="1"/>
  <c r="F792" i="2" s="1" a="1"/>
  <c r="B1176" i="2" a="1"/>
  <c r="F1176" i="2" s="1" a="1"/>
  <c r="B456" i="2" a="1"/>
  <c r="F456" i="2" s="1" a="1"/>
  <c r="B717" i="2" a="1"/>
  <c r="F717" i="2" s="1" a="1"/>
  <c r="B1039" i="2" a="1"/>
  <c r="F1039" i="2" s="1" a="1"/>
  <c r="B288" i="2" a="1"/>
  <c r="F288" i="2" s="1" a="1"/>
  <c r="B580" i="2" a="1"/>
  <c r="F580" i="2" s="1" a="1"/>
  <c r="B888" i="2" a="1"/>
  <c r="F888" i="2" s="1" a="1"/>
  <c r="B52" i="2" a="1"/>
  <c r="F52" i="2" s="1" a="1"/>
  <c r="B304" i="2" a="1"/>
  <c r="F304" i="2" s="1" a="1"/>
  <c r="B627" i="2" a="1"/>
  <c r="F627" i="2" s="1" a="1"/>
  <c r="B180" i="2" a="1"/>
  <c r="F180" i="2" s="1" a="1"/>
  <c r="B474" i="2" a="1"/>
  <c r="F474" i="2" s="1" a="1"/>
  <c r="B750" i="2" a="1"/>
  <c r="F750" i="2" s="1" a="1"/>
  <c r="B337" i="2" a="1"/>
  <c r="F337" i="2" s="1" a="1"/>
  <c r="B629" i="2" a="1"/>
  <c r="F629" i="2" s="1" a="1"/>
  <c r="B1023" i="2" a="1"/>
  <c r="F1023" i="2" s="1" a="1"/>
  <c r="B1237" i="2" a="1"/>
  <c r="F1237" i="2" s="1" a="1"/>
  <c r="B1163" i="2" a="1"/>
  <c r="F1163" i="2" s="1" a="1"/>
  <c r="B1010" i="2" a="1"/>
  <c r="F1010" i="2" s="1" a="1"/>
  <c r="B340" i="2" a="1"/>
  <c r="F340" i="2" s="1" a="1"/>
  <c r="B1210" i="2" a="1"/>
  <c r="F1210" i="2" s="1" a="1"/>
  <c r="B669" i="2" a="1"/>
  <c r="F669" i="2" s="1" a="1"/>
  <c r="B841" i="2" a="1"/>
  <c r="F841" i="2" s="1" a="1"/>
  <c r="B1242" i="2" a="1"/>
  <c r="F1242" i="2" s="1" a="1"/>
  <c r="B967" i="2" a="1"/>
  <c r="F967" i="2" s="1" a="1"/>
  <c r="B1229" i="2" a="1"/>
  <c r="F1229" i="2" s="1" a="1"/>
  <c r="B1030" i="2" a="1"/>
  <c r="F1030" i="2" s="1" a="1"/>
  <c r="B891" i="2" a="1"/>
  <c r="F891" i="2" s="1" a="1"/>
  <c r="B1200" i="2" a="1"/>
  <c r="F1200" i="2" s="1" a="1"/>
  <c r="B1063" i="2" a="1"/>
  <c r="F1063" i="2" s="1" a="1"/>
  <c r="B955" i="2" a="1"/>
  <c r="F955" i="2" s="1" a="1"/>
  <c r="B1277" i="2" a="1"/>
  <c r="F1277" i="2" s="1" a="1"/>
  <c r="B1203" i="2" a="1"/>
  <c r="F1203" i="2" s="1" a="1"/>
  <c r="B1113" i="2" a="1"/>
  <c r="F1113" i="2" s="1" a="1"/>
  <c r="B723" i="2" a="1"/>
  <c r="F723" i="2" s="1" a="1"/>
  <c r="B834" i="2" a="1"/>
  <c r="F834" i="2" s="1" a="1"/>
  <c r="B1259" i="2" a="1"/>
  <c r="F1259" i="2" s="1" a="1"/>
  <c r="B818" i="2" a="1"/>
  <c r="F818" i="2" s="1" a="1"/>
  <c r="B770" i="2" a="1"/>
  <c r="F770" i="2" s="1" a="1"/>
  <c r="B357" i="2" a="1"/>
  <c r="F357" i="2" s="1" a="1"/>
  <c r="B603" i="2" a="1"/>
  <c r="F603" i="2" s="1" a="1"/>
  <c r="B235" i="2" a="1"/>
  <c r="F235" i="2" s="1" a="1"/>
  <c r="B421" i="2" a="1"/>
  <c r="F421" i="2" s="1" a="1"/>
  <c r="B286" i="2" a="1"/>
  <c r="F286" i="2" s="1" a="1"/>
  <c r="B193" i="2" a="1"/>
  <c r="F193" i="2" s="1" a="1"/>
  <c r="B114" i="2" a="1"/>
  <c r="F114" i="2" s="1" a="1"/>
  <c r="B116" i="2" a="1"/>
  <c r="F116" i="2" s="1" a="1"/>
  <c r="B25" i="2" a="1"/>
  <c r="F25" i="2" s="1" a="1"/>
  <c r="B369" i="2" a="1"/>
  <c r="F369" i="2" s="1" a="1"/>
  <c r="B58" i="2" a="1"/>
  <c r="F58" i="2" s="1" a="1"/>
  <c r="B14" i="2" a="1"/>
  <c r="F14" i="2" s="1" a="1"/>
  <c r="B476" i="2" a="1"/>
  <c r="F476" i="2" s="1" a="1"/>
  <c r="B736" i="2" a="1"/>
  <c r="F736" i="2" s="1" a="1"/>
  <c r="B1089" i="2" a="1"/>
  <c r="F1089" i="2" s="1" a="1"/>
  <c r="B151" i="2" a="1"/>
  <c r="F151" i="2" s="1" a="1"/>
  <c r="B430" i="2" a="1"/>
  <c r="F430" i="2" s="1" a="1"/>
  <c r="B692" i="2" a="1"/>
  <c r="F692" i="2" s="1" a="1"/>
  <c r="B264" i="2" a="1"/>
  <c r="F264" i="2" s="1" a="1"/>
  <c r="B525" i="2" a="1"/>
  <c r="F525" i="2" s="1" a="1"/>
  <c r="B832" i="2" a="1"/>
  <c r="F832" i="2" s="1" a="1"/>
  <c r="B185" i="2" a="1"/>
  <c r="F185" i="2" s="1" a="1"/>
  <c r="B494" i="2" a="1"/>
  <c r="F494" i="2" s="1" a="1"/>
  <c r="B785" i="2" a="1"/>
  <c r="F785" i="2" s="1" a="1"/>
  <c r="B1154" i="2" a="1"/>
  <c r="F1154" i="2" s="1" a="1"/>
  <c r="B373" i="2" a="1"/>
  <c r="F373" i="2" s="1" a="1"/>
  <c r="B618" i="2" a="1"/>
  <c r="F618" i="2" s="1" a="1"/>
  <c r="B911" i="2" a="1"/>
  <c r="F911" i="2" s="1" a="1"/>
  <c r="B251" i="2" a="1"/>
  <c r="F251" i="2" s="1" a="1"/>
  <c r="B558" i="2" a="1"/>
  <c r="F558" i="2" s="1" a="1"/>
  <c r="B803" i="2" a="1"/>
  <c r="F803" i="2" s="1" a="1"/>
  <c r="B1078" i="2" a="1"/>
  <c r="F1078" i="2" s="1" a="1"/>
  <c r="B220" i="2" a="1"/>
  <c r="F220" i="2" s="1" a="1"/>
  <c r="B559" i="2" a="1"/>
  <c r="F559" i="2" s="1" a="1"/>
  <c r="B836" i="2" a="1"/>
  <c r="F836" i="2" s="1" a="1"/>
  <c r="B173" i="2" a="1"/>
  <c r="F173" i="2" s="1" a="1"/>
  <c r="B436" i="2" a="1"/>
  <c r="F436" i="2" s="1" a="1"/>
  <c r="B728" i="2" a="1"/>
  <c r="F728" i="2" s="1" a="1"/>
  <c r="B15" i="2" a="1"/>
  <c r="F15" i="2" s="1" a="1"/>
  <c r="B270" i="2" a="1"/>
  <c r="F270" i="2" s="1" a="1"/>
  <c r="B271" i="2" a="1"/>
  <c r="F271" i="2" s="1" a="1"/>
  <c r="B547" i="2" a="1"/>
  <c r="F547" i="2" s="1" a="1"/>
  <c r="B823" i="2" a="1"/>
  <c r="F823" i="2" s="1" a="1"/>
  <c r="B1114" i="2" a="1"/>
  <c r="F1114" i="2" s="1" a="1"/>
  <c r="B517" i="2" a="1"/>
  <c r="F517" i="2" s="1" a="1"/>
  <c r="B840" i="2" a="1"/>
  <c r="F840" i="2" s="1" a="1"/>
  <c r="B1206" i="2" a="1"/>
  <c r="F1206" i="2" s="1" a="1"/>
  <c r="B471" i="2" a="1"/>
  <c r="F471" i="2" s="1" a="1"/>
  <c r="B747" i="2" a="1"/>
  <c r="F747" i="2" s="1" a="1"/>
  <c r="B1054" i="2" a="1"/>
  <c r="F1054" i="2" s="1" a="1"/>
  <c r="B303" i="2" a="1"/>
  <c r="F303" i="2" s="1" a="1"/>
  <c r="B595" i="2" a="1"/>
  <c r="F595" i="2" s="1" a="1"/>
  <c r="B903" i="2" a="1"/>
  <c r="F903" i="2" s="1" a="1"/>
  <c r="B68" i="2" a="1"/>
  <c r="F68" i="2" s="1" a="1"/>
  <c r="B335" i="2" a="1"/>
  <c r="F335" i="2" s="1" a="1"/>
  <c r="B643" i="2" a="1"/>
  <c r="F643" i="2" s="1" a="1"/>
  <c r="B228" i="2" a="1"/>
  <c r="F228" i="2" s="1" a="1"/>
  <c r="B489" i="2" a="1"/>
  <c r="F489" i="2" s="1" a="1"/>
  <c r="B765" i="2" a="1"/>
  <c r="F765" i="2" s="1" a="1"/>
  <c r="B352" i="2" a="1"/>
  <c r="F352" i="2" s="1" a="1"/>
  <c r="B660" i="2" a="1"/>
  <c r="F660" i="2" s="1" a="1"/>
  <c r="B1038" i="2" a="1"/>
  <c r="F1038" i="2" s="1" a="1"/>
  <c r="B385" i="2" a="1"/>
  <c r="F385" i="2" s="1" a="1"/>
  <c r="B1179" i="2" a="1"/>
  <c r="F1179" i="2" s="1" a="1"/>
  <c r="B1041" i="2" a="1"/>
  <c r="F1041" i="2" s="1" a="1"/>
  <c r="B401" i="2" a="1"/>
  <c r="F401" i="2" s="1" a="1"/>
  <c r="B1226" i="2" a="1"/>
  <c r="F1226" i="2" s="1" a="1"/>
  <c r="B684" i="2" a="1"/>
  <c r="F684" i="2" s="1" a="1"/>
  <c r="B981" i="2" a="1"/>
  <c r="F981" i="2" s="1" a="1"/>
  <c r="B1272" i="2" a="1"/>
  <c r="F1272" i="2" s="1" a="1"/>
  <c r="B982" i="2" a="1"/>
  <c r="F982" i="2" s="1" a="1"/>
  <c r="B1273" i="2" a="1"/>
  <c r="F1273" i="2" s="1" a="1"/>
  <c r="B1061" i="2" a="1"/>
  <c r="F1061" i="2" s="1" a="1"/>
  <c r="B906" i="2" a="1"/>
  <c r="F906" i="2" s="1" a="1"/>
  <c r="B1215" i="2" a="1"/>
  <c r="F1215" i="2" s="1" a="1"/>
  <c r="B1110" i="2" a="1"/>
  <c r="F1110" i="2" s="1" a="1"/>
  <c r="B971" i="2" a="1"/>
  <c r="F971" i="2" s="1" a="1"/>
  <c r="B457" i="2" a="1"/>
  <c r="F457" i="2" s="1" a="1"/>
  <c r="B1218" i="2" a="1"/>
  <c r="F1218" i="2" s="1" a="1"/>
  <c r="B1128" i="2" a="1"/>
  <c r="F1128" i="2" s="1" a="1"/>
  <c r="B754" i="2" a="1"/>
  <c r="F754" i="2" s="1" a="1"/>
  <c r="B1022" i="2" a="1"/>
  <c r="F1022" i="2" s="1" a="1"/>
  <c r="B1245" i="2" a="1"/>
  <c r="F1245" i="2" s="1" a="1"/>
  <c r="B1231" i="2" a="1"/>
  <c r="F1231" i="2" s="1" a="1"/>
  <c r="B541" i="2" a="1"/>
  <c r="F541" i="2" s="1" a="1"/>
  <c r="B848" i="2" a="1"/>
  <c r="F848" i="2" s="1" a="1"/>
  <c r="B201" i="2" a="1"/>
  <c r="F201" i="2" s="1" a="1"/>
  <c r="B510" i="2" a="1"/>
  <c r="F510" i="2" s="1" a="1"/>
  <c r="B801" i="2" a="1"/>
  <c r="F801" i="2" s="1" a="1"/>
  <c r="B1185" i="2" a="1"/>
  <c r="F1185" i="2" s="1" a="1"/>
  <c r="B388" i="2" a="1"/>
  <c r="F388" i="2" s="1" a="1"/>
  <c r="B634" i="2" a="1"/>
  <c r="F634" i="2" s="1" a="1"/>
  <c r="B926" i="2" a="1"/>
  <c r="F926" i="2" s="1" a="1"/>
  <c r="B267" i="2" a="1"/>
  <c r="F267" i="2" s="1" a="1"/>
  <c r="B573" i="2" a="1"/>
  <c r="F573" i="2" s="1" a="1"/>
  <c r="B819" i="2" a="1"/>
  <c r="F819" i="2" s="1" a="1"/>
  <c r="B1094" i="2" a="1"/>
  <c r="F1094" i="2" s="1" a="1"/>
  <c r="B268" i="2" a="1"/>
  <c r="F268" i="2" s="1" a="1"/>
  <c r="B574" i="2" a="1"/>
  <c r="F574" i="2" s="1" a="1"/>
  <c r="B852" i="2" a="1"/>
  <c r="F852" i="2" s="1" a="1"/>
  <c r="B189" i="2" a="1"/>
  <c r="F189" i="2" s="1" a="1"/>
  <c r="B452" i="2" a="1"/>
  <c r="F452" i="2" s="1" a="1"/>
  <c r="B758" i="2" a="1"/>
  <c r="F758" i="2" s="1" a="1"/>
  <c r="B31" i="2" a="1"/>
  <c r="F31" i="2" s="1" a="1"/>
  <c r="B284" i="2" a="1"/>
  <c r="F284" i="2" s="1" a="1"/>
  <c r="B285" i="2" a="1"/>
  <c r="F285" i="2" s="1" a="1"/>
  <c r="B562" i="2" a="1"/>
  <c r="F562" i="2" s="1" a="1"/>
  <c r="B839" i="2" a="1"/>
  <c r="F839" i="2" s="1" a="1"/>
  <c r="B1129" i="2" a="1"/>
  <c r="F1129" i="2" s="1" a="1"/>
  <c r="B533" i="2" a="1"/>
  <c r="F533" i="2" s="1" a="1"/>
  <c r="B870" i="2" a="1"/>
  <c r="F870" i="2" s="1" a="1"/>
  <c r="B1221" i="2" a="1"/>
  <c r="F1221" i="2" s="1" a="1"/>
  <c r="B486" i="2" a="1"/>
  <c r="F486" i="2" s="1" a="1"/>
  <c r="B762" i="2" a="1"/>
  <c r="F762" i="2" s="1" a="1"/>
  <c r="B1069" i="2" a="1"/>
  <c r="F1069" i="2" s="1" a="1"/>
  <c r="B319" i="2" a="1"/>
  <c r="F319" i="2" s="1" a="1"/>
  <c r="B610" i="2" a="1"/>
  <c r="F610" i="2" s="1" a="1"/>
  <c r="B918" i="2" a="1"/>
  <c r="F918" i="2" s="1" a="1"/>
  <c r="B84" i="2" a="1"/>
  <c r="F84" i="2" s="1" a="1"/>
  <c r="B350" i="2" a="1"/>
  <c r="F350" i="2" s="1" a="1"/>
  <c r="B658" i="2" a="1"/>
  <c r="F658" i="2" s="1" a="1"/>
  <c r="B244" i="2" a="1"/>
  <c r="F244" i="2" s="1" a="1"/>
  <c r="B505" i="2" a="1"/>
  <c r="F505" i="2" s="1" a="1"/>
  <c r="B780" i="2" a="1"/>
  <c r="F780" i="2" s="1" a="1"/>
  <c r="B368" i="2" a="1"/>
  <c r="F368" i="2" s="1" a="1"/>
  <c r="B676" i="2" a="1"/>
  <c r="F676" i="2" s="1" a="1"/>
  <c r="B1115" i="2" a="1"/>
  <c r="F1115" i="2" s="1" a="1"/>
  <c r="B868" i="2" a="1"/>
  <c r="F868" i="2" s="1" a="1"/>
  <c r="B1208" i="2" a="1"/>
  <c r="F1208" i="2" s="1" a="1"/>
  <c r="B1056" i="2" a="1"/>
  <c r="F1056" i="2" s="1" a="1"/>
  <c r="B417" i="2" a="1"/>
  <c r="F417" i="2" s="1" a="1"/>
  <c r="B1240" i="2" a="1"/>
  <c r="F1240" i="2" s="1" a="1"/>
  <c r="B699" i="2" a="1"/>
  <c r="F699" i="2" s="1" a="1"/>
  <c r="B1013" i="2" a="1"/>
  <c r="F1013" i="2" s="1" a="1"/>
  <c r="B233" i="2" a="1"/>
  <c r="F233" i="2" s="1" a="1"/>
  <c r="B998" i="2" a="1"/>
  <c r="F998" i="2" s="1" a="1"/>
  <c r="B281" i="2" a="1"/>
  <c r="F281" i="2" s="1" a="1"/>
  <c r="B1076" i="2" a="1"/>
  <c r="F1076" i="2" s="1" a="1"/>
  <c r="B921" i="2" a="1"/>
  <c r="F921" i="2" s="1" a="1"/>
  <c r="B1275" i="2" a="1"/>
  <c r="F1275" i="2" s="1" a="1"/>
  <c r="B1201" i="2" a="1"/>
  <c r="F1201" i="2" s="1" a="1"/>
  <c r="B986" i="2" a="1"/>
  <c r="F986" i="2" s="1" a="1"/>
  <c r="B598" i="2" a="1"/>
  <c r="F598" i="2" s="1" a="1"/>
  <c r="B1262" i="2" a="1"/>
  <c r="F1262" i="2" s="1" a="1"/>
  <c r="B1143" i="2" a="1"/>
  <c r="F1143" i="2" s="1" a="1"/>
  <c r="B973" i="2" a="1"/>
  <c r="F973" i="2" s="1" a="1"/>
  <c r="B1037" i="2" a="1"/>
  <c r="F1037" i="2" s="1" a="1"/>
  <c r="B920" i="2" a="1"/>
  <c r="F920" i="2" s="1" a="1"/>
  <c r="B96" i="2" a="1"/>
  <c r="F96" i="2" s="1" a="1"/>
  <c r="B16" i="2" a="1"/>
  <c r="F16" i="2" s="1" a="1"/>
  <c r="B316" i="2" a="1"/>
  <c r="F316" i="2" s="1" a="1"/>
  <c r="B577" i="2" a="1"/>
  <c r="F577" i="2" s="1" a="1"/>
  <c r="B855" i="2" a="1"/>
  <c r="F855" i="2" s="1" a="1"/>
  <c r="B1144" i="2" a="1"/>
  <c r="F1144" i="2" s="1" a="1"/>
  <c r="B548" i="2" a="1"/>
  <c r="F548" i="2" s="1" a="1"/>
  <c r="B886" i="2" a="1"/>
  <c r="F886" i="2" s="1" a="1"/>
  <c r="B1250" i="2" a="1"/>
  <c r="F1250" i="2" s="1" a="1"/>
  <c r="B502" i="2" a="1"/>
  <c r="F502" i="2" s="1" a="1"/>
  <c r="B777" i="2" a="1"/>
  <c r="F777" i="2" s="1" a="1"/>
  <c r="B1084" i="2" a="1"/>
  <c r="F1084" i="2" s="1" a="1"/>
  <c r="B349" i="2" a="1"/>
  <c r="F349" i="2" s="1" a="1"/>
  <c r="B626" i="2" a="1"/>
  <c r="F626" i="2" s="1" a="1"/>
  <c r="B934" i="2" a="1"/>
  <c r="F934" i="2" s="1" a="1"/>
  <c r="B99" i="2" a="1"/>
  <c r="F99" i="2" s="1" a="1"/>
  <c r="B381" i="2" a="1"/>
  <c r="F381" i="2" s="1" a="1"/>
  <c r="B674" i="2" a="1"/>
  <c r="F674" i="2" s="1" a="1"/>
  <c r="B260" i="2" a="1"/>
  <c r="F260" i="2" s="1" a="1"/>
  <c r="B521" i="2" a="1"/>
  <c r="F521" i="2" s="1" a="1"/>
  <c r="B796" i="2" a="1"/>
  <c r="F796" i="2" s="1" a="1"/>
  <c r="B383" i="2" a="1"/>
  <c r="F383" i="2" s="1" a="1"/>
  <c r="B706" i="2" a="1"/>
  <c r="F706" i="2" s="1" a="1"/>
  <c r="B1191" i="2" a="1"/>
  <c r="F1191" i="2" s="1" a="1"/>
  <c r="B900" i="2" a="1"/>
  <c r="F900" i="2" s="1" a="1"/>
  <c r="B1224" i="2" a="1"/>
  <c r="F1224" i="2" s="1" a="1"/>
  <c r="B1087" i="2" a="1"/>
  <c r="F1087" i="2" s="1" a="1"/>
  <c r="B714" i="2" a="1"/>
  <c r="F714" i="2" s="1" a="1"/>
  <c r="B1255" i="2" a="1"/>
  <c r="F1255" i="2" s="1" a="1"/>
  <c r="B761" i="2" a="1"/>
  <c r="F761" i="2" s="1" a="1"/>
  <c r="B1028" i="2" a="1"/>
  <c r="F1028" i="2" s="1" a="1"/>
  <c r="B483" i="2" a="1"/>
  <c r="F483" i="2" s="1" a="1"/>
  <c r="B1014" i="2" a="1"/>
  <c r="F1014" i="2" s="1" a="1"/>
  <c r="B297" i="2" a="1"/>
  <c r="F297" i="2" s="1" a="1"/>
  <c r="B1169" i="2" a="1"/>
  <c r="F1169" i="2" s="1" a="1"/>
  <c r="B937" i="2" a="1"/>
  <c r="F937" i="2" s="1" a="1"/>
  <c r="B156" i="2" a="1"/>
  <c r="F156" i="2" s="1" a="1"/>
  <c r="B1216" i="2" a="1"/>
  <c r="F1216" i="2" s="1" a="1"/>
  <c r="B1002" i="2" a="1"/>
  <c r="F1002" i="2" s="1" a="1"/>
  <c r="B645" i="2" a="1"/>
  <c r="F645" i="2" s="1" a="1"/>
  <c r="B1278" i="2" a="1"/>
  <c r="F1278" i="2" s="1" a="1"/>
  <c r="B1158" i="2" a="1"/>
  <c r="F1158" i="2" s="1" a="1"/>
  <c r="B989" i="2" a="1"/>
  <c r="F989" i="2" s="1" a="1"/>
  <c r="B1283" i="2" a="1"/>
  <c r="F1283" i="2" s="1" a="1"/>
  <c r="B936" i="2" a="1"/>
  <c r="F936" i="2" s="1" a="1"/>
  <c r="B106" i="2" a="1"/>
  <c r="F106" i="2" s="1" a="1"/>
  <c r="B32" i="2" a="1"/>
  <c r="F32" i="2" s="1" a="1"/>
  <c r="B332" i="2" a="1"/>
  <c r="F332" i="2" s="1" a="1"/>
  <c r="B592" i="2" a="1"/>
  <c r="F592" i="2" s="1" a="1"/>
  <c r="B869" i="2" a="1"/>
  <c r="F869" i="2" s="1" a="1"/>
  <c r="B1159" i="2" a="1"/>
  <c r="F1159" i="2" s="1" a="1"/>
  <c r="B563" i="2" a="1"/>
  <c r="F563" i="2" s="1" a="1"/>
  <c r="B932" i="2" a="1"/>
  <c r="F932" i="2" s="1" a="1"/>
  <c r="B1265" i="2" a="1"/>
  <c r="F1265" i="2" s="1" a="1"/>
  <c r="B518" i="2" a="1"/>
  <c r="F518" i="2" s="1" a="1"/>
  <c r="B793" i="2" a="1"/>
  <c r="F793" i="2" s="1" a="1"/>
  <c r="B1100" i="2" a="1"/>
  <c r="F1100" i="2" s="1" a="1"/>
  <c r="B365" i="2" a="1"/>
  <c r="F365" i="2" s="1" a="1"/>
  <c r="B642" i="2" a="1"/>
  <c r="F642" i="2" s="1" a="1"/>
  <c r="B950" i="2" a="1"/>
  <c r="F950" i="2" s="1" a="1"/>
  <c r="B115" i="2" a="1"/>
  <c r="F115" i="2" s="1" a="1"/>
  <c r="B411" i="2" a="1"/>
  <c r="F411" i="2" s="1" a="1"/>
  <c r="B688" i="2" a="1"/>
  <c r="F688" i="2" s="1" a="1"/>
  <c r="B275" i="2" a="1"/>
  <c r="F275" i="2" s="1" a="1"/>
  <c r="B537" i="2" a="1"/>
  <c r="F537" i="2" s="1" a="1"/>
  <c r="B812" i="2" a="1"/>
  <c r="F812" i="2" s="1" a="1"/>
  <c r="B397" i="2" a="1"/>
  <c r="F397" i="2" s="1" a="1"/>
  <c r="B720" i="2" a="1"/>
  <c r="F720" i="2" s="1" a="1"/>
  <c r="B1222" i="2" a="1"/>
  <c r="F1222" i="2" s="1" a="1"/>
  <c r="B915" i="2" a="1"/>
  <c r="F915" i="2" s="1" a="1"/>
  <c r="B1238" i="2" a="1"/>
  <c r="F1238" i="2" s="1" a="1"/>
  <c r="B1103" i="2" a="1"/>
  <c r="F1103" i="2" s="1" a="1"/>
  <c r="B729" i="2" a="1"/>
  <c r="F729" i="2" s="1" a="1"/>
  <c r="B1270" i="2" a="1"/>
  <c r="F1270" i="2" s="1" a="1"/>
  <c r="B808" i="2" a="1"/>
  <c r="F808" i="2" s="1" a="1"/>
  <c r="B1044" i="2" a="1"/>
  <c r="F1044" i="2" s="1" a="1"/>
  <c r="B499" i="2" a="1"/>
  <c r="F499" i="2" s="1" a="1"/>
  <c r="B1029" i="2" a="1"/>
  <c r="F1029" i="2" s="1" a="1"/>
  <c r="B437" i="2" a="1"/>
  <c r="F437" i="2" s="1" a="1"/>
  <c r="B1274" i="2" a="1"/>
  <c r="F1274" i="2" s="1" a="1"/>
  <c r="B953" i="2" a="1"/>
  <c r="F953" i="2" s="1" a="1"/>
  <c r="B236" i="2" a="1"/>
  <c r="F236" i="2" s="1" a="1"/>
  <c r="B1232" i="2" a="1"/>
  <c r="F1232" i="2" s="1" a="1"/>
  <c r="B1049" i="2" a="1"/>
  <c r="F1049" i="2" s="1" a="1"/>
  <c r="B690" i="2" a="1"/>
  <c r="F690" i="2" s="1" a="1"/>
  <c r="B426" i="2" a="1"/>
  <c r="F426" i="2" s="1" a="1"/>
  <c r="B1174" i="2" a="1"/>
  <c r="F1174" i="2" s="1" a="1"/>
  <c r="B1005" i="2" a="1"/>
  <c r="F1005" i="2" s="1" a="1"/>
  <c r="B1193" i="2" a="1"/>
  <c r="F1193" i="2" s="1" a="1"/>
  <c r="B1247" i="2" a="1"/>
  <c r="F1247" i="2" s="1" a="1"/>
  <c r="B460" i="2" a="1"/>
  <c r="F460" i="2" s="1" a="1"/>
  <c r="B48" i="2" a="1"/>
  <c r="F48" i="2" s="1" a="1"/>
  <c r="B346" i="2" a="1"/>
  <c r="F346" i="2" s="1" a="1"/>
  <c r="B608" i="2" a="1"/>
  <c r="F608" i="2" s="1" a="1"/>
  <c r="B885" i="2" a="1"/>
  <c r="F885" i="2" s="1" a="1"/>
  <c r="B1175" i="2" a="1"/>
  <c r="F1175" i="2" s="1" a="1"/>
  <c r="B578" i="2" a="1"/>
  <c r="F578" i="2" s="1" a="1"/>
  <c r="B948" i="2" a="1"/>
  <c r="F948" i="2" s="1" a="1"/>
  <c r="B1281" i="2" a="1"/>
  <c r="F1281" i="2" s="1" a="1"/>
  <c r="B534" i="2" a="1"/>
  <c r="F534" i="2" s="1" a="1"/>
  <c r="B809" i="2" a="1"/>
  <c r="F809" i="2" s="1" a="1"/>
  <c r="B380" i="2" a="1"/>
  <c r="F380" i="2" s="1" a="1"/>
  <c r="B657" i="2" a="1"/>
  <c r="F657" i="2" s="1" a="1"/>
  <c r="B966" i="2" a="1"/>
  <c r="F966" i="2" s="1" a="1"/>
  <c r="B131" i="2" a="1"/>
  <c r="F131" i="2" s="1" a="1"/>
  <c r="B442" i="2" a="1"/>
  <c r="F442" i="2" s="1" a="1"/>
  <c r="B704" i="2" a="1"/>
  <c r="F704" i="2" s="1" a="1"/>
  <c r="B290" i="2" a="1"/>
  <c r="F290" i="2" s="1" a="1"/>
  <c r="B552" i="2" a="1"/>
  <c r="F552" i="2" s="1" a="1"/>
  <c r="B165" i="2" a="1"/>
  <c r="F165" i="2" s="1" a="1"/>
  <c r="B413" i="2" a="1"/>
  <c r="F413" i="2" s="1" a="1"/>
  <c r="B735" i="2" a="1"/>
  <c r="F735" i="2" s="1" a="1"/>
  <c r="B1282" i="2" a="1"/>
  <c r="F1282" i="2" s="1" a="1"/>
  <c r="B930" i="2" a="1"/>
  <c r="F930" i="2" s="1" a="1"/>
  <c r="B1253" i="2" a="1"/>
  <c r="F1253" i="2" s="1" a="1"/>
  <c r="B1118" i="2" a="1"/>
  <c r="F1118" i="2" s="1" a="1"/>
  <c r="B744" i="2" a="1"/>
  <c r="F744" i="2" s="1" a="1"/>
  <c r="B1286" i="2" a="1"/>
  <c r="F1286" i="2" s="1" a="1"/>
  <c r="B856" i="2" a="1"/>
  <c r="F856" i="2" s="1" a="1"/>
  <c r="B1074" i="2" a="1"/>
  <c r="F1074" i="2" s="1" a="1"/>
  <c r="B515" i="2" a="1"/>
  <c r="F515" i="2" s="1" a="1"/>
  <c r="B1045" i="2" a="1"/>
  <c r="F1045" i="2" s="1" a="1"/>
  <c r="B453" i="2" a="1"/>
  <c r="F453" i="2" s="1" a="1"/>
  <c r="B298" i="2" a="1"/>
  <c r="F298" i="2" s="1" a="1"/>
  <c r="B984" i="2" a="1"/>
  <c r="F984" i="2" s="1" a="1"/>
  <c r="B252" i="2" a="1"/>
  <c r="F252" i="2" s="1" a="1"/>
  <c r="B1246" i="2" a="1"/>
  <c r="F1246" i="2" s="1" a="1"/>
  <c r="B1064" i="2" a="1"/>
  <c r="F1064" i="2" s="1" a="1"/>
  <c r="B752" i="2" a="1"/>
  <c r="F752" i="2" s="1" a="1"/>
  <c r="B568" i="2" a="1"/>
  <c r="F568" i="2" s="1" a="1"/>
  <c r="B1189" i="2" a="1"/>
  <c r="F1189" i="2" s="1" a="1"/>
  <c r="B1036" i="2" a="1"/>
  <c r="F1036" i="2" s="1" a="1"/>
  <c r="B993" i="2" a="1"/>
  <c r="F993" i="2" s="1" a="1"/>
  <c r="B828" i="2" a="1"/>
  <c r="F828" i="2" s="1" a="1"/>
  <c r="B266" i="2" a="1"/>
  <c r="F266" i="2" s="1" a="1"/>
  <c r="B1131" i="2" a="1"/>
  <c r="F1131" i="2" s="1" a="1"/>
  <c r="B65" i="2" a="1"/>
  <c r="F65" i="2" s="1" a="1"/>
  <c r="B379" i="2" a="1"/>
  <c r="F379" i="2" s="1" a="1"/>
  <c r="B287" i="2" a="1"/>
  <c r="F287" i="2" s="1" a="1"/>
  <c r="B210" i="2" a="1"/>
  <c r="F210" i="2" s="1" a="1"/>
  <c r="B212" i="2" a="1"/>
  <c r="F212" i="2" s="1" a="1"/>
  <c r="B166" i="2" a="1"/>
  <c r="F166" i="2" s="1" a="1"/>
  <c r="B11" i="2" a="1"/>
  <c r="F11" i="2" s="1" a="1"/>
  <c r="B169" i="2" a="1"/>
  <c r="F169" i="2" s="1" a="1"/>
  <c r="B91" i="2" a="1"/>
  <c r="F91" i="2" s="1" a="1"/>
  <c r="B554" i="2" a="1"/>
  <c r="F554" i="2" s="1" a="1"/>
  <c r="B846" i="2" a="1"/>
  <c r="F846" i="2" s="1" a="1"/>
  <c r="B1211" i="2" a="1"/>
  <c r="F1211" i="2" s="1" a="1"/>
  <c r="B247" i="2" a="1"/>
  <c r="F247" i="2" s="1" a="1"/>
  <c r="B524" i="2" a="1"/>
  <c r="F524" i="2" s="1" a="1"/>
  <c r="B783" i="2" a="1"/>
  <c r="F783" i="2" s="1" a="1"/>
  <c r="B355" i="2" a="1"/>
  <c r="F355" i="2" s="1" a="1"/>
  <c r="B616" i="2" a="1"/>
  <c r="F616" i="2" s="1" a="1"/>
  <c r="B924" i="2" a="1"/>
  <c r="F924" i="2" s="1" a="1"/>
  <c r="B280" i="2" a="1"/>
  <c r="F280" i="2" s="1" a="1"/>
  <c r="B586" i="2" a="1"/>
  <c r="F586" i="2" s="1" a="1"/>
  <c r="B879" i="2" a="1"/>
  <c r="F879" i="2" s="1" a="1"/>
  <c r="B1244" i="2" a="1"/>
  <c r="F1244" i="2" s="1" a="1"/>
  <c r="B449" i="2" a="1"/>
  <c r="F449" i="2" s="1" a="1"/>
  <c r="B695" i="2" a="1"/>
  <c r="F695" i="2" s="1" a="1"/>
  <c r="B1048" i="2" a="1"/>
  <c r="F1048" i="2" s="1" a="1"/>
  <c r="B358" i="2" a="1"/>
  <c r="F358" i="2" s="1" a="1"/>
  <c r="B635" i="2" a="1"/>
  <c r="F635" i="2" s="1" a="1"/>
  <c r="B881" i="2" a="1"/>
  <c r="F881" i="2" s="1" a="1"/>
  <c r="B1171" i="2" a="1"/>
  <c r="F1171" i="2" s="1" a="1"/>
  <c r="B343" i="2" a="1"/>
  <c r="F343" i="2" s="1" a="1"/>
  <c r="B652" i="2" a="1"/>
  <c r="F652" i="2" s="1" a="1"/>
  <c r="B913" i="2" a="1"/>
  <c r="F913" i="2" s="1" a="1"/>
  <c r="B253" i="2" a="1"/>
  <c r="F253" i="2" s="1" a="1"/>
  <c r="B530" i="2" a="1"/>
  <c r="F530" i="2" s="1" a="1"/>
  <c r="B837" i="2" a="1"/>
  <c r="F837" i="2" s="1" a="1"/>
  <c r="B94" i="2" a="1"/>
  <c r="F94" i="2" s="1" a="1"/>
  <c r="B64" i="2" a="1"/>
  <c r="F64" i="2" s="1" a="1"/>
  <c r="B362" i="2" a="1"/>
  <c r="F362" i="2" s="1" a="1"/>
  <c r="B623" i="2" a="1"/>
  <c r="F623" i="2" s="1" a="1"/>
  <c r="B901" i="2" a="1"/>
  <c r="F901" i="2" s="1" a="1"/>
  <c r="B17" i="2" a="1"/>
  <c r="F17" i="2" s="1" a="1"/>
  <c r="B593" i="2" a="1"/>
  <c r="F593" i="2" s="1" a="1"/>
  <c r="B964" i="2" a="1"/>
  <c r="F964" i="2" s="1" a="1"/>
  <c r="B34" i="2" a="1"/>
  <c r="F34" i="2" s="1" a="1"/>
  <c r="B564" i="2" a="1"/>
  <c r="F564" i="2" s="1" a="1"/>
  <c r="B825" i="2" a="1"/>
  <c r="F825" i="2" s="1" a="1"/>
  <c r="B1146" i="2" a="1"/>
  <c r="F1146" i="2" s="1" a="1"/>
  <c r="B395" i="2" a="1"/>
  <c r="F395" i="2" s="1" a="1"/>
  <c r="B673" i="2" a="1"/>
  <c r="F673" i="2" s="1" a="1"/>
  <c r="B997" i="2" a="1"/>
  <c r="F997" i="2" s="1" a="1"/>
  <c r="B147" i="2" a="1"/>
  <c r="F147" i="2" s="1" a="1"/>
  <c r="B473" i="2" a="1"/>
  <c r="F473" i="2" s="1" a="1"/>
  <c r="B718" i="2" a="1"/>
  <c r="F718" i="2" s="1" a="1"/>
  <c r="B305" i="2" a="1"/>
  <c r="F305" i="2" s="1" a="1"/>
  <c r="B567" i="2" a="1"/>
  <c r="F567" i="2" s="1" a="1"/>
  <c r="B181" i="2" a="1"/>
  <c r="F181" i="2" s="1" a="1"/>
  <c r="B444" i="2" a="1"/>
  <c r="F444" i="2" s="1" a="1"/>
  <c r="B751" i="2" a="1"/>
  <c r="F751" i="2" s="1" a="1"/>
  <c r="B1267" i="2" a="1"/>
  <c r="F1267" i="2" s="1" a="1"/>
  <c r="B946" i="2" a="1"/>
  <c r="F946" i="2" s="1" a="1"/>
  <c r="B1268" i="2" a="1"/>
  <c r="F1268" i="2" s="1" a="1"/>
  <c r="B1134" i="2" a="1"/>
  <c r="F1134" i="2" s="1" a="1"/>
  <c r="B807" i="2" a="1"/>
  <c r="F807" i="2" s="1" a="1"/>
  <c r="B103" i="2" a="1"/>
  <c r="F103" i="2" s="1" a="1"/>
  <c r="B917" i="2" a="1"/>
  <c r="F917" i="2" s="1" a="1"/>
  <c r="B1090" i="2" a="1"/>
  <c r="F1090" i="2" s="1" a="1"/>
  <c r="B531" i="2" a="1"/>
  <c r="F531" i="2" s="1" a="1"/>
  <c r="B1060" i="2" a="1"/>
  <c r="F1060" i="2" s="1" a="1"/>
  <c r="B468" i="2" a="1"/>
  <c r="F468" i="2" s="1" a="1"/>
  <c r="B330" i="2" a="1"/>
  <c r="F330" i="2" s="1" a="1"/>
  <c r="B1000" i="2" a="1"/>
  <c r="F1000" i="2" s="1" a="1"/>
  <c r="B331" i="2" a="1"/>
  <c r="F331" i="2" s="1" a="1"/>
  <c r="B1260" i="2" a="1"/>
  <c r="F1260" i="2" s="1" a="1"/>
  <c r="B1079" i="2" a="1"/>
  <c r="F1079" i="2" s="1" a="1"/>
  <c r="B799" i="2" a="1"/>
  <c r="F799" i="2" s="1" a="1"/>
  <c r="B863" i="2" a="1"/>
  <c r="F863" i="2" s="1" a="1"/>
  <c r="B1204" i="2" a="1"/>
  <c r="F1204" i="2" s="1" a="1"/>
  <c r="B1052" i="2" a="1"/>
  <c r="F1052" i="2" s="1" a="1"/>
  <c r="B712" i="2" a="1"/>
  <c r="F712" i="2" s="1" a="1"/>
  <c r="B969" i="2" a="1"/>
  <c r="F969" i="2" s="1" a="1"/>
  <c r="B170" i="2" a="1"/>
  <c r="F170" i="2" s="1" a="1"/>
  <c r="B895" i="2" a="1"/>
  <c r="F895" i="2" s="1" a="1"/>
  <c r="B1258" i="2" a="1"/>
  <c r="F1258" i="2" s="1" a="1"/>
  <c r="B464" i="2" a="1"/>
  <c r="F464" i="2" s="1" a="1"/>
  <c r="B710" i="2" a="1"/>
  <c r="F710" i="2" s="1" a="1"/>
  <c r="B12" i="2" a="1"/>
  <c r="F12" i="2" s="1" a="1"/>
  <c r="B374" i="2" a="1"/>
  <c r="F374" i="2" s="1" a="1"/>
  <c r="B651" i="2" a="1"/>
  <c r="F651" i="2" s="1" a="1"/>
  <c r="B897" i="2" a="1"/>
  <c r="F897" i="2" s="1" a="1"/>
  <c r="B1187" i="2" a="1"/>
  <c r="F1187" i="2" s="1" a="1"/>
  <c r="B359" i="2" a="1"/>
  <c r="F359" i="2" s="1" a="1"/>
  <c r="B667" i="2" a="1"/>
  <c r="F667" i="2" s="1" a="1"/>
  <c r="B928" i="2" a="1"/>
  <c r="F928" i="2" s="1" a="1"/>
  <c r="B269" i="2" a="1"/>
  <c r="F269" i="2" s="1" a="1"/>
  <c r="B560" i="2" a="1"/>
  <c r="F560" i="2" s="1" a="1"/>
  <c r="B853" i="2" a="1"/>
  <c r="F853" i="2" s="1" a="1"/>
  <c r="B110" i="2" a="1"/>
  <c r="F110" i="2" s="1" a="1"/>
  <c r="B95" i="2" a="1"/>
  <c r="F95" i="2" s="1" a="1"/>
  <c r="B378" i="2" a="1"/>
  <c r="F378" i="2" s="1" a="1"/>
  <c r="B639" i="2" a="1"/>
  <c r="F639" i="2" s="1" a="1"/>
  <c r="B916" i="2" a="1"/>
  <c r="F916" i="2" s="1" a="1"/>
  <c r="B33" i="2" a="1"/>
  <c r="F33" i="2" s="1" a="1"/>
  <c r="B979" i="2" a="1"/>
  <c r="F979" i="2" s="1" a="1"/>
  <c r="B50" i="2" a="1"/>
  <c r="F50" i="2" s="1" a="1"/>
  <c r="B579" i="2" a="1"/>
  <c r="F579" i="2" s="1" a="1"/>
  <c r="B857" i="2" a="1"/>
  <c r="F857" i="2" s="1" a="1"/>
  <c r="B1161" i="2" a="1"/>
  <c r="F1161" i="2" s="1" a="1"/>
  <c r="B410" i="2" a="1"/>
  <c r="F410" i="2" s="1" a="1"/>
  <c r="B703" i="2" a="1"/>
  <c r="F703" i="2" s="1" a="1"/>
  <c r="B1012" i="2" a="1"/>
  <c r="F1012" i="2" s="1" a="1"/>
  <c r="B163" i="2" a="1"/>
  <c r="F163" i="2" s="1" a="1"/>
  <c r="B488" i="2" a="1"/>
  <c r="F488" i="2" s="1" a="1"/>
  <c r="B733" i="2" a="1"/>
  <c r="F733" i="2" s="1" a="1"/>
  <c r="B321" i="2" a="1"/>
  <c r="F321" i="2" s="1" a="1"/>
  <c r="B581" i="2" a="1"/>
  <c r="F581" i="2" s="1" a="1"/>
  <c r="B197" i="2" a="1"/>
  <c r="F197" i="2" s="1" a="1"/>
  <c r="B459" i="2" a="1"/>
  <c r="F459" i="2" s="1" a="1"/>
  <c r="B766" i="2" a="1"/>
  <c r="F766" i="2" s="1" a="1"/>
  <c r="B556" i="2" a="1"/>
  <c r="F556" i="2" s="1" a="1"/>
  <c r="B962" i="2" a="1"/>
  <c r="F962" i="2" s="1" a="1"/>
  <c r="B620" i="2" a="1"/>
  <c r="F620" i="2" s="1" a="1"/>
  <c r="B1149" i="2" a="1"/>
  <c r="F1149" i="2" s="1" a="1"/>
  <c r="B1042" i="2" a="1"/>
  <c r="F1042" i="2" s="1" a="1"/>
  <c r="B231" i="2" a="1"/>
  <c r="F231" i="2" s="1" a="1"/>
  <c r="B933" i="2" a="1"/>
  <c r="F933" i="2" s="1" a="1"/>
  <c r="B1106" i="2" a="1"/>
  <c r="F1106" i="2" s="1" a="1"/>
  <c r="B546" i="2" a="1"/>
  <c r="F546" i="2" s="1" a="1"/>
  <c r="B1091" i="2" a="1"/>
  <c r="F1091" i="2" s="1" a="1"/>
  <c r="B484" i="2" a="1"/>
  <c r="F484" i="2" s="1" a="1"/>
  <c r="B345" i="2" a="1"/>
  <c r="F345" i="2" s="1" a="1"/>
  <c r="B1031" i="2" a="1"/>
  <c r="F1031" i="2" s="1" a="1"/>
  <c r="B549" i="2" a="1"/>
  <c r="F549" i="2" s="1" a="1"/>
  <c r="B1276" i="2" a="1"/>
  <c r="F1276" i="2" s="1" a="1"/>
  <c r="B1095" i="2" a="1"/>
  <c r="F1095" i="2" s="1" a="1"/>
  <c r="B940" i="2" a="1"/>
  <c r="F940" i="2" s="1" a="1"/>
  <c r="B941" i="2" a="1"/>
  <c r="F941" i="2" s="1" a="1"/>
  <c r="B1219" i="2" a="1"/>
  <c r="F1219" i="2" s="1" a="1"/>
  <c r="B1190" i="2" a="1"/>
  <c r="F1190" i="2" s="1" a="1"/>
  <c r="B884" i="2" a="1"/>
  <c r="F884" i="2" s="1" a="1"/>
  <c r="B1062" i="2" a="1"/>
  <c r="F1062" i="2" s="1" a="1"/>
  <c r="B71" i="2" a="1"/>
  <c r="F71" i="2" s="1" a="1"/>
  <c r="B202" i="2" a="1"/>
  <c r="F202" i="2" s="1" a="1"/>
  <c r="B480" i="2" a="1"/>
  <c r="F480" i="2" s="1" a="1"/>
  <c r="B725" i="2" a="1"/>
  <c r="F725" i="2" s="1" a="1"/>
  <c r="B28" i="2" a="1"/>
  <c r="F28" i="2" s="1" a="1"/>
  <c r="B403" i="2" a="1"/>
  <c r="F403" i="2" s="1" a="1"/>
  <c r="B666" i="2" a="1"/>
  <c r="F666" i="2" s="1" a="1"/>
  <c r="B912" i="2" a="1"/>
  <c r="F912" i="2" s="1" a="1"/>
  <c r="B61" i="2" a="1"/>
  <c r="F61" i="2" s="1" a="1"/>
  <c r="B375" i="2" a="1"/>
  <c r="F375" i="2" s="1" a="1"/>
  <c r="B682" i="2" a="1"/>
  <c r="F682" i="2" s="1" a="1"/>
  <c r="B944" i="2" a="1"/>
  <c r="F944" i="2" s="1" a="1"/>
  <c r="B283" i="2" a="1"/>
  <c r="F283" i="2" s="1" a="1"/>
  <c r="B575" i="2" a="1"/>
  <c r="F575" i="2" s="1" a="1"/>
  <c r="B867" i="2" a="1"/>
  <c r="F867" i="2" s="1" a="1"/>
  <c r="B126" i="2" a="1"/>
  <c r="F126" i="2" s="1" a="1"/>
  <c r="B127" i="2" a="1"/>
  <c r="F127" i="2" s="1" a="1"/>
  <c r="B392" i="2" a="1"/>
  <c r="F392" i="2" s="1" a="1"/>
  <c r="B655" i="2" a="1"/>
  <c r="F655" i="2" s="1" a="1"/>
  <c r="B931" i="2" a="1"/>
  <c r="F931" i="2" s="1" a="1"/>
  <c r="B49" i="2" a="1"/>
  <c r="F49" i="2" s="1" a="1"/>
  <c r="B624" i="2" a="1"/>
  <c r="F624" i="2" s="1" a="1"/>
  <c r="B995" i="2" a="1"/>
  <c r="F995" i="2" s="1" a="1"/>
  <c r="B113" i="2" a="1"/>
  <c r="F113" i="2" s="1" a="1"/>
  <c r="B594" i="2" a="1"/>
  <c r="F594" i="2" s="1" a="1"/>
  <c r="B871" i="2" a="1"/>
  <c r="F871" i="2" s="1" a="1"/>
  <c r="B1177" i="2" a="1"/>
  <c r="F1177" i="2" s="1" a="1"/>
  <c r="B441" i="2" a="1"/>
  <c r="F441" i="2" s="1" a="1"/>
  <c r="B732" i="2" a="1"/>
  <c r="F732" i="2" s="1" a="1"/>
  <c r="B1040" i="2" a="1"/>
  <c r="F1040" i="2" s="1" a="1"/>
  <c r="B179" i="2" a="1"/>
  <c r="F179" i="2" s="1" a="1"/>
  <c r="B504" i="2" a="1"/>
  <c r="F504" i="2" s="1" a="1"/>
  <c r="B749" i="2" a="1"/>
  <c r="F749" i="2" s="1" a="1"/>
  <c r="B336" i="2" a="1"/>
  <c r="F336" i="2" s="1" a="1"/>
  <c r="B612" i="2" a="1"/>
  <c r="F612" i="2" s="1" a="1"/>
  <c r="B213" i="2" a="1"/>
  <c r="F213" i="2" s="1" a="1"/>
  <c r="B475" i="2" a="1"/>
  <c r="F475" i="2" s="1" a="1"/>
  <c r="B781" i="2" a="1"/>
  <c r="F781" i="2" s="1" a="1"/>
  <c r="B883" i="2" a="1"/>
  <c r="F883" i="2" s="1" a="1"/>
  <c r="B977" i="2" a="1"/>
  <c r="F977" i="2" s="1" a="1"/>
  <c r="B713" i="2" a="1"/>
  <c r="F713" i="2" s="1" a="1"/>
  <c r="B1164" i="2" a="1"/>
  <c r="F1164" i="2" s="1" a="1"/>
  <c r="B1057" i="2" a="1"/>
  <c r="F1057" i="2" s="1" a="1"/>
  <c r="B481" i="2" a="1"/>
  <c r="F481" i="2" s="1" a="1"/>
  <c r="B965" i="2" a="1"/>
  <c r="F965" i="2" s="1" a="1"/>
  <c r="B1121" i="2" a="1"/>
  <c r="F1121" i="2" s="1" a="1"/>
  <c r="B731" i="2" a="1"/>
  <c r="F731" i="2" s="1" a="1"/>
  <c r="B1107" i="2" a="1"/>
  <c r="F1107" i="2" s="1" a="1"/>
  <c r="B874" i="2" a="1"/>
  <c r="F874" i="2" s="1" a="1"/>
  <c r="B361" i="2" a="1"/>
  <c r="F361" i="2" s="1" a="1"/>
  <c r="B1077" i="2" a="1"/>
  <c r="F1077" i="2" s="1" a="1"/>
  <c r="B829" i="2" a="1"/>
  <c r="F829" i="2" s="1" a="1"/>
  <c r="B300" i="2" a="1"/>
  <c r="F300" i="2" s="1" a="1"/>
  <c r="B1111" i="2" a="1"/>
  <c r="F1111" i="2" s="1" a="1"/>
  <c r="B1050" i="2" a="1"/>
  <c r="F1050" i="2" s="1" a="1"/>
  <c r="B988" i="2" a="1"/>
  <c r="F988" i="2" s="1" a="1"/>
  <c r="B1234" i="2" a="1"/>
  <c r="F1234" i="2" s="1" a="1"/>
  <c r="B1205" i="2" a="1"/>
  <c r="F1205" i="2" s="1" a="1"/>
  <c r="B806" i="2" a="1"/>
  <c r="F806" i="2" s="1" a="1"/>
  <c r="B1233" i="2" a="1"/>
  <c r="F1233" i="2" s="1" a="1"/>
  <c r="B137" i="2" a="1"/>
  <c r="F137" i="2" s="1" a="1"/>
  <c r="B633" i="2" a="1"/>
  <c r="F633" i="2" s="1" a="1"/>
  <c r="B925" i="2" a="1"/>
  <c r="F925" i="2" s="1" a="1"/>
  <c r="B218" i="2" a="1"/>
  <c r="F218" i="2" s="1" a="1"/>
  <c r="B495" i="2" a="1"/>
  <c r="F495" i="2" s="1" a="1"/>
  <c r="B740" i="2" a="1"/>
  <c r="F740" i="2" s="1" a="1"/>
  <c r="B123" i="2" a="1"/>
  <c r="F123" i="2" s="1" a="1"/>
  <c r="B419" i="2" a="1"/>
  <c r="F419" i="2" s="1" a="1"/>
  <c r="B681" i="2" a="1"/>
  <c r="F681" i="2" s="1" a="1"/>
  <c r="B927" i="2" a="1"/>
  <c r="F927" i="2" s="1" a="1"/>
  <c r="B77" i="2" a="1"/>
  <c r="F77" i="2" s="1" a="1"/>
  <c r="B389" i="2" a="1"/>
  <c r="F389" i="2" s="1" a="1"/>
  <c r="B697" i="2" a="1"/>
  <c r="F697" i="2" s="1" a="1"/>
  <c r="B46" i="2" a="1"/>
  <c r="F46" i="2" s="1" a="1"/>
  <c r="B299" i="2" a="1"/>
  <c r="F299" i="2" s="1" a="1"/>
  <c r="B590" i="2" a="1"/>
  <c r="F590" i="2" s="1" a="1"/>
  <c r="B899" i="2" a="1"/>
  <c r="F899" i="2" s="1" a="1"/>
  <c r="B142" i="2" a="1"/>
  <c r="F142" i="2" s="1" a="1"/>
  <c r="B143" i="2" a="1"/>
  <c r="F143" i="2" s="1" a="1"/>
  <c r="B407" i="2" a="1"/>
  <c r="F407" i="2" s="1" a="1"/>
  <c r="B685" i="2" a="1"/>
  <c r="F685" i="2" s="1" a="1"/>
  <c r="B963" i="2" a="1"/>
  <c r="F963" i="2" s="1" a="1"/>
  <c r="B128" i="2" a="1"/>
  <c r="F128" i="2" s="1" a="1"/>
  <c r="B640" i="2" a="1"/>
  <c r="F640" i="2" s="1" a="1"/>
  <c r="B1026" i="2" a="1"/>
  <c r="F1026" i="2" s="1" a="1"/>
  <c r="B273" i="2" a="1"/>
  <c r="F273" i="2" s="1" a="1"/>
  <c r="B609" i="2" a="1"/>
  <c r="F609" i="2" s="1" a="1"/>
  <c r="B887" i="2" a="1"/>
  <c r="F887" i="2" s="1" a="1"/>
  <c r="B1236" i="2" a="1"/>
  <c r="F1236" i="2" s="1" a="1"/>
  <c r="B472" i="2" a="1"/>
  <c r="F472" i="2" s="1" a="1"/>
  <c r="B748" i="2" a="1"/>
  <c r="F748" i="2" s="1" a="1"/>
  <c r="B1055" i="2" a="1"/>
  <c r="F1055" i="2" s="1" a="1"/>
  <c r="B195" i="2" a="1"/>
  <c r="F195" i="2" s="1" a="1"/>
  <c r="B520" i="2" a="1"/>
  <c r="F520" i="2" s="1" a="1"/>
  <c r="B764" i="2" a="1"/>
  <c r="F764" i="2" s="1" a="1"/>
  <c r="B351" i="2" a="1"/>
  <c r="F351" i="2" s="1" a="1"/>
  <c r="B628" i="2" a="1"/>
  <c r="F628" i="2" s="1" a="1"/>
  <c r="B229" i="2" a="1"/>
  <c r="F229" i="2" s="1" a="1"/>
  <c r="B490" i="2" a="1"/>
  <c r="F490" i="2" s="1" a="1"/>
  <c r="B797" i="2" a="1"/>
  <c r="F797" i="2" s="1" a="1"/>
  <c r="B1024" i="2" a="1"/>
  <c r="F1024" i="2" s="1" a="1"/>
  <c r="B1009" i="2" a="1"/>
  <c r="F1009" i="2" s="1" a="1"/>
  <c r="B743" i="2" a="1"/>
  <c r="F743" i="2" s="1" a="1"/>
  <c r="B1180" i="2" a="1"/>
  <c r="F1180" i="2" s="1" a="1"/>
  <c r="B1088" i="2" a="1"/>
  <c r="F1088" i="2" s="1" a="1"/>
  <c r="B497" i="2" a="1"/>
  <c r="F497" i="2" s="1" a="1"/>
  <c r="B1043" i="2" a="1"/>
  <c r="F1043" i="2" s="1" a="1"/>
  <c r="B1136" i="2" a="1"/>
  <c r="F1136" i="2" s="1" a="1"/>
  <c r="B842" i="2" a="1"/>
  <c r="F842" i="2" s="1" a="1"/>
  <c r="B1122" i="2" a="1"/>
  <c r="F1122" i="2" s="1" a="1"/>
  <c r="B890" i="2" a="1"/>
  <c r="F890" i="2" s="1" a="1"/>
  <c r="B377" i="2" a="1"/>
  <c r="F377" i="2" s="1" a="1"/>
  <c r="B1093" i="2" a="1"/>
  <c r="F1093" i="2" s="1" a="1"/>
  <c r="B845" i="2" a="1"/>
  <c r="F845" i="2" s="1" a="1"/>
  <c r="B597" i="2" a="1"/>
  <c r="F597" i="2" s="1" a="1"/>
  <c r="B1126" i="2" a="1"/>
  <c r="F1126" i="2" s="1" a="1"/>
  <c r="B1065" i="2" a="1"/>
  <c r="F1065" i="2" s="1" a="1"/>
  <c r="B1004" i="2" a="1"/>
  <c r="F1004" i="2" s="1" a="1"/>
  <c r="B1248" i="2" a="1"/>
  <c r="F1248" i="2" s="1" a="1"/>
  <c r="B1220" i="2" a="1"/>
  <c r="F1220" i="2" s="1" a="1"/>
  <c r="B854" i="2" a="1"/>
  <c r="F854" i="2" s="1" a="1"/>
  <c r="B315" i="2" a="1"/>
  <c r="F315" i="2" s="1" a="1"/>
  <c r="B24" i="2" a="1"/>
  <c r="F24" i="2" s="1" a="1"/>
  <c r="B416" i="2" a="1"/>
  <c r="F416" i="2" s="1" a="1"/>
  <c r="B679" i="2" a="1"/>
  <c r="F679" i="2" s="1" a="1"/>
  <c r="B1003" i="2" a="1"/>
  <c r="F1003" i="2" s="1" a="1"/>
  <c r="B356" i="2" a="1"/>
  <c r="F356" i="2" s="1" a="1"/>
  <c r="B649" i="2" a="1"/>
  <c r="F649" i="2" s="1" a="1"/>
  <c r="B957" i="2" a="1"/>
  <c r="F957" i="2" s="1" a="1"/>
  <c r="B234" i="2" a="1"/>
  <c r="F234" i="2" s="1" a="1"/>
  <c r="B511" i="2" a="1"/>
  <c r="F511" i="2" s="1" a="1"/>
  <c r="B755" i="2" a="1"/>
  <c r="F755" i="2" s="1" a="1"/>
  <c r="B139" i="2" a="1"/>
  <c r="F139" i="2" s="1" a="1"/>
  <c r="B434" i="2" a="1"/>
  <c r="F434" i="2" s="1" a="1"/>
  <c r="B696" i="2" a="1"/>
  <c r="F696" i="2" s="1" a="1"/>
  <c r="B943" i="2" a="1"/>
  <c r="F943" i="2" s="1" a="1"/>
  <c r="B92" i="2" a="1"/>
  <c r="F92" i="2" s="1" a="1"/>
  <c r="B404" i="2" a="1"/>
  <c r="F404" i="2" s="1" a="1"/>
  <c r="B727" i="2" a="1"/>
  <c r="F727" i="2" s="1" a="1"/>
  <c r="B62" i="2" a="1"/>
  <c r="F62" i="2" s="1" a="1"/>
  <c r="B314" i="2" a="1"/>
  <c r="F314" i="2" s="1" a="1"/>
  <c r="B606" i="2" a="1"/>
  <c r="F606" i="2" s="1" a="1"/>
  <c r="B914" i="2" a="1"/>
  <c r="F914" i="2" s="1" a="1"/>
  <c r="B158" i="2" a="1"/>
  <c r="F158" i="2" s="1" a="1"/>
  <c r="B159" i="2" a="1"/>
  <c r="F159" i="2" s="1" a="1"/>
  <c r="B423" i="2" a="1"/>
  <c r="F423" i="2" s="1" a="1"/>
  <c r="B700" i="2" a="1"/>
  <c r="F700" i="2" s="1" a="1"/>
  <c r="B978" i="2" a="1"/>
  <c r="F978" i="2" s="1" a="1"/>
  <c r="B160" i="2" a="1"/>
  <c r="F160" i="2" s="1" a="1"/>
  <c r="B671" i="2" a="1"/>
  <c r="F671" i="2" s="1" a="1"/>
  <c r="B1068" i="2" a="1"/>
  <c r="F1068" i="2" s="1" a="1"/>
  <c r="B348" i="2" a="1"/>
  <c r="F348" i="2" s="1" a="1"/>
  <c r="B625" i="2" a="1"/>
  <c r="F625" i="2" s="1" a="1"/>
  <c r="B902" i="2" a="1"/>
  <c r="F902" i="2" s="1" a="1"/>
  <c r="B1251" i="2" a="1"/>
  <c r="F1251" i="2" s="1" a="1"/>
  <c r="B487" i="2" a="1"/>
  <c r="F487" i="2" s="1" a="1"/>
  <c r="B763" i="2" a="1"/>
  <c r="F763" i="2" s="1" a="1"/>
  <c r="B1070" i="2" a="1"/>
  <c r="F1070" i="2" s="1" a="1"/>
  <c r="B211" i="2" a="1"/>
  <c r="F211" i="2" s="1" a="1"/>
  <c r="B536" i="2" a="1"/>
  <c r="F536" i="2" s="1" a="1"/>
  <c r="B779" i="2" a="1"/>
  <c r="F779" i="2" s="1" a="1"/>
  <c r="B367" i="2" a="1"/>
  <c r="F367" i="2" s="1" a="1"/>
  <c r="B659" i="2" a="1"/>
  <c r="F659" i="2" s="1" a="1"/>
  <c r="B245" i="2" a="1"/>
  <c r="F245" i="2" s="1" a="1"/>
  <c r="B506" i="2" a="1"/>
  <c r="F506" i="2" s="1" a="1"/>
  <c r="B813" i="2" a="1"/>
  <c r="F813" i="2" s="1" a="1"/>
  <c r="B1085" i="2" a="1"/>
  <c r="F1085" i="2" s="1" a="1"/>
  <c r="B1071" i="2" a="1"/>
  <c r="F1071" i="2" s="1" a="1"/>
  <c r="B759" i="2" a="1"/>
  <c r="F759" i="2" s="1" a="1"/>
  <c r="B1194" i="2" a="1"/>
  <c r="F1194" i="2" s="1" a="1"/>
  <c r="B1104" i="2" a="1"/>
  <c r="F1104" i="2" s="1" a="1"/>
  <c r="B529" i="2" a="1"/>
  <c r="F529" i="2" s="1" a="1"/>
  <c r="B1058" i="2" a="1"/>
  <c r="F1058" i="2" s="1" a="1"/>
  <c r="B1152" i="2" a="1"/>
  <c r="F1152" i="2" s="1" a="1"/>
  <c r="B858" i="2" a="1"/>
  <c r="F858" i="2" s="1" a="1"/>
  <c r="B1137" i="2" a="1"/>
  <c r="F1137" i="2" s="1" a="1"/>
  <c r="B905" i="2" a="1"/>
  <c r="F905" i="2" s="1" a="1"/>
  <c r="B391" i="2" a="1"/>
  <c r="F391" i="2" s="1" a="1"/>
  <c r="B1109" i="2" a="1"/>
  <c r="F1109" i="2" s="1" a="1"/>
  <c r="B860" i="2" a="1"/>
  <c r="F860" i="2" s="1" a="1"/>
  <c r="B644" i="2" a="1"/>
  <c r="F644" i="2" s="1" a="1"/>
  <c r="B1141" i="2" a="1"/>
  <c r="F1141" i="2" s="1" a="1"/>
  <c r="B1080" i="2" a="1"/>
  <c r="F1080" i="2" s="1" a="1"/>
  <c r="B1020" i="2" a="1"/>
  <c r="F1020" i="2" s="1" a="1"/>
  <c r="B1263" i="2" a="1"/>
  <c r="F1263" i="2" s="1" a="1"/>
  <c r="B1235" i="2" a="1"/>
  <c r="F1235" i="2" s="1" a="1"/>
  <c r="B1072" i="2" a="1"/>
  <c r="F1072" i="2" s="1" a="1"/>
  <c r="B1188" i="2" a="1"/>
  <c r="F1188" i="2" s="1" a="1"/>
  <c r="B2" i="2" a="1"/>
  <c r="B501" i="2" a="1"/>
  <c r="F501" i="2" s="1" a="1"/>
  <c r="F2" i="2" l="1" a="1"/>
  <c r="A1289" i="2" s="1" a="1"/>
  <c r="B129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<sst xmlns="http://schemas.openxmlformats.org/spreadsheetml/2006/main" count="18661" uniqueCount="4262">
  <si>
    <t>MAJOR</t>
  </si>
  <si>
    <t>MINOR</t>
  </si>
  <si>
    <t>COMPLETE</t>
  </si>
  <si>
    <t>PROCESSING</t>
  </si>
  <si>
    <t>REJECT</t>
  </si>
  <si>
    <t>CANCEL</t>
  </si>
  <si>
    <t>Revision Date Notification</t>
  </si>
  <si>
    <t>Soldto Legal Status</t>
  </si>
  <si>
    <t>Soldto Name</t>
  </si>
  <si>
    <t>Soldto Number</t>
  </si>
  <si>
    <t>Material</t>
  </si>
  <si>
    <t>PCN Type</t>
  </si>
  <si>
    <t>PCN Title</t>
  </si>
  <si>
    <t>Delta Apply Date</t>
  </si>
  <si>
    <t>Delta Form Number</t>
  </si>
  <si>
    <t>Delta PCN Number</t>
  </si>
  <si>
    <t>Delta Main Change Reason</t>
  </si>
  <si>
    <t>Delta Notify Type</t>
  </si>
  <si>
    <t>DELTA GROUP</t>
  </si>
  <si>
    <t>DI</t>
  </si>
  <si>
    <t>0000005334</t>
  </si>
  <si>
    <t>End of Life</t>
  </si>
  <si>
    <t>Informational</t>
  </si>
  <si>
    <t>Assembly Site</t>
  </si>
  <si>
    <t>Packing</t>
  </si>
  <si>
    <t>Fab Site</t>
  </si>
  <si>
    <t>Wafer Fab Site</t>
  </si>
  <si>
    <t>Fab and Assembly/Test Sites</t>
  </si>
  <si>
    <t>Site change</t>
  </si>
  <si>
    <t>Assembly</t>
  </si>
  <si>
    <t>OE</t>
  </si>
  <si>
    <t>DELTA ELECTRONICS INT'L SINGAPORE</t>
  </si>
  <si>
    <t>0000163327</t>
  </si>
  <si>
    <t>Data Sheet</t>
  </si>
  <si>
    <t>Die Revision</t>
  </si>
  <si>
    <t>Cu</t>
  </si>
  <si>
    <t>Add Cu as Alternative Wire Base Metal for Selected Device(s)</t>
  </si>
  <si>
    <t>Product Obsolescence/End Of Life</t>
  </si>
  <si>
    <t>Datasheet for TXS0108E</t>
  </si>
  <si>
    <t>Packing / Shipping</t>
  </si>
  <si>
    <t>Qualification of RFAB as an additional Fab site option for select LBC7 devices</t>
  </si>
  <si>
    <t>Qualification of FFAB as an additional Fab site option for select BICMOS13 devices</t>
  </si>
  <si>
    <t>Qualification of TI Philippines as an additional Assembly site for select devices</t>
  </si>
  <si>
    <t>DELTA ELECTRONICS INT'L (SINGAPORE)</t>
  </si>
  <si>
    <t>other</t>
  </si>
  <si>
    <t>Datasheet for TMS320F2803x</t>
  </si>
  <si>
    <t>Qualification of Cu as an alternate bond wire for Select Devices</t>
  </si>
  <si>
    <t>Assembly, Design</t>
  </si>
  <si>
    <t>Test Site</t>
  </si>
  <si>
    <t>Test</t>
  </si>
  <si>
    <t>uBOM</t>
  </si>
  <si>
    <t>Qualify New Assembly Material set for Selected Device(s)</t>
  </si>
  <si>
    <t>Adding CD-PR as additional wafer probe site</t>
  </si>
  <si>
    <t>Assembly, Data Sheet Change, Design</t>
  </si>
  <si>
    <t>Data Sheet Change</t>
  </si>
  <si>
    <t>Qualification of new BOM for select package Devices</t>
  </si>
  <si>
    <t>Wafer Fab Process</t>
  </si>
  <si>
    <t>Conversion to TSMC 0.6/0.5um Hybrid Process</t>
  </si>
  <si>
    <t>DELTA ELECTRONICS,INC.</t>
  </si>
  <si>
    <t>0000180492</t>
  </si>
  <si>
    <t>0000179886</t>
  </si>
  <si>
    <t>0000179943</t>
  </si>
  <si>
    <t>0000179953</t>
  </si>
  <si>
    <t>DELTA ELECTRONICS (THAILAND)</t>
  </si>
  <si>
    <t>0000180047</t>
  </si>
  <si>
    <t>0000180404</t>
  </si>
  <si>
    <t>Assembly, Test</t>
  </si>
  <si>
    <t>Qualification of TIPI as additional Assembly site for select devices</t>
  </si>
  <si>
    <t>Marking Standardization for Select Devices</t>
  </si>
  <si>
    <t>0000180417</t>
  </si>
  <si>
    <t>Qualification of new Fab site (RFAB) using qualified Process Technology, Die Revision, and additional Assembly &amp;amp; BOM option for select devices</t>
  </si>
  <si>
    <t>Qualification of RFAB as an additional Fab site option for select ABCD6 devices</t>
  </si>
  <si>
    <t>Qualification of a new BOM materials for select devices</t>
  </si>
  <si>
    <t>DELTA ELECTRONICS (SHANGHAI) CO.,</t>
  </si>
  <si>
    <t>0000180861</t>
  </si>
  <si>
    <t>Material change</t>
  </si>
  <si>
    <t>2024/11/18</t>
  </si>
  <si>
    <t>Process change</t>
  </si>
  <si>
    <t>2024/10/08</t>
  </si>
  <si>
    <t>1 2500102614M LP2951-50QDRQ1</t>
  </si>
  <si>
    <t>Design change</t>
  </si>
  <si>
    <t>2023/08/07</t>
  </si>
  <si>
    <t>2024/11/15</t>
  </si>
  <si>
    <t>Discontinuance of Select Devices</t>
  </si>
  <si>
    <t>Qualification of additional mold compound for select devices</t>
  </si>
  <si>
    <t>Qualification of Cu as an alternate bond wire for select devices</t>
  </si>
  <si>
    <t>2024/11/27</t>
  </si>
  <si>
    <t>Assembly, Design, Test</t>
  </si>
  <si>
    <t>2024/12/24</t>
  </si>
  <si>
    <t>Datasheet for UCC5350-Q1</t>
  </si>
  <si>
    <t>2024/12/10</t>
  </si>
  <si>
    <t>2023/10/16</t>
  </si>
  <si>
    <t>2024/11/29</t>
  </si>
  <si>
    <t>2024/11/25</t>
  </si>
  <si>
    <t>Qualification of new Fab site (RFAB) using qualified Process Technology, Die Revision, and additional Assembly sites &amp;amp; BOM options for select devices</t>
  </si>
  <si>
    <t>2023/10/24</t>
  </si>
  <si>
    <t>2024/11/19</t>
  </si>
  <si>
    <t>Assembly, Data Sheet Change, Design, Test</t>
  </si>
  <si>
    <t>Assembly, Data Sheet Change, Design, Wafer Fab Site</t>
  </si>
  <si>
    <t>1 2540772608M UCC21750QDWRQ1</t>
  </si>
  <si>
    <t>Datasheet for LM63635-Q1</t>
  </si>
  <si>
    <t>Assembly, Design, Wafer Fab Site</t>
  </si>
  <si>
    <t>Datasheet for ISO776x-Q1</t>
  </si>
  <si>
    <t>Qualification of CDAT as an alternate Assembly site for select devices</t>
  </si>
  <si>
    <t>Qualification of LFAB as an additional Wafer Fab site option for select devices</t>
  </si>
  <si>
    <t>Datasheet for TMS320F28003x</t>
  </si>
  <si>
    <t>Datasheet for LP2985</t>
  </si>
  <si>
    <t>Qualification of RFAB as an additional Fab site option for select HPA07 devices</t>
  </si>
  <si>
    <t>1 2540613308 ISO5452QDWRQ1</t>
  </si>
  <si>
    <t>2023/11/02</t>
  </si>
  <si>
    <t>2024/11/22</t>
  </si>
  <si>
    <t>2024/12/06</t>
  </si>
  <si>
    <t>2024/12/09</t>
  </si>
  <si>
    <t>Qualification of new Fab site (RFAB) using qualified Process Technology, Die Revision and additional Assembly site/BOM options for select devices</t>
  </si>
  <si>
    <t>2024/11/26</t>
  </si>
  <si>
    <t>Discontinuance of Select Logic Devices</t>
  </si>
  <si>
    <t>2025/05/30</t>
  </si>
  <si>
    <t>Qualification of CDAT as an additional Assembly site for select devices</t>
  </si>
  <si>
    <t>Test, Wafer Fab Site</t>
  </si>
  <si>
    <t>Qualification of new Fab site (RFAB) using qualified Process Technology, Die Revision, Datasheet and additional Assembly site/BOM options for select devices</t>
  </si>
  <si>
    <t>Datasheet for TCAN1043A-Q1</t>
  </si>
  <si>
    <t>2023/10/31</t>
  </si>
  <si>
    <t>1 2540739508M UCC21222QDRQ1</t>
  </si>
  <si>
    <t>2024/01/15</t>
  </si>
  <si>
    <t>20230210000</t>
  </si>
  <si>
    <t>2024/12/11</t>
  </si>
  <si>
    <t>20230306002</t>
  </si>
  <si>
    <t>2024/12/12</t>
  </si>
  <si>
    <t>2024/01/23</t>
  </si>
  <si>
    <t>2024/11/21</t>
  </si>
  <si>
    <t>2025/09/17</t>
  </si>
  <si>
    <t>2024/11/20</t>
  </si>
  <si>
    <t>2025/03/18</t>
  </si>
  <si>
    <t>2025/04/08</t>
  </si>
  <si>
    <t>2023/10/11</t>
  </si>
  <si>
    <t>2024/12/25</t>
  </si>
  <si>
    <t>2023/09/14</t>
  </si>
  <si>
    <t>1 2520041214 OP07CDR</t>
  </si>
  <si>
    <t>1 2540439908 DAC7311IDCKR</t>
  </si>
  <si>
    <t>Qualification of TIPI as an additional Assembly site for select devices</t>
  </si>
  <si>
    <t>1 2500365114M TPS51200AQDRCRQ1
2 25003651GL9M TPS51200AQDRCRQ1</t>
  </si>
  <si>
    <t>1 2522024214M TLV3701QDBVRQ1</t>
  </si>
  <si>
    <t>1 2520170214 TL331IDBVR
2 2520269014 TL331KDBVR</t>
  </si>
  <si>
    <t>1 2500300914M TPS7A1650QDGNRQ1
2 2500490314M TPS7A1633QDGNRQ1</t>
  </si>
  <si>
    <t>1 2510767814 UCC28951QPWRQ1
2 2510767814M UCC28951QPWRQ1</t>
  </si>
  <si>
    <t>2023/07/19</t>
  </si>
  <si>
    <t>2024/12/05</t>
  </si>
  <si>
    <t>Qualification of new Fab site (RFAB) using qualified Process Technology and Die Revision for select devices</t>
  </si>
  <si>
    <t>Discontinuance of Select LDO Devices</t>
  </si>
  <si>
    <t>2024/09/12</t>
  </si>
  <si>
    <t>Qualification of new Fab site (RFAB) using qualified Process Technology, Die Revision and additional Assembly BOM options for select devices</t>
  </si>
  <si>
    <t>2023/08/24</t>
  </si>
  <si>
    <t>1 2521002614 DRV5056A2QDBZR
2 2521003414 DRV5056A4QDBZR</t>
  </si>
  <si>
    <t>Discontinuance of Select E3, E4, G4 Devices</t>
  </si>
  <si>
    <t>1 2610965208M TMS320F28075PZPQ
2 2610965708M TMS320F28075PTPQ
3 2611305108M TMS320F28377DPTPQ</t>
  </si>
  <si>
    <t>Discontinuance of Select ISO Devices</t>
  </si>
  <si>
    <t>2023/10/18</t>
  </si>
  <si>
    <t>2023-07-06</t>
  </si>
  <si>
    <t>20230706000</t>
  </si>
  <si>
    <t>Qualification of additional mold and mount compound for select devices</t>
  </si>
  <si>
    <t>PCN10H21020230824115212</t>
  </si>
  <si>
    <t>20230706000.1</t>
  </si>
  <si>
    <t>1 2510622214 UCD3028RHAR
2 2510622314 UCD3020ARGZR
3 2510622514 UCD3138RHAR
4 2513033514 TPS55330RTER
5 2540558508 INA3221AIRGVR
6 XXO14-0085810000 INA3221AIRGVR
7 null UCD3138RHAT</t>
  </si>
  <si>
    <t>PCN10H21020231016022036</t>
  </si>
  <si>
    <t>1 2510622214 UCD3028RHAR
2 2510622314 UCD3020ARGZR
3 2510622514 UCD3138RHAR
4 2513033514 TPS55330RTER
5 2540558508 INA3221AIRGVR</t>
  </si>
  <si>
    <t>2023-07-07</t>
  </si>
  <si>
    <t>20230707001</t>
  </si>
  <si>
    <t>Assembly, Packing / Shipping</t>
  </si>
  <si>
    <t>Cu bond wire Qualification plus reel dimension change and Qualification of RFAB as an additional fab site for select devices</t>
  </si>
  <si>
    <t>2023/10/06</t>
  </si>
  <si>
    <t>PCN10H21020231006094924</t>
  </si>
  <si>
    <t>20230707001.2</t>
  </si>
  <si>
    <t>1 2540566308M ISO6742FQDWRQ1
2 2540613308 ISO5452QDWRQ1
3 2540618708M SN21530QDWKRQ1
4 2540715608M UCC21520QDWRQ1
5 2540794008M ISO6741FQDWRQ1
6 2542013108M ISO6740FQDWRQ1
7 2542013208M ISO6741QDWRQ1
8 2542013308M ISO6742QDWRQ1
9 2542013408M ISO6762FQDWRQ1
10 2542013508M ISO6763FQDWRQ1</t>
  </si>
  <si>
    <t>2024/01/04</t>
  </si>
  <si>
    <t>PCN10H21020240104105049</t>
  </si>
  <si>
    <t>PCN20230707001.2</t>
  </si>
  <si>
    <t>PCN10H21020241118055211</t>
  </si>
  <si>
    <t>20230707001.2(2)</t>
  </si>
  <si>
    <t>2025/03/11</t>
  </si>
  <si>
    <t>PCN10H21020250311050820</t>
  </si>
  <si>
    <t>20230707001.2(group 1)</t>
  </si>
  <si>
    <t>1 2540622008 ISO5452QDWRQ1</t>
  </si>
  <si>
    <t>PCN10H21020241118051643</t>
  </si>
  <si>
    <t>20230707001.2(1)</t>
  </si>
  <si>
    <t>1 2540566308M ISO6742FQDWRQ1
2 2540794008M ISO6741FQDWRQ1
3 2542013108M ISO6740FQDWRQ1
4 2542013208M ISO6741QDWRQ1
5 2542013308M ISO6742QDWRQ1
6 2542013408M ISO6762FQDWRQ1
7 2542013508M ISO6763FQDWRQ1</t>
  </si>
  <si>
    <t>PCN10H21020230719054928</t>
  </si>
  <si>
    <t>20230707001.1</t>
  </si>
  <si>
    <t>1 2540764808 UCC21530DWKR
2 2540794008 ISO6741FDWR
3 2540796708 ISO6742FDWR
4 2542001208 ISO6742DWR
5 2542002908 ISO6731FDWR
6 2542005708 ISO6741DWR
7 2542009908 ISO6740FDWR
8 2542012108 ISO6763DWR
9 2542012208 ISO6762DWR
10 2542016008 ISO6763FDWR
11 2542024908 ISO6761DWR</t>
  </si>
  <si>
    <t>PCN10H21020241209053421</t>
  </si>
  <si>
    <t>1 2540611008 ISO5851DWR
2 2540611108 ISO5852SDWR
3 2540613308 ISO5452DW
4 2540620708 SN5452DWR
5 2540711708 ISO7842DWR
6 2540714308 ISO7841DWR
7 2540715608 UCC21520DWR
8 2540723208 UCC21521ADWR
9 2540723308 UCC21520ADWR
10 2540764808 UCC21530DWK
11 2540794008 ISO6741FDWR
12 2540796708 ISO6742FDWR
13 2542001208 ISO6742DWR
14 2542002908 ISO6731FDWR
15 2542005708 ISO6741DWR
16 2542009908 ISO6740FDWR
17 2542011008 ISO1640DWR
18 2542012108 ISO6763DWR
19 2542012208 ISO6762DWR
20 2542016008 ISO6763FDWR
21 2542024908 ISO6761DWR</t>
  </si>
  <si>
    <t>PCN10H21020241119111408</t>
  </si>
  <si>
    <t>20230707001.2 (3)</t>
  </si>
  <si>
    <t>1 2540618708M SN21530QDWKRQ1
2 2540715608M UCC21520QDWRQ1</t>
  </si>
  <si>
    <t>2023-07-10</t>
  </si>
  <si>
    <t>20230702004</t>
  </si>
  <si>
    <t>Datasheet for TPS653850A-Q1 and TPS653852A-Q1</t>
  </si>
  <si>
    <t>2023-07-12</t>
  </si>
  <si>
    <t>20230710001</t>
  </si>
  <si>
    <t>Datasheet for ISO774x-Q1</t>
  </si>
  <si>
    <t>2023/12/07</t>
  </si>
  <si>
    <t>PCN10H21020231207095409</t>
  </si>
  <si>
    <t>20230710001.0</t>
  </si>
  <si>
    <t>1 2540716308M ISO7741FQDWRQ1
2 2540717608M ISO7741QDWRQ1
3 2540717808M ISO7742QDWRQ1
4 2540723108M ISO7740FQDWRQ1
5 2540729808M ISO7741FQDWWRQ1
6 2540734708M ISO7742FQDWRQ1
7 2540735608M ISO7740QDWRQ1</t>
  </si>
  <si>
    <t>2025/03/14</t>
  </si>
  <si>
    <t>PCN10H21020250314113012</t>
  </si>
  <si>
    <t>20230710002</t>
  </si>
  <si>
    <t>Datasheet for TMUX13xx-Q1</t>
  </si>
  <si>
    <t>PCN10H21020250314114123</t>
  </si>
  <si>
    <t>20230710002.0</t>
  </si>
  <si>
    <t>1 2600274608M TMUX1308QDYYRQ1
2 2600275508M TMUX1309QDYYRQ1
3 26002761GL9M TMUX1308QBQBRQ1
4 X51226000171M TMUX1309QDYYRQ1</t>
  </si>
  <si>
    <t>20230702011</t>
  </si>
  <si>
    <t>Datasheet for TMS320F2838x</t>
  </si>
  <si>
    <t>2023/08/08</t>
  </si>
  <si>
    <t>PCN10H21020230808054210</t>
  </si>
  <si>
    <t>20230702011.0</t>
  </si>
  <si>
    <t>1 2611346008 F28388DPTPS
2 2611347008 F28388DZWTSR
3 2611356108 F28384SPTPS
4 2611362908 F28384DPTPS</t>
  </si>
  <si>
    <t>20230710003</t>
  </si>
  <si>
    <t>Datasheet for LSF0102</t>
  </si>
  <si>
    <t>PCN10H21020230807091912</t>
  </si>
  <si>
    <t>20230710003.0</t>
  </si>
  <si>
    <t>1 2540730508 LSF0102DCUR
2 2540735708 LSF0102DQER</t>
  </si>
  <si>
    <t>2023-07-13</t>
  </si>
  <si>
    <t>20230712002</t>
  </si>
  <si>
    <t>2023-07-14</t>
  </si>
  <si>
    <t>20230714001</t>
  </si>
  <si>
    <t>20230713002</t>
  </si>
  <si>
    <t>Assembly, Design, Packing / Shipping, Wafer Fab Site</t>
  </si>
  <si>
    <t>2023/08/30</t>
  </si>
  <si>
    <t>PCN10H21020230830045704</t>
  </si>
  <si>
    <t>20230714001.1A</t>
  </si>
  <si>
    <t>1 2510708014 LM5066PMHX/NOPB
2 2510846114 LM5066IPMHX/NOPB
3 2540561208 LM25066PSQ/NOPB
4 2540583608 LM25066APSQX/NOPB
5 25405836DL8 LM25066APSQ/NOPB
6 2540745408 LM5056APMHX/NOPB
7 XXZ8A0HF70100 LM25066PSQX/NOPB</t>
  </si>
  <si>
    <t>20230713003</t>
  </si>
  <si>
    <t>Discontinuance of Select Buck Converters in Tubes</t>
  </si>
  <si>
    <t>PCN10H21020230830044856</t>
  </si>
  <si>
    <t>20230713002.1</t>
  </si>
  <si>
    <t>1 2510569414 TPS54310PWPR</t>
  </si>
  <si>
    <t>20230712001</t>
  </si>
  <si>
    <t>Discontinuance of Select C2000 Devices</t>
  </si>
  <si>
    <t>20230713001</t>
  </si>
  <si>
    <t>2023-07-18</t>
  </si>
  <si>
    <t>20230711000</t>
  </si>
  <si>
    <t>Update for various data sheets</t>
  </si>
  <si>
    <t>PCN10H21020250314115240</t>
  </si>
  <si>
    <t>1 2600085608 SN74AHC08DR
2 2600094908 SN74AHC04DR
3 2600095508 SN74AHC00PWR
4 2600095708 SN74AHC00DR
5 2600101708 SN74AHC08PWR
6 2600246808 SN74AHC02PWR
7 2600246808M SN74AHC02QPWRQ1
8 2600390208 CAHCT1G125QDCKRQ1</t>
  </si>
  <si>
    <t>2023/08/17</t>
  </si>
  <si>
    <t>PCN10H21020230817013133</t>
  </si>
  <si>
    <t>20230711000.0</t>
  </si>
  <si>
    <t>1 2600095508 SN74AHC00PWR
2 2600095708 SN74AHC00DR
3 2600246808 SN74AHC02PWR
4 2600246808M SN74AHC02QPWRG4Q1</t>
  </si>
  <si>
    <t>2023-07-27</t>
  </si>
  <si>
    <t>20230721003</t>
  </si>
  <si>
    <t>Qualification of CDAT as an additional Assembly site for Select Devices</t>
  </si>
  <si>
    <t>PCN10H21020230914102200</t>
  </si>
  <si>
    <t>20230721003.1</t>
  </si>
  <si>
    <t>1 203907302203 TPD4S010DQAR
2 203907307003 ESD204DQAR
3 2540774208 TPD4E02B04DQAR
4 XXZ8A0LGT0000 ESD204DQAR</t>
  </si>
  <si>
    <t>PCN10H21020231016014826</t>
  </si>
  <si>
    <t>2023/11/21</t>
  </si>
  <si>
    <t>PCN10H21020231121100803</t>
  </si>
  <si>
    <t>PCN20230721003.1</t>
  </si>
  <si>
    <t>20230721002</t>
  </si>
  <si>
    <t>2023/08/15</t>
  </si>
  <si>
    <t>PCN10H21020230815012825</t>
  </si>
  <si>
    <t>20230721002.1</t>
  </si>
  <si>
    <t>1 2500004214 TL431ACLPM
2 2500004414 TL431ILPR
3 2500252414 LP2950-50LPRE3</t>
  </si>
  <si>
    <t>20230726000</t>
  </si>
  <si>
    <t>20230721000</t>
  </si>
  <si>
    <t>2023-07-28</t>
  </si>
  <si>
    <t>20230724003</t>
  </si>
  <si>
    <t>Datasheet for DP83822</t>
  </si>
  <si>
    <t>20230724004</t>
  </si>
  <si>
    <t>Datasheet for TPS20xxB</t>
  </si>
  <si>
    <t>PCN10H21020230824012713</t>
  </si>
  <si>
    <t>20230724003.0</t>
  </si>
  <si>
    <t>1 2620327408 DP83822IRHBR
2 2620327508 DP83822HRHBR</t>
  </si>
  <si>
    <t>PCN10H21020230824055019</t>
  </si>
  <si>
    <t>20230724004.0</t>
  </si>
  <si>
    <t>1 2540360608 TPS2052BDR
2 2540360908 TPS2051BDBVR
3 2540381508 TPS2051BDGNR
4 TPS2051BDR 2540381408</t>
  </si>
  <si>
    <t>2023-07-31</t>
  </si>
  <si>
    <t>20230728000</t>
  </si>
  <si>
    <t>Qualification of additional Fab site (DL-LIN) using qualified Process Technology and additional Assembly/Test sites options for select devices</t>
  </si>
  <si>
    <t>PCN10H21020231011113029</t>
  </si>
  <si>
    <t>20230728000.1</t>
  </si>
  <si>
    <t>1 2500386114 TPS767D301PWPR
2 2500508014 TPS76733QPWPR
3 2500508414 TPS76733QDR
4 2510420114 TPS3307-33DR
5 2510450014 UCC28220DR
6 2510522114 TPS3305-33DR
7 2510543214 TPS2331IPWR
8 2520217114 TLV2451CDBVR
9 2520267014 TLV2461IDBVR
10 2540243508 SN65HVD231DR
11 2540550108 SN65HVD232DR
12 2540789008 XTR305IRGWR</t>
  </si>
  <si>
    <t>2023-08-02</t>
  </si>
  <si>
    <t>PCN10H21020231207094251</t>
  </si>
  <si>
    <t>20230728000.2</t>
  </si>
  <si>
    <t>1 2500181714M TPS77633QPWPRQ1
2 2500508014M TPS76733QPWPRQ1
3 2500607014M TPS76833QPWPRQ1
4 2510536314 TPS3306-33QDRQ1
5 2520217314M TLV2402QDGKRQ1
6 2520277014M TLV2472AQDRG4Q1
7 2520277214M TLV2471QDBVRQ1
8 2540586608M SN65HVD231QDRQ1
9 2540776008M TRS3223QPWRQ1</t>
  </si>
  <si>
    <t>20230731002</t>
  </si>
  <si>
    <t>2023/08/31</t>
  </si>
  <si>
    <t>PCN10H21020230831091534</t>
  </si>
  <si>
    <t>20230731002.1</t>
  </si>
  <si>
    <t>1 2513064414 TPS552882RPMR</t>
  </si>
  <si>
    <t>20230801001</t>
  </si>
  <si>
    <t>2023-08-03</t>
  </si>
  <si>
    <t>20230802003</t>
  </si>
  <si>
    <t>Qualification of JCB2 as an alternate Assembly site for select devices</t>
  </si>
  <si>
    <t>PCN10H21020231018060031</t>
  </si>
  <si>
    <t>20230802003.1</t>
  </si>
  <si>
    <t>1 2540562408 TPS22901YFPR
2 2542003908 TMP106YZCR
3 2600269108 TS5A12301EYFPR
4 26002691MI TS5A12301EYFPR
5 2600371808 SN74AUP1G07YFPR
6 2600519808 TS5A3153YZPR</t>
  </si>
  <si>
    <t>20230802005</t>
  </si>
  <si>
    <t>Carrier Tape Cavity Pitch Change for Select Devices</t>
  </si>
  <si>
    <t>20230724000</t>
  </si>
  <si>
    <t>Assembly, Assembly Site, Wafer Fab Site</t>
  </si>
  <si>
    <t>Qualification of RFAB as an additional Fab site option and Assembly site option (FMX) for select ABCD6 devices</t>
  </si>
  <si>
    <t>PCN10H21020230914100911</t>
  </si>
  <si>
    <t>20230724000.1</t>
  </si>
  <si>
    <t>1 2513029214 LM5163DDAR</t>
  </si>
  <si>
    <t>2023-08-07</t>
  </si>
  <si>
    <t>20230802001</t>
  </si>
  <si>
    <t>PCN10H21020231011112222</t>
  </si>
  <si>
    <t>20230802001.1</t>
  </si>
  <si>
    <t>1 2500368114 TPS70102PWPR
2 2500397014 TPS70351PWPR
3 2500397114 TPS70302PWPR
4 2500508014 TPS76733QPWPR
5 2510400314 TPS40057PWPR
6 2510538914 TPS65150PWPR
7 2510569114 TPS54386PWPR
8 2510569414 TPS54310PWPR
9 2510731214 TPS65100PWPR</t>
  </si>
  <si>
    <t>PCN10H21020241120113108</t>
  </si>
  <si>
    <t>20230804000</t>
  </si>
  <si>
    <t>Qualification of additional mount compound for select devices</t>
  </si>
  <si>
    <t>PCN10H21020231024020505</t>
  </si>
  <si>
    <t>20230804000.1</t>
  </si>
  <si>
    <t>1 2500386114 TPS767D301PWPR
2 2510608614 TPS54325PWPR
3 2510746014 TPS55340PWPR
4 2510872414 DRV10975PWPR
5 2510879814 DRV10983PWPR
6 2510883514 DRV8885PWPR
7 2510893014 DRV8811PWPR
8 2540587308 TPS23754PWPR
9 2540722508 TPS23751PWPR
10 2540729408 TPS26600PWPR
11 2644677800 DRV10975PWPR</t>
  </si>
  <si>
    <t>PCN10H21020240912104628</t>
  </si>
  <si>
    <t>20230802001.2</t>
  </si>
  <si>
    <t>1 2520277114M TLV2474APWPRQ1</t>
  </si>
  <si>
    <t>2023-08-08</t>
  </si>
  <si>
    <t>20230808002</t>
  </si>
  <si>
    <t>Discontinuance of DCR022405P-U/700</t>
  </si>
  <si>
    <t>20230808001</t>
  </si>
  <si>
    <t>2023-08-14</t>
  </si>
  <si>
    <t>20230807005</t>
  </si>
  <si>
    <t>Datasheet for SN74LV244A</t>
  </si>
  <si>
    <t>20230814007</t>
  </si>
  <si>
    <t>20230814006</t>
  </si>
  <si>
    <t>PCN10H21020231102094159</t>
  </si>
  <si>
    <t>20230814006.1</t>
  </si>
  <si>
    <t>1 2600143008 AM26LS32ACDR
2 2600143608 AM26LV32IDR
3 2600374008 AM26LV32EIPWR
4 2600374308 AM26LV32EIDR</t>
  </si>
  <si>
    <t>2023/09/07</t>
  </si>
  <si>
    <t>PCN10H21020230907013346</t>
  </si>
  <si>
    <t>20230807005.0</t>
  </si>
  <si>
    <t>1 2600069808 SN74LV244APWR</t>
  </si>
  <si>
    <t>20230814005</t>
  </si>
  <si>
    <t>Qualification of new Fab site (RFAB) using qualified Process Technology, Die Revision and additional Assembly Site/BOM options for select devices</t>
  </si>
  <si>
    <t>PCN10H21020231102093137</t>
  </si>
  <si>
    <t>20230814005.1A</t>
  </si>
  <si>
    <t>1 2500496314 TPS74801DRCR
2 25004963DL8 TPS74801DRCR
3 25004963DL9 TPS74801DRCR</t>
  </si>
  <si>
    <t>20230814001</t>
  </si>
  <si>
    <t>Assembly, Data Sheet Change, Design, Test, Wafer Fab Site</t>
  </si>
  <si>
    <t>20230814004</t>
  </si>
  <si>
    <t>PCN10H21020231024015956</t>
  </si>
  <si>
    <t>20230814004.1</t>
  </si>
  <si>
    <t>1 2520003914 LM339PWR
2 2520050314 LM2901PWR
3 2520089214 LM239PWR</t>
  </si>
  <si>
    <t>2023-08-15</t>
  </si>
  <si>
    <t>20230815001</t>
  </si>
  <si>
    <t>Qualification of HFTF as an alternate Assembly site for select devices</t>
  </si>
  <si>
    <t>2023-08-16</t>
  </si>
  <si>
    <t>20230815000</t>
  </si>
  <si>
    <t>2023/11/09</t>
  </si>
  <si>
    <t>PCN10H21020231109022511</t>
  </si>
  <si>
    <t>20230815000.1</t>
  </si>
  <si>
    <t>1 2611346008 F28388DPTPS
2 2611347008 F28388DZWTSR
3 2611356108 F28384SPTPS
4 2611362908 F28384DPTPS
5 2611372808 F28385DZWTSR</t>
  </si>
  <si>
    <t>20230814009</t>
  </si>
  <si>
    <t>Datasheet for TUSB73x0</t>
  </si>
  <si>
    <t>2023/11/24</t>
  </si>
  <si>
    <t>PCN10H21020231124095953</t>
  </si>
  <si>
    <t>20230814009.0</t>
  </si>
  <si>
    <t>1 2540731108 TUSB7340RKMR
2 2540767008 TUSB7340IRKMR</t>
  </si>
  <si>
    <t>2023-08-17</t>
  </si>
  <si>
    <t>20230816000</t>
  </si>
  <si>
    <t>Qualification of alternate mount compound material for select devices</t>
  </si>
  <si>
    <t>20230816003</t>
  </si>
  <si>
    <t>Qualification of an additional Assembly &amp;amp; Test site options for select Devices</t>
  </si>
  <si>
    <t>PCN10H21020231109021156</t>
  </si>
  <si>
    <t>20230816003.2</t>
  </si>
  <si>
    <t>1 2540762308M TLIN1029DRQ1
2 2540784608M TLIN1022DRQ1</t>
  </si>
  <si>
    <t>PCN10H21020241126053351</t>
  </si>
  <si>
    <t>20230816003.2A</t>
  </si>
  <si>
    <t>20230817000</t>
  </si>
  <si>
    <t>Discontinuance of TPS5450, TPS5450-Q1</t>
  </si>
  <si>
    <t>2023-08-18</t>
  </si>
  <si>
    <t>20230818000</t>
  </si>
  <si>
    <t>Discontinuance of Select DLP Devices</t>
  </si>
  <si>
    <t>2023-08-22</t>
  </si>
  <si>
    <t>20230822000</t>
  </si>
  <si>
    <t>2023-08-24</t>
  </si>
  <si>
    <t>20230823001</t>
  </si>
  <si>
    <t>Datasheet for LM5155x-Q1</t>
  </si>
  <si>
    <t>PCN10H21020250314115750</t>
  </si>
  <si>
    <t>20230823001.0</t>
  </si>
  <si>
    <t>1 2513004114M LM51551QDSSRQ1
2 2513009414M LM5155QDSSRQ1</t>
  </si>
  <si>
    <t>20230823000</t>
  </si>
  <si>
    <t>Datasheet for TPS7B82-Q1</t>
  </si>
  <si>
    <t>20230822003</t>
  </si>
  <si>
    <t>Datasheet for LMR38020</t>
  </si>
  <si>
    <t>2023/12/12</t>
  </si>
  <si>
    <t>PCN10H21020231212030214</t>
  </si>
  <si>
    <t>20230822003.0</t>
  </si>
  <si>
    <t>1 2513045014 LMR38020SDDAR</t>
  </si>
  <si>
    <t>20230816001</t>
  </si>
  <si>
    <t>Datasheet for DACx0501</t>
  </si>
  <si>
    <t>2023-08-28</t>
  </si>
  <si>
    <t>20230824000</t>
  </si>
  <si>
    <t>MSL Improvement for Select Devices</t>
  </si>
  <si>
    <t>PCN10H21020241126022239</t>
  </si>
  <si>
    <t>20230824000.0</t>
  </si>
  <si>
    <t>1 2522012114M TLV9064QPWRQ1</t>
  </si>
  <si>
    <t>2023-08-29</t>
  </si>
  <si>
    <t>20230829000</t>
  </si>
  <si>
    <t>20230829002</t>
  </si>
  <si>
    <t>Qualification of TSMC-WFT as an additional Wafer Fab Site option for select devices</t>
  </si>
  <si>
    <t>20230829003</t>
  </si>
  <si>
    <t>Qualification of RFAB as an additional Fab site option for select LBC9 devices</t>
  </si>
  <si>
    <t>2023/11/15</t>
  </si>
  <si>
    <t>PCN10H21020231115032209</t>
  </si>
  <si>
    <t>20230829003.1</t>
  </si>
  <si>
    <t>1 2542025308 THVD1449DR</t>
  </si>
  <si>
    <t>2023-08-30</t>
  </si>
  <si>
    <t>20230829006</t>
  </si>
  <si>
    <t>PCN10H21020231212030757</t>
  </si>
  <si>
    <t>20230829006.1</t>
  </si>
  <si>
    <t>1 2626070908 CC1312R1F3RGZR</t>
  </si>
  <si>
    <t>20230830000</t>
  </si>
  <si>
    <t>20230829004</t>
  </si>
  <si>
    <t>Qualification of LFAB as an additional Fab site and CD-PR as an additional Probe Site for select devices</t>
  </si>
  <si>
    <t>2023-08-31</t>
  </si>
  <si>
    <t>20230830001</t>
  </si>
  <si>
    <t>Qualification of additional Fab Site (RFAB), Die Revision, Assembly BOM options and device marking update for select devices</t>
  </si>
  <si>
    <t>PCN10H21020231031113154</t>
  </si>
  <si>
    <t>20230830001.2</t>
  </si>
  <si>
    <t>1 2540716308M ISO7741FQDWRQ1
2 2540717608M ISO7741QDWRQ1
3 2540717808M ISO7742QDWRQ1
4 2540723108M ISO7740FQDWRQ1
5 2540734708M ISO7742FQDWRQ1
6 2540735608M ISO7740QDWRQ1</t>
  </si>
  <si>
    <t>2023/11/29</t>
  </si>
  <si>
    <t>PCN10H21020231129092534</t>
  </si>
  <si>
    <t>PCN20230830001.2</t>
  </si>
  <si>
    <t>2024/10/15</t>
  </si>
  <si>
    <t>PCN10H21020241015040636</t>
  </si>
  <si>
    <t>20230830001.2A</t>
  </si>
  <si>
    <t>1 2540716308 ISO7741FDWR
2 2540716308M ISO7741FQDWRQ1
3 2540717608 ISO7741DWR
4 2540717608M ISO7741QDWRQ1
5 2540717808 ISO7742DWR
6 2540717808M ISO7742QDWRQ1
7 2540723108 ISO7740FDWR
8 2540723108M ISO7740FQDWRQ1
9 2540733608 ISO7731FDWR
10 2540734708 ISO7742FDWR
11 2540734708M ISO7742FQDWRQ1
12 2540735608M ISO7740QDWRQ1
13 2540757508 ISO7740DWR
14 2540765308 ISO7731DWR</t>
  </si>
  <si>
    <t>20230831001</t>
  </si>
  <si>
    <t>2023/11/28</t>
  </si>
  <si>
    <t>PCN10H21020231128055109</t>
  </si>
  <si>
    <t>20230830001.1</t>
  </si>
  <si>
    <t>1 2540716308 ISO7741FDWR
2 2540717608 ISO7741DWR
3 2540717808 ISO7742DWR
4 2540723108 ISO7740FDWR
5 2540733608 ISO7731FDWR
6 2540734708 ISO7742FDWR
7 2540757508 ISO7740DWR
8 2540765308 ISO7731DWR</t>
  </si>
  <si>
    <t>20230830002</t>
  </si>
  <si>
    <t>2023-09-06</t>
  </si>
  <si>
    <t>20230906001</t>
  </si>
  <si>
    <t>Qualification of RFAB using qualified Process Technology, Die Revision and additional Assembly site/BOM options for select devices</t>
  </si>
  <si>
    <t>2023/12/20</t>
  </si>
  <si>
    <t>PCN10H21020231220104543</t>
  </si>
  <si>
    <t>20230906001.1A</t>
  </si>
  <si>
    <t>1 2500235011 LP2985IM5-3.3/NOPB
2 2500235014 LP2985-33DBVR
3 25002350DE LP2985-33DBVR
4 2500235514 LP2985A-33DBVR
5 2500235611 LP2985AIM5-5.0/NOPB
6 2500235614 LP2985A-50DBVR
7 2500235714 LP2985A-18DBVR
8 2500242314 LP2980AIM5X-5.0/NOPB
9 2500436014 LP2985-50DBVR
10 NA LP2985AIM5X-5.0/NOPB</t>
  </si>
  <si>
    <t>1 2500235011 LP2985IM5-3.3/NOPB
2 2500235014 LP2985-33DBVR
3 25002350DE LP2985-33DBVR
4 2500235514 LP2985A-33DBVR
5 2500235611 LP2985AIM5-5.0/NOPB
6 2500235614 LP2985A-50DBVR
7 2500235714 LP2985A-18DBVR
8 2500242314 LP2980AIM5X-5.0/NOPB
9 2500436014 LP2985-50DBVR</t>
  </si>
  <si>
    <t>2024/09/23</t>
  </si>
  <si>
    <t>PCN10H21020240923100040</t>
  </si>
  <si>
    <t>20230906002</t>
  </si>
  <si>
    <t>Qualification of RFAB using qualified Process Technology, Die Revision, Datasheet and additional Assembly site/BOM options for select devices</t>
  </si>
  <si>
    <t>PCN10H21020231220112656</t>
  </si>
  <si>
    <t>20230906002.1</t>
  </si>
  <si>
    <t>1 2540396208 ISO1050DUBR
2 2540531008 ISO15DWR
3 2540531308 ISO3082DWR
4 2540721608 ISO3086TDWR
5 2540731408 ISO1050DWR</t>
  </si>
  <si>
    <t>PCN10H21020241212025542</t>
  </si>
  <si>
    <t>PCN10H21020241212030645</t>
  </si>
  <si>
    <t>20230906002.1(1)</t>
  </si>
  <si>
    <t>20230906000</t>
  </si>
  <si>
    <t>2024/03/04</t>
  </si>
  <si>
    <t>PCN10H21020240304113816</t>
  </si>
  <si>
    <t>20230906000.2A</t>
  </si>
  <si>
    <t>1 2540486208 MC33063AQDRQ1</t>
  </si>
  <si>
    <t>2025/04/02</t>
  </si>
  <si>
    <t>PCN10H21020250917164517</t>
  </si>
  <si>
    <t>20230906004</t>
  </si>
  <si>
    <t>20230905003</t>
  </si>
  <si>
    <t>20230905002</t>
  </si>
  <si>
    <t>2023-09-07</t>
  </si>
  <si>
    <t>20230907001</t>
  </si>
  <si>
    <t>20230907000</t>
  </si>
  <si>
    <t>20230906005</t>
  </si>
  <si>
    <t>2023-09-08</t>
  </si>
  <si>
    <t>20230908000</t>
  </si>
  <si>
    <t>Qualification of a new Mount Compound material for select devices</t>
  </si>
  <si>
    <t>2023-09-11</t>
  </si>
  <si>
    <t>20230908003</t>
  </si>
  <si>
    <t>Pin one symbolization update for Select Devices</t>
  </si>
  <si>
    <t>20230908002</t>
  </si>
  <si>
    <t>20230906011</t>
  </si>
  <si>
    <t>Datasheet for ISO773x-Q1</t>
  </si>
  <si>
    <t>2023-09-13</t>
  </si>
  <si>
    <t>20230906012</t>
  </si>
  <si>
    <t>Datasheet for LP2951-Q1</t>
  </si>
  <si>
    <t>PCN10H21020250314120641</t>
  </si>
  <si>
    <t>20230906012.0</t>
  </si>
  <si>
    <t>1 2500102614M LP2951-50QDRQ1
2 2500499114M LP2951-50QDRGRQ1</t>
  </si>
  <si>
    <t>2023-09-14</t>
  </si>
  <si>
    <t>20230913000</t>
  </si>
  <si>
    <t>Datasheet for PCA9306</t>
  </si>
  <si>
    <t>2024/02/04</t>
  </si>
  <si>
    <t>PCN10H21020240204013534</t>
  </si>
  <si>
    <t>20230913000.0</t>
  </si>
  <si>
    <t>1 2540478308 PCA9306DCUR
2 2540529408 PCA9306DCTR</t>
  </si>
  <si>
    <t>20230914000</t>
  </si>
  <si>
    <t>Qualification of HFTF as an additional Assembly site for Select Devices</t>
  </si>
  <si>
    <t>2024/01/11</t>
  </si>
  <si>
    <t>PCN10H21020240111093406</t>
  </si>
  <si>
    <t>20230914000.1</t>
  </si>
  <si>
    <t>1 2600056808 TS5A23159DGSR
2 2600134208 SN74LVC2G66DCUR
3 2600183808 TS5A22362DGSR
4 XXPA2600056808 TS5A23159DGSR</t>
  </si>
  <si>
    <t>1 2600056808 TS5A23159DGSR
2 2600134208 SN74LVC2G66DCUR
3 2600183808 TS5A22362DGSR</t>
  </si>
  <si>
    <t>PCN10H21020241118111159</t>
  </si>
  <si>
    <t>20230914000.1(1)</t>
  </si>
  <si>
    <t>2025/03/13</t>
  </si>
  <si>
    <t>PCN10H21020250313053605</t>
  </si>
  <si>
    <t>1 2600134208 SN74LVC2G66DCUR</t>
  </si>
  <si>
    <t>PCN10H21020250314024945</t>
  </si>
  <si>
    <t>20230914000.1(Group 1)</t>
  </si>
  <si>
    <t>PCN10H21020250313054558</t>
  </si>
  <si>
    <t>1 2600056808 TS5A23159DGSR
2 2600183808 TS5A22362DGSR
3 XXPA2600056808 TS5A23159DGSR</t>
  </si>
  <si>
    <t>2023-09-15</t>
  </si>
  <si>
    <t>20230915001</t>
  </si>
  <si>
    <t>Design, Wafer Fab Site</t>
  </si>
  <si>
    <t>Qualification of RFAB using qualified Process Technology for select devices</t>
  </si>
  <si>
    <t>20230915002</t>
  </si>
  <si>
    <t>Wafer Sales Inking Process Removal</t>
  </si>
  <si>
    <t>20230915000</t>
  </si>
  <si>
    <t>2023-09-18</t>
  </si>
  <si>
    <t>20230918002</t>
  </si>
  <si>
    <t>2023/12/25</t>
  </si>
  <si>
    <t>PCN10H21020231225032713</t>
  </si>
  <si>
    <t>20230918002.1</t>
  </si>
  <si>
    <t>1 2510751014 TLV62568ADRLR
2 2510798214 TLV62585DRLR
3 2513024914 TPS562207DRLR
4 2513030814 TLV62569ADRLR
5 2513031614 TPS563207DRLR
6 2513040014 TLV62585PDRLR
7 300126200G TPS563231DRLR
8 300133500G TLV62585DRLR</t>
  </si>
  <si>
    <t>20230917000</t>
  </si>
  <si>
    <t>20230914002</t>
  </si>
  <si>
    <t>Datasheet for DLP801RE</t>
  </si>
  <si>
    <t>20230918001</t>
  </si>
  <si>
    <t>Discontinuance of Select TPS2052BD (SOIC package) Devices</t>
  </si>
  <si>
    <t>2023-09-20</t>
  </si>
  <si>
    <t>20230919001</t>
  </si>
  <si>
    <t>Qualification of CDAT as an additional Assembly and test site for the TPS51200AQDRCxQ1</t>
  </si>
  <si>
    <t>PCN10H21020240204011834</t>
  </si>
  <si>
    <t>20230919001.2</t>
  </si>
  <si>
    <t>1 2500365114M TPS51200AQDRCRQ1</t>
  </si>
  <si>
    <t>2024/02/18</t>
  </si>
  <si>
    <t>PCN10H21020240218092005</t>
  </si>
  <si>
    <t>20230919001.2 (1)</t>
  </si>
  <si>
    <t>2023-09-21</t>
  </si>
  <si>
    <t>20230920001</t>
  </si>
  <si>
    <t>2023-09-22</t>
  </si>
  <si>
    <t>20230921001</t>
  </si>
  <si>
    <t>2023-09-25</t>
  </si>
  <si>
    <t>20230925001</t>
  </si>
  <si>
    <t>2023-09-26</t>
  </si>
  <si>
    <t>20230924001</t>
  </si>
  <si>
    <t>Discontinuance of Select LM2931AZ/Z and LM337LZ Devices</t>
  </si>
  <si>
    <t>2023-09-28</t>
  </si>
  <si>
    <t>20230928002</t>
  </si>
  <si>
    <t>2024/01/18</t>
  </si>
  <si>
    <t>PCN10H21020240118101418</t>
  </si>
  <si>
    <t>20230928002.1</t>
  </si>
  <si>
    <t>1 2510594614 TPS54160DGQR
2 2510630514 TPS54140DGQR
3 2510630914 TPS54060DGQR
4 2510722614 TPS5401DGQR
5 2510780514 TPS54160ADGQR
6 2510796714 TPS54040ADGQR
7 2513042314 TPS54140ADGQR</t>
  </si>
  <si>
    <t>2025/03/05</t>
  </si>
  <si>
    <t>PCN10H21020250305114158</t>
  </si>
  <si>
    <t>20230927000</t>
  </si>
  <si>
    <t>2024/02/06</t>
  </si>
  <si>
    <t>PCN10H21020240206111052</t>
  </si>
  <si>
    <t>20230927000.1</t>
  </si>
  <si>
    <t>1 2600088708 SN74AHCT14PWR
2 2600091108 SN74AHC14PWR
3 2600091508 SN74AHC1G14DCKR
4 2600095508 SN74AHC00PWR
5 2600095708 SN74AHC00DR
6 2600103408 SN74AHC1G125DCKR
7 2600192508 SN74AHC1G04DCKR
8 2600194608 SN74LV1T34DCKR
9 2600246808 SN74AHC02PWR
10 2600252008 SN74AHCT14DR
11 2600259708 SN74LV1T08DCKR
12 2600260208 SN74AHCT1G126DCKR
13 2600348108 SN74AHC132PWR
14 2600366108 SN74AHC1G09DCKR
15 26003661DL8 SN74AHC1G09DCKR
16 2600367708 SN74AHC1G00DCKR
17 2601000408 SN74LV1T02DCKR
18 2610290308 SN74AHC1G08DCKR</t>
  </si>
  <si>
    <t>PCN10H21020241121045047</t>
  </si>
  <si>
    <t>20230927000.1(1)</t>
  </si>
  <si>
    <t>1 2600088708 SN74AHCT14PWR
2 2600091108 SN74AHC14PWR
3 2600095508 SN74AHC00PWR
4 2600246808 SN74AHC02PWR
5 2600348108 SN74AHC132PWR</t>
  </si>
  <si>
    <t>PCN10H21020241121050030</t>
  </si>
  <si>
    <t>20230927000.1(2)</t>
  </si>
  <si>
    <t>1 2600091508 SN74AHC1G14DCKR
2 2600103408 SN74AHC1G125DCKR
3 2600192508 SN74AHC1G04DCKR
4 2600194608 SN74LV1T34DCKR
5 2600259708 SN74LV1T08DCKR
6 2600260208 SN74AHCT1G126DCKR
7 2600366108 SN74AHC1G09DCKR
8 26003661DL8 SN74AHC1G09DCKR
9 2600367708 SN74AHC1G00DCKR
10 2601000408 SN74LV1T02DCKR
11 2610290308 SN74AHC1G08DCKR</t>
  </si>
  <si>
    <t>20230927001</t>
  </si>
  <si>
    <t>Qualification of additional Fab site (RFAB) using qualified Process Technology and additional BOM options for select devices</t>
  </si>
  <si>
    <t>PCN10H21020240206112156</t>
  </si>
  <si>
    <t>20230927001.1</t>
  </si>
  <si>
    <t>1 2500122914 UA78L05ACPK
2 2500144414 UA78L12ACPK
3 2500292514 UA78L05AIPK
4 2500525014 UA78L15ACPK
5 300132900G UA78L05AIPK</t>
  </si>
  <si>
    <t>PCN10H21020240206113453</t>
  </si>
  <si>
    <t>20230927001.1 (1)</t>
  </si>
  <si>
    <t>PCN10H21020241121102823</t>
  </si>
  <si>
    <t>20230927000.2</t>
  </si>
  <si>
    <t>1 2600088708M SN74AHCT14QPWRQ1
2 2600106508M SN74AHC32QPWRQ1
3 2600246808M SN74AHC02QPWRG4Q1</t>
  </si>
  <si>
    <t>20230928001</t>
  </si>
  <si>
    <t>PCN10H21020240115024040</t>
  </si>
  <si>
    <t>20230928001.1</t>
  </si>
  <si>
    <t>1 2520301014 TLV9004IPWR
2 2522001014 TLV9064IPWR</t>
  </si>
  <si>
    <t>20230928000</t>
  </si>
  <si>
    <t>Qualification of FFAB using qualified Process Technology, Die Revision, Datasheet and additional Assembly Site/BOM options for select devices</t>
  </si>
  <si>
    <t>20230927002</t>
  </si>
  <si>
    <t>Qualification of RFAB as an additional Fab site option and BOM Options for select devices</t>
  </si>
  <si>
    <t>2024/02/02</t>
  </si>
  <si>
    <t>PCN10H21020240202104037</t>
  </si>
  <si>
    <t>20230927002.2</t>
  </si>
  <si>
    <t>1 2520050914M LM2901QPWRQ1</t>
  </si>
  <si>
    <t>2023-09-29</t>
  </si>
  <si>
    <t>20230928003</t>
  </si>
  <si>
    <t>Qualification of FFAB using qualified Process Technology, Die Revision, Datasheet update and additional Assembly Site/BOM options for select devices</t>
  </si>
  <si>
    <t>PCN10H21020240206114617</t>
  </si>
  <si>
    <t>20230928003.1</t>
  </si>
  <si>
    <t>1 2520063314 OPA2277P
2 2520063514 OPA2277U/2K5
3 2522043314 OPA2277PA</t>
  </si>
  <si>
    <t>2023-10-02</t>
  </si>
  <si>
    <t>20231002000</t>
  </si>
  <si>
    <t>Discontinuance of DRV8432 Devices</t>
  </si>
  <si>
    <t>2023-10-03</t>
  </si>
  <si>
    <t>20231003000</t>
  </si>
  <si>
    <t>Qualify TI Chengdu (CDAT) as an additional Assembly &amp;amp; Test site for select devices</t>
  </si>
  <si>
    <t>PCN10H21020241129122242</t>
  </si>
  <si>
    <t>20231003000.2A</t>
  </si>
  <si>
    <t>1 2500466214M TLV70033QDDCRQ1
2 2520139214M OPA171AQDBVRQ1
3 2520285614M OPA170AQDBVRQ1
4 2520297114M TLV316QDBVRQ1
5 2522004314M OPA316QDBVRQ1</t>
  </si>
  <si>
    <t>PCN10H21020241211022205</t>
  </si>
  <si>
    <t>20231003000.2A(1)</t>
  </si>
  <si>
    <t>2023-10-05</t>
  </si>
  <si>
    <t>20231004002</t>
  </si>
  <si>
    <t>PCN10H21020250314034754</t>
  </si>
  <si>
    <t>20231004002.0</t>
  </si>
  <si>
    <t>1 2500671014M TLV73318PQDBVRQ1
2 2500672014M TPS78433QDBVRQ1
3 2500672114M TPS78425QDBVRQ1
4 2500672214M TPS78412QDBVRQ1
5 2513005514M TPS560430YQDBVRQ1
6 25130555GL9M TPS628501QDRLRQ1
7 2513057414M LMR50410Y5FQDBVRQ1
8 2513074814M LMR50410YFQDBVRQ1
9 2540820108M TPS22810TDBVRQ1</t>
  </si>
  <si>
    <t>20231004006</t>
  </si>
  <si>
    <t>20231004001</t>
  </si>
  <si>
    <t>2024/05/14</t>
  </si>
  <si>
    <t>PCN10H21020240514110902</t>
  </si>
  <si>
    <t>20231004001.1</t>
  </si>
  <si>
    <t>1 2520172214 OPA2376AIDR</t>
  </si>
  <si>
    <t>2023-10-11</t>
  </si>
  <si>
    <t>20231011001</t>
  </si>
  <si>
    <t>Discontinuance of TPS53014DGS and TPS53015DGS</t>
  </si>
  <si>
    <t>20231011000</t>
  </si>
  <si>
    <t>Datasheet for DLPA3000</t>
  </si>
  <si>
    <t>2023-10-13</t>
  </si>
  <si>
    <t>20231011004</t>
  </si>
  <si>
    <t>20231004005</t>
  </si>
  <si>
    <t>Qualification of CARZ as an alternate Assembly site for select devices</t>
  </si>
  <si>
    <t>2024/01/19</t>
  </si>
  <si>
    <t>PCN10H21020240119092459</t>
  </si>
  <si>
    <t>20231004005.1</t>
  </si>
  <si>
    <t>1 2540813908 TPS259541DSGR</t>
  </si>
  <si>
    <t>PCN10H21020241126102932</t>
  </si>
  <si>
    <t>1 2540810308 TPS259571DSGR
2 2540813908 TPS259541DSGR</t>
  </si>
  <si>
    <t>20231005000</t>
  </si>
  <si>
    <t>Qualify additional Assembly site for select SOT-5X3 Package devices</t>
  </si>
  <si>
    <t>2024/01/17</t>
  </si>
  <si>
    <t>PCN10H21020240117061430</t>
  </si>
  <si>
    <t>20231005000.1</t>
  </si>
  <si>
    <t>1 2542004308 TMP392A2DRLR
2 2542035208 SN1710027DRLR
3 2542036308 TMP390A3DRLR</t>
  </si>
  <si>
    <t>PCN10H21020241125045059</t>
  </si>
  <si>
    <t>PCN10H21020250402120213</t>
  </si>
  <si>
    <t>20231011004.2</t>
  </si>
  <si>
    <t>1 2522015114M AMC3330QDWERQ1</t>
  </si>
  <si>
    <t>2023-10-16</t>
  </si>
  <si>
    <t>20231016000</t>
  </si>
  <si>
    <t>Qualification of RFAB as an additional Fab site option for select LBC8LV devices</t>
  </si>
  <si>
    <t>2024/10/22</t>
  </si>
  <si>
    <t>PCN10H21020241022021656</t>
  </si>
  <si>
    <t>20231016000.2</t>
  </si>
  <si>
    <t>1 2513014214M LP875640RNFRQ1
2 2513015014M LP87565CRNFRQ1
3 25130150GL9M LP87565CRNFRQ1
4 2522001114M INA186A4QDCKRQ1
5 2522001514M INA186A3QDCKRQ1</t>
  </si>
  <si>
    <t>20231016007</t>
  </si>
  <si>
    <t>2023-10-17</t>
  </si>
  <si>
    <t>20231017000</t>
  </si>
  <si>
    <t>20231016003</t>
  </si>
  <si>
    <t>Qualification of RFAB as an additional Fab site option and Assembly/test/BOM Options for select devices</t>
  </si>
  <si>
    <t>2024/07/18</t>
  </si>
  <si>
    <t>PCN10H21020240718045230</t>
  </si>
  <si>
    <t>20231016003.2</t>
  </si>
  <si>
    <t>1 2500333414M TL432AQDBZRQ1
2 2500434514M TL431AQDBZRQ1
3 2500478314M TL432BQDBZRQ1
4 2500478814M TL431BQDBZRQ1</t>
  </si>
  <si>
    <t>20231016006</t>
  </si>
  <si>
    <t>Qualification of RFAB using qualified Process Technology, Die Revision and Assembly/BOM options for select devices</t>
  </si>
  <si>
    <t>2024/02/08</t>
  </si>
  <si>
    <t>PCN10H21020240208105701</t>
  </si>
  <si>
    <t>20231016006.1</t>
  </si>
  <si>
    <t>1 2520003114 LM339DR
2 2520050014 LM2901DR
3 2520089014 LM239DR</t>
  </si>
  <si>
    <t>20231016005</t>
  </si>
  <si>
    <t>2024/02/07</t>
  </si>
  <si>
    <t>PCN10H21020240207105359</t>
  </si>
  <si>
    <t>20231016005.1</t>
  </si>
  <si>
    <t>1 2500005303 UA78L05ACDR</t>
  </si>
  <si>
    <t>20231016002</t>
  </si>
  <si>
    <t>Qualification of RFAB as an additional Fab site option and Assembly/BOM Options for select devices</t>
  </si>
  <si>
    <t>PCN10H21020240207110223</t>
  </si>
  <si>
    <t>20231016002.1</t>
  </si>
  <si>
    <t>1 2520196311 LMC7211BIM5X/NOPB
2 2522016514 TLV7211IDBVR</t>
  </si>
  <si>
    <t>20231017001</t>
  </si>
  <si>
    <t>Discontinuance of Select TPS312x Devices</t>
  </si>
  <si>
    <t>2023-10-19</t>
  </si>
  <si>
    <t>20231019001</t>
  </si>
  <si>
    <t>2023-10-24</t>
  </si>
  <si>
    <t>20231024000</t>
  </si>
  <si>
    <t>20231024001</t>
  </si>
  <si>
    <t>Qualification of RFAB as an additional Fab site option and Assembly Site (PHI) and BOM Options for select devices</t>
  </si>
  <si>
    <t>PCN10H21020240208110257</t>
  </si>
  <si>
    <t>20231024001.1</t>
  </si>
  <si>
    <t>1 2540521808 INA219AIDCNR
2 25405218DL8 INA219AIDCNR</t>
  </si>
  <si>
    <t>2023-10-30</t>
  </si>
  <si>
    <t>20231030000</t>
  </si>
  <si>
    <t>Discontinuance of Select G4 Devices</t>
  </si>
  <si>
    <t>2023-10-31</t>
  </si>
  <si>
    <t>20231031007</t>
  </si>
  <si>
    <t>Qualification of RFAB using qualified Process Technology, Die Revision, and additional Assembly site (MLA)/BOM options for select devices</t>
  </si>
  <si>
    <t>20231031003</t>
  </si>
  <si>
    <t>Qualification of RFAB using qualified Process Technology, Die Revision, datasheet, and additional Assembly site/BOM options for select devices</t>
  </si>
  <si>
    <t>2024/02/20</t>
  </si>
  <si>
    <t>PCN10H21020240220104458</t>
  </si>
  <si>
    <t>20231031003.1</t>
  </si>
  <si>
    <t>1 2600143908 AM26C32IDR
2 2600374508 AM26C32IPWR</t>
  </si>
  <si>
    <t>PCN10H21020241008040347</t>
  </si>
  <si>
    <t>20231031000</t>
  </si>
  <si>
    <t>20231031001</t>
  </si>
  <si>
    <t>PCN10H21020240208110646</t>
  </si>
  <si>
    <t>20231031001.1</t>
  </si>
  <si>
    <t>1 2500172814 TLVH431AIDBZR
2 2500310514 TLVH431BIDBZR
3 2500434214 TLVH431BQDBZR
4 2500434914 TLV431ACDBZR</t>
  </si>
  <si>
    <t>PCN10H21020240218095310</t>
  </si>
  <si>
    <t>20231031003.2</t>
  </si>
  <si>
    <t>1 2600143408 AM26C32QDR</t>
  </si>
  <si>
    <t>20231031008</t>
  </si>
  <si>
    <t>Qualification of RFAB using qualified Process Technology and Die Revision for select devices</t>
  </si>
  <si>
    <t>PCN10H21020240220104032</t>
  </si>
  <si>
    <t>20231031008.1</t>
  </si>
  <si>
    <t>20231031006</t>
  </si>
  <si>
    <t>2023/12/28</t>
  </si>
  <si>
    <t>PCN10H21020231228101204</t>
  </si>
  <si>
    <t>20231031006.1</t>
  </si>
  <si>
    <t>2023-11-03</t>
  </si>
  <si>
    <t>20231103001</t>
  </si>
  <si>
    <t>Qualification of CDAT as an additional Assembly/Test site for the TPS22918TDBVxQ1</t>
  </si>
  <si>
    <t>2024/01/22</t>
  </si>
  <si>
    <t>PCN10H21020240122035056</t>
  </si>
  <si>
    <t>20231103001.2</t>
  </si>
  <si>
    <t>1 25408184GL9M TPS22918TDBVRQ1</t>
  </si>
  <si>
    <t>2023-11-09</t>
  </si>
  <si>
    <t>20231107005</t>
  </si>
  <si>
    <t>Datasheet for TPS2551-Q1 and TPS255x</t>
  </si>
  <si>
    <t>20231106002</t>
  </si>
  <si>
    <t>Datasheet for AM64x</t>
  </si>
  <si>
    <t>20231109000</t>
  </si>
  <si>
    <t>20231106000</t>
  </si>
  <si>
    <t>Qualification alternate Mount Compound material for select devices</t>
  </si>
  <si>
    <t>20231107003</t>
  </si>
  <si>
    <t>20231109003</t>
  </si>
  <si>
    <t>Qualification of MIHO8 as an additional Fab site option for select LBC8LV devices</t>
  </si>
  <si>
    <t>PCN10H21020231225031615</t>
  </si>
  <si>
    <t>20231109003.2</t>
  </si>
  <si>
    <t>1 2540715608M UCC21520QDWRQ1</t>
  </si>
  <si>
    <t>2024/10/18</t>
  </si>
  <si>
    <t>2023/11/20</t>
  </si>
  <si>
    <t>PCN10H21020231120093106</t>
  </si>
  <si>
    <t>20231109003.1</t>
  </si>
  <si>
    <t>1 2540715608 UCC21520DWR</t>
  </si>
  <si>
    <t>20231107004</t>
  </si>
  <si>
    <t>20231026004</t>
  </si>
  <si>
    <t>Datasheet for TL103Wx</t>
  </si>
  <si>
    <t>2023-11-10</t>
  </si>
  <si>
    <t>20231107002</t>
  </si>
  <si>
    <t>Datasheet for UCC21750-Q1</t>
  </si>
  <si>
    <t>PCN10H21020240123101047</t>
  </si>
  <si>
    <t>20231107002.0</t>
  </si>
  <si>
    <t>20231101004</t>
  </si>
  <si>
    <t>Datasheet for OPA561</t>
  </si>
  <si>
    <t>20231106001</t>
  </si>
  <si>
    <t>Datasheet for TPS62902</t>
  </si>
  <si>
    <t>2023-11-13</t>
  </si>
  <si>
    <t>20231113000</t>
  </si>
  <si>
    <t>2023-11-14</t>
  </si>
  <si>
    <t>20231114001</t>
  </si>
  <si>
    <t>Qualification of CDAT as an additional Assembly site for the Select Devices</t>
  </si>
  <si>
    <t>PCN10H21020240220104805</t>
  </si>
  <si>
    <t>20231114001.1</t>
  </si>
  <si>
    <t>2023-11-15</t>
  </si>
  <si>
    <t>20231114006</t>
  </si>
  <si>
    <t>20231114000</t>
  </si>
  <si>
    <t>Discontinuance of Select Wafer and Die Sale Products</t>
  </si>
  <si>
    <t>20231114005</t>
  </si>
  <si>
    <t>Assembly, Design, Test, Wafer Fab Site</t>
  </si>
  <si>
    <t>2024/03/26</t>
  </si>
  <si>
    <t>PCN10H21020240326124841</t>
  </si>
  <si>
    <t>20231114005.1</t>
  </si>
  <si>
    <t>1 2520065011 LMC6482IMX/NOPB</t>
  </si>
  <si>
    <t>20231114002</t>
  </si>
  <si>
    <t>20231115000</t>
  </si>
  <si>
    <t>2023-11-20</t>
  </si>
  <si>
    <t>20231117001</t>
  </si>
  <si>
    <t>Discontinuance of Select Processors</t>
  </si>
  <si>
    <t>20231120000</t>
  </si>
  <si>
    <t>2023-11-27</t>
  </si>
  <si>
    <t>20231127004</t>
  </si>
  <si>
    <t>20231127002</t>
  </si>
  <si>
    <t>PCN10H21020240220105658</t>
  </si>
  <si>
    <t>20231127002.1</t>
  </si>
  <si>
    <t>1 2540529408 PCA9306DCTR</t>
  </si>
  <si>
    <t>PCN10H21020240123102811</t>
  </si>
  <si>
    <t>20231127004.2</t>
  </si>
  <si>
    <t>2023-11-29</t>
  </si>
  <si>
    <t>20231128000</t>
  </si>
  <si>
    <t>Qualification of RFAB as an additional Fab site option and Assembly Site (HFTF) and BOM options for select devices</t>
  </si>
  <si>
    <t>2023-11-30</t>
  </si>
  <si>
    <t>20231129002</t>
  </si>
  <si>
    <t>2024/02/21</t>
  </si>
  <si>
    <t>PCN10H21020240221113710</t>
  </si>
  <si>
    <t>20231129002.1</t>
  </si>
  <si>
    <t>1 2540384908 ADS1246IPWR
2 2540439508 DAC8734SPFB
3 2540911508 ADS1247IPWR</t>
  </si>
  <si>
    <t>2023-12-04</t>
  </si>
  <si>
    <t>20231130000</t>
  </si>
  <si>
    <t>Datasheet for LMC6482 and LMC649x</t>
  </si>
  <si>
    <t>2024/05/13</t>
  </si>
  <si>
    <t>PCN10H21020240513104117</t>
  </si>
  <si>
    <t>20231128000.2</t>
  </si>
  <si>
    <t>1 2540541408M TXS0102QDCURQ1</t>
  </si>
  <si>
    <t>2023-12-05</t>
  </si>
  <si>
    <t>20231130005</t>
  </si>
  <si>
    <t>Qualification of RFAB using qualified Process Technology, Die Revision, Datasheet, and additional Assembly/Test sites &amp;amp; BOM options for select devices</t>
  </si>
  <si>
    <t>PCN10H21020240221114349</t>
  </si>
  <si>
    <t>20231130005.1</t>
  </si>
  <si>
    <t>1 2540059608 UCC27424DR
2 2540059708 UCC27423DR
3 2540394008 UCC27324DR
4 2540394308 UCC27322DGNR
5 2540394408 UCC27322DR
6 2540394708 UCC27424DGNR
7 2540495108 UCC27324DGNR
8 2540536108 UCC27425DR
9 2540606508 UCC27325DR</t>
  </si>
  <si>
    <t>20231130004</t>
  </si>
  <si>
    <t>2024/02/26</t>
  </si>
  <si>
    <t>PCN10H21020240226115005</t>
  </si>
  <si>
    <t>20231130004.1</t>
  </si>
  <si>
    <t>1 2520127414 TL343IDBVR
2 2520304614 OPA2137U/2K5</t>
  </si>
  <si>
    <t>20231204003</t>
  </si>
  <si>
    <t>Datasheet for TMP61-Q1</t>
  </si>
  <si>
    <t>20231204002</t>
  </si>
  <si>
    <t>Qualification of RFAB as an additional Fab site option, die revision, and new Assembly site Options for select devices</t>
  </si>
  <si>
    <t>20231130002</t>
  </si>
  <si>
    <t>Qualification of RFAB using qualified Process Technology, Die Revision, Datasheet update and additional Assembly Site/BOM options for select devices</t>
  </si>
  <si>
    <t>PCN10H21020240218094418</t>
  </si>
  <si>
    <t>20231130002.1</t>
  </si>
  <si>
    <t>1 2510352514 TLC555IDR
2 2510352714 TLC555CDR</t>
  </si>
  <si>
    <t>PCN10H21020241122034320</t>
  </si>
  <si>
    <t>20231130005.2</t>
  </si>
  <si>
    <t>1 2540495908M UCC27424QDRQ1
2 2540536208M UCC27424QDGNRQ1
3 2540604508M UCC27423QDRQ1
4 2540614708M UCC27423QDGNRQ1
5 2540618808M UCC27425QDRQ1</t>
  </si>
  <si>
    <t>PCN10H21020241122035934</t>
  </si>
  <si>
    <t>20231130005.2(1)</t>
  </si>
  <si>
    <t>20231204001</t>
  </si>
  <si>
    <t>Qualification of RFAB as an additional Fab site option, Die Revision, and new Assembly site Option for select devices</t>
  </si>
  <si>
    <t>PCN10H21020240221102343</t>
  </si>
  <si>
    <t>20231204001.1</t>
  </si>
  <si>
    <t>1 2520068314 TLC3704IDR</t>
  </si>
  <si>
    <t>2023-12-06</t>
  </si>
  <si>
    <t>20231206001</t>
  </si>
  <si>
    <t>Datasheet for CC2642R and CC2652R</t>
  </si>
  <si>
    <t>2023-12-07</t>
  </si>
  <si>
    <t>20231207004</t>
  </si>
  <si>
    <t>20231207003</t>
  </si>
  <si>
    <t>20231207002</t>
  </si>
  <si>
    <t>Qualification of RFAB as an additional Fab site option, Die Revision, and Assembly Site and BOM options for select devices</t>
  </si>
  <si>
    <t>2024/02/22</t>
  </si>
  <si>
    <t>PCN10H21020240222112534</t>
  </si>
  <si>
    <t>20231207002.1.1</t>
  </si>
  <si>
    <t>1 2540541508 TXS0104EPWR</t>
  </si>
  <si>
    <t>20231207001</t>
  </si>
  <si>
    <t>Qualification of MIHO8 as an additional Fab site option for select ABCD05HV devices</t>
  </si>
  <si>
    <t>PCN10H21020240222103945</t>
  </si>
  <si>
    <t>20231207001.1</t>
  </si>
  <si>
    <t>1 2510706614 LM5122MH/NOPB</t>
  </si>
  <si>
    <t>20231207000</t>
  </si>
  <si>
    <t>PCN10H21020240222104805</t>
  </si>
  <si>
    <t>20231207000.1</t>
  </si>
  <si>
    <t>1 2510884914 DRV8350HRTVR</t>
  </si>
  <si>
    <t>20231205000</t>
  </si>
  <si>
    <t>Qualify TI Chengdu (CDAT) as an additional Assembly site for select devices</t>
  </si>
  <si>
    <t>PCN10H21020240222104421</t>
  </si>
  <si>
    <t>20231205000.1</t>
  </si>
  <si>
    <t>1 2500665614 TPS7A20105PDQNR</t>
  </si>
  <si>
    <t>2023-12-08</t>
  </si>
  <si>
    <t>20231207005</t>
  </si>
  <si>
    <t>Device symbolization update for Select Devices</t>
  </si>
  <si>
    <t>2025/03/17</t>
  </si>
  <si>
    <t>PCN10H21020250317025719</t>
  </si>
  <si>
    <t>20231207005.0</t>
  </si>
  <si>
    <t>1 2500181714M TPS77633QPWPRQ1
2 2500508014M TPS76733QPWPRQ1
3 2500607014M TPS76833QPWPRQ1
4 2510155314 UCC28070PWR
5 2510155314M UCC28070QPWRQ1
6 2510277714 UCC3895PWTR
7 2510456114 TPS2413PWR
8 2510464311 LM5026MTX/NOPB
9 2510595114 UCC2897APWR
10 2510623014 UCC2895PWTR
11 2510623114 UCC28950PWR
12 2510623114M UCC28950QPWRQ1
13 2510623414 UCC28251PWR
14 2510644114 LM5025AMTCX/NOPB
15 2510708014 LM5066PMHX/NOPB
16 2510734914 LM25116MHX/NOPB
17 2510738214M TPS55065QPWPRQ1
18 2510767814 UCC28951QPWRQ1
19 2510767814M UCC28951QPWRQ1
20 2510792214 UCC28951PWR
21 2510900614 TLC59108IPWR
22 2510902714 TLC5925IPWR
23 2511000014 BQ7692006PWR
24 2513059214 UCC28070APWR
25 2521500714M INA253A2QPWRQ1
26 2521502514 INA253A2IPWR
27 2522015014 TLV9154IPWR
28 2522016114M ALM2403QPWPRQ1
29 2522017214 OPA4991IPWR
30 2522019214M SN2003022PWPR
31 2540065608 PCF8574APWR
32 2540478108 TCA9535PWR
33 2540529508 PCA9555PWR
34 2540541208 TXS0108EPWR
35 2540583108 TCA9539PWR
36 2540587308 TPS23754PWPR
37 2540819708M TPS1HC100BQPWPRQ1
38 2600062908 SN74LVC541APWR
39 2600398608 SN74HCT541PWR
40 2600522708 TMUX4053PWR
41 2610698208 MSP430F2012IPWR
42 2610844408 MSP430F2132IPWR
43 2610926708 MSP430G2553IPW20R
44 XX2520001600 SN2003022PWPR</t>
  </si>
  <si>
    <t>20231206000</t>
  </si>
  <si>
    <t>Discontinuance of Select Wafer and Die Sale Devices</t>
  </si>
  <si>
    <t>2023-12-11</t>
  </si>
  <si>
    <t>20231208000</t>
  </si>
  <si>
    <t>HFTF Marking Standardization for Select Devices</t>
  </si>
  <si>
    <t>2023-12-12</t>
  </si>
  <si>
    <t>20231211001</t>
  </si>
  <si>
    <t>Qualification of RFAB as an additional Fab site option and BOM/Assembly Options for select devices</t>
  </si>
  <si>
    <t>2023-12-13</t>
  </si>
  <si>
    <t>20231212000</t>
  </si>
  <si>
    <t>Qualification of RFAB as an additional Fab site option, Die Revision, and MLA as an additional Assembly Site options for select devices</t>
  </si>
  <si>
    <t>2024/02/23</t>
  </si>
  <si>
    <t>PCN10H21020240223105429</t>
  </si>
  <si>
    <t>20231212000.1</t>
  </si>
  <si>
    <t>1 2540598708 ISO7762FDWR
2 2540741008 ISO7763FDWR
3 2540741108 ISO7760FDWR
4 2540749308 ISO7762DWR
5 2540766108 ISO7761DWR
6 2540766308 ISO7761FDWR
7 2540766708 ISO7763DWR</t>
  </si>
  <si>
    <t>20231212001</t>
  </si>
  <si>
    <t>20231213002</t>
  </si>
  <si>
    <t>PCN10H21020240718045826</t>
  </si>
  <si>
    <t>20231212000.2</t>
  </si>
  <si>
    <t>1 13A590001L0A ISO7762FQDWRQ1
2 2540598708M ISO7762FQDWRQ1
3 2540741008M ISO7763FQDWRQ1</t>
  </si>
  <si>
    <t>20231211000</t>
  </si>
  <si>
    <t>2023-12-18</t>
  </si>
  <si>
    <t>20231218003</t>
  </si>
  <si>
    <t>2023-12-19</t>
  </si>
  <si>
    <t>20231218002</t>
  </si>
  <si>
    <t>Datasheet for SN74AHCT1G32-Q1, SN74AHCT1G125, SN74AHCT1G04, SN74AHCT1G00, SN74AHCT1G86, SN74AHCT1G02, SN74AHCT1G126, SN74AHCT1G14, SN74AHCT1G08</t>
  </si>
  <si>
    <t>20231219026</t>
  </si>
  <si>
    <t>20231219022</t>
  </si>
  <si>
    <t>Adding TI Philippines as additional Final test Site for select devices</t>
  </si>
  <si>
    <t>2023-12-21</t>
  </si>
  <si>
    <t>20231213001</t>
  </si>
  <si>
    <t>Qualification of additional Assembly sites for select HSOIC devices</t>
  </si>
  <si>
    <t>20231219000</t>
  </si>
  <si>
    <t>Qualification of additional Fab site (RFAB) using qualified Process Technology and additional Assembly/BOM options for select devices</t>
  </si>
  <si>
    <t>PCN10H21020240226113556</t>
  </si>
  <si>
    <t>20231219000.1</t>
  </si>
  <si>
    <t>1 2600029608 SN74AHCT1G08DBVR
2 2600037808 SN74AHC1G126DBVR
3 2600104608 SN74AHC1G02DBVR
4 2600126408 SN74AHCT1G04DBVR
5 2600157208 SN74AHC1G86DBVR
6 2600159708 SN74AHC1G32DBVR
7 2600194808 SN74LV1T34DBVR
8 2600212208 SN74ACT240PWR
9 2600259408 SN74AHC1G09DBVR
10 2600348208 SN74AHC132DR
11 2610290108 SN74AHC1G08DBVR</t>
  </si>
  <si>
    <t>2025/04/10</t>
  </si>
  <si>
    <t>PCN10H21020250410121746</t>
  </si>
  <si>
    <t>20231219000.1(group3)</t>
  </si>
  <si>
    <t>1 2600029608 SN74AHCT1G08DBVR
2 2600037808 SN74AHC1G126DBVR
3 2600104608 SN74AHC1G02DBVR
4 2600126408 SN74AHCT1G04DBVR
5 2600157208 SN74AHC1G86DBVR
6 2600159708 SN74AHC1G32DBVR
7 2600194808 SN74LV1T34DBVR
8 2600259408 SN74AHC1G09DBVR
9 2610290108 SN74AHC1G08DBVR</t>
  </si>
  <si>
    <t>1 2600106208M SN74AHCT32QDRQ1
2 2600157208M SN74AHC1G86QDBVRQ1
3 2600244008M SN74AHC1G04QDBVRQ1
4 2600263908M SN74AHC32QDRQ1
5 2600366608 SN74AHC1G08QDBVRQ1
6 2600366608M SN74AHC1G08QDBVRQ1</t>
  </si>
  <si>
    <t>PCN10H21020241122042523</t>
  </si>
  <si>
    <t>20231219000.1(1)</t>
  </si>
  <si>
    <t>2024/12/31</t>
  </si>
  <si>
    <t>PCN10H21020241231042546</t>
  </si>
  <si>
    <t>20231219000.1A</t>
  </si>
  <si>
    <t>1 2600263908M SN74AHC32QDRQ1</t>
  </si>
  <si>
    <t>PCN10H21020240223110926</t>
  </si>
  <si>
    <t>20231213001.1</t>
  </si>
  <si>
    <t>1 2510680814 TPS54229EDDAR
2 2510845714 TPS259621DDAR
3 2513000214 TPS54239DDAR
4 2513045014 LMR38020SDDAR</t>
  </si>
  <si>
    <t>20231219001</t>
  </si>
  <si>
    <t>Qualification of RFAB as an additional Fab site option, Die revision and Assembly &amp;amp; Test site/BOM Options for select devices</t>
  </si>
  <si>
    <t>PCN10H21020241125021851</t>
  </si>
  <si>
    <t>20231219001.2</t>
  </si>
  <si>
    <t>1 2520050714M LM2901AVQPWRQ1</t>
  </si>
  <si>
    <t>20231219004</t>
  </si>
  <si>
    <t>Qualification of RFAB as an additional Fab site option, die revision, and new BOM Options for select devices</t>
  </si>
  <si>
    <t>2024/07/26</t>
  </si>
  <si>
    <t>PCN10H21020240726033511</t>
  </si>
  <si>
    <t>20231219004.2</t>
  </si>
  <si>
    <t>1 2510594414M TPS5410QDRQ1
2 2510595614M TPS5430QDDARQ1
3 2510668714M TPS5420QDRQ1</t>
  </si>
  <si>
    <t>20231219002</t>
  </si>
  <si>
    <t>Qualification of RFAB as an additional Fab site option and Assembly site/BOM Options for select devices</t>
  </si>
  <si>
    <t>PCN10H21020241125095843</t>
  </si>
  <si>
    <t>20231207002.2</t>
  </si>
  <si>
    <t>1 2540541508M TXS0104EQPWRQ1</t>
  </si>
  <si>
    <t>PCN10H21020241231015753</t>
  </si>
  <si>
    <t>20231207002.2A</t>
  </si>
  <si>
    <t>PCN10H21020240223051536</t>
  </si>
  <si>
    <t>20231219002.1</t>
  </si>
  <si>
    <t>1 2520003614 LM339ADR
2 2520050714 LM2901AVQPWRG4
3 2520089314 LM239ADR
4 2520204414 LM339APWR</t>
  </si>
  <si>
    <t>PCN10H21020240226114457</t>
  </si>
  <si>
    <t>20231219004.1</t>
  </si>
  <si>
    <t>1 2510455714 TPS5430DDAR
2 2510569314 TPS5410DR
3 2510569814 TPS5420DR</t>
  </si>
  <si>
    <t>20231219006</t>
  </si>
  <si>
    <t>Qualification of RFAB as an additional Fab site option, die revision, Assembly/Test site (PHI) and BOM Options for select devices</t>
  </si>
  <si>
    <t>2024/04/24</t>
  </si>
  <si>
    <t>PCN10H21020240424042126</t>
  </si>
  <si>
    <t>20231219006.2</t>
  </si>
  <si>
    <t>PCN10H21020250410122453</t>
  </si>
  <si>
    <t>20231219000.1(group6)</t>
  </si>
  <si>
    <t>1 2600212208 SN74ACT240PWR</t>
  </si>
  <si>
    <t>2023-12-22</t>
  </si>
  <si>
    <t>20231219013</t>
  </si>
  <si>
    <t>2024/02/27</t>
  </si>
  <si>
    <t>PCN10H21020240227113412</t>
  </si>
  <si>
    <t>20231219013.1</t>
  </si>
  <si>
    <t>1 2520008814 LM358PWR
2 2520171414 LM358APWR</t>
  </si>
  <si>
    <t>20231219014</t>
  </si>
  <si>
    <t>Assembly, Design, Wafer Fab Process, Wafer Fab Site</t>
  </si>
  <si>
    <t>2024/02/28</t>
  </si>
  <si>
    <t>PCN10H21020240228110957</t>
  </si>
  <si>
    <t>20231219014.1</t>
  </si>
  <si>
    <t>1 2520223014 LMV342IDR
2 2520243114 TL103WAIDR</t>
  </si>
  <si>
    <t>20231219011</t>
  </si>
  <si>
    <t>Qualification of RFAB using qualified Process Technology, Die Revision and Assembly Site/BOM options for select devices</t>
  </si>
  <si>
    <t>PCN10H21020240227113018</t>
  </si>
  <si>
    <t>20231219011.1</t>
  </si>
  <si>
    <t>1 2500270814 LP2981A-50DBVR
2 2500270914 LP2981A-33DBVR
3 2500469014 LP2981-50DBVR
4 2500469114 LP2981-33DBVR</t>
  </si>
  <si>
    <t>20231221003</t>
  </si>
  <si>
    <t>Qualification of RFAB in addition to DMOS6 for METDCU processing</t>
  </si>
  <si>
    <t>20231220001</t>
  </si>
  <si>
    <t>Adding CLARK-PR as additional wafer probe site</t>
  </si>
  <si>
    <t>PCN10H21020241121034425</t>
  </si>
  <si>
    <t>20231220001.2</t>
  </si>
  <si>
    <t>1 2500365114M TPS51200AQDRCRQ1
2 25003651GL9M TPS51200AQDRCRQ1
3 2510623114M UCC28950QPWRQ1
4 2510745814M TPS57140QDGQRQ1
5 2510762314 TPS57040QDGQRQ1
6 2510767814 UCC28951QPWRQ1
7 2510767814M UCC28951QPWRQ1
8 2520139214M OPA171AQDBVRQ1
9 2520258914M INA214AQDCKRQ1
10 2520267414M OPA2170AQDGKRQ1
11 2520277714M OPA2171AQDGKRQ1
12 2520285614M OPA170AQDBVRQ1</t>
  </si>
  <si>
    <t>20231219007</t>
  </si>
  <si>
    <t>Qualification of DFAB as an additional Fab Site option for select devices</t>
  </si>
  <si>
    <t>PCN10H21020240227112442</t>
  </si>
  <si>
    <t>20231219007.1</t>
  </si>
  <si>
    <t>1 2600197008 CD4047BM96
2 2600201208 CD4001BM
3 2600221108 CD4070BPWR
4 2600221208 CD4070BM96
5 2600233008 CD4069UBE
6 2600254008 CD4078BM96
7 2600381008 CD4044BDR
8 2600381108 CD4043BDWR
9 2600381408 CD4044BPWR
10 2610001108 CD4011BM96
11 2610042031 CD4081BE
12 2610173031 CD4071BE</t>
  </si>
  <si>
    <t>PCN10H21020241018041314</t>
  </si>
  <si>
    <t>20231221003.1</t>
  </si>
  <si>
    <t>1 2510781514 LM53600AQDSXRQ1
2 2510789414 LM53600NQDSXRQ1
3 2511001314 BQ79606APHPRQ1
4 2513004114M LM51551QDSSRQ1
5 2513005514M TPS560430YQDBVRQ1
6 2513009414M LM5155QDSSRQ1
7 2513023214M LM5156QDSSRQ1
8 2513034914M LM5156HQPWPRQ1
9 2513057414M LMR50410Y5FQDBVRQ1
10 25130646VK LM51561HQPWPRQ1
11 2513074814M LMR50410YFQDBVRQ1
12 2540776408M TLIN1021DRQ1
13 2540808008M TPS1H100AQPWPRQ1
14 2540808508 TPS1H100BQPWPRQ1
15 2540808508M TPS1H100BQPWPRQ1
16 2540813808 TPS4H160AQPWPRQ1
17 2540816708 TPS4H160BQPWPRQ1
18 2540817908 TPS1H000AQDGNRQ1
19 2542007208M TCAN1057AVDRQ1
20 2542013608M TCAN1057ADRQ1
21 2542028108 TCAN1044VDRQ1
22 2600274608M TMUX1308QDYYRQ1
23 2600275508M TMUX1309QDYYRQ1</t>
  </si>
  <si>
    <t>20231220000</t>
  </si>
  <si>
    <t>20231219015</t>
  </si>
  <si>
    <t>20231219005</t>
  </si>
  <si>
    <t>Qualification of FFAB as an additional Fab site option, die revision, and BOM Options for select devices</t>
  </si>
  <si>
    <t>PCN10H21020241018050454</t>
  </si>
  <si>
    <t>20231220000.2</t>
  </si>
  <si>
    <t>1 2510155314M UCC28070QPWRQ1
2 2510778214M LM53602AQPWPRQ1
3 2513003914M LM73606QRNPRQ1
4 2513022614M LM76005QRNPRQ1
5 2522017714M OPA4171AQDRQ1
6 2522021214M OPA4171AQPWRQ1</t>
  </si>
  <si>
    <t>20231219012</t>
  </si>
  <si>
    <t>Qualification of RFAB using qualified Process Technology, Die Revision and additional Assembly Site/BOM options for select devices</t>
  </si>
  <si>
    <t>PCN10H21020240228111535</t>
  </si>
  <si>
    <t>20231219015.1</t>
  </si>
  <si>
    <t>1 2500375414 TPS73701DRBR
2 2500448614 TPS73601DRBR</t>
  </si>
  <si>
    <t>20231219018</t>
  </si>
  <si>
    <t>Qualification of FFAB using qualified Process Technology, Die Revision and additional Assembly BOM options for select devices</t>
  </si>
  <si>
    <t>20231221001</t>
  </si>
  <si>
    <t>Qualification of additional Assembly sites for select uxQFN devices</t>
  </si>
  <si>
    <t>PCN10H21020240228014638</t>
  </si>
  <si>
    <t>20231221001.1</t>
  </si>
  <si>
    <t>1 2540790908 TUSB321AIRWBR</t>
  </si>
  <si>
    <t>20231221000</t>
  </si>
  <si>
    <t>Qualification of new Process Technology, Die Revision and Assembly BOM options for select devices</t>
  </si>
  <si>
    <t>20231219016</t>
  </si>
  <si>
    <t>PCN10H21020240228112028</t>
  </si>
  <si>
    <t>20231221000.1</t>
  </si>
  <si>
    <t>1 2540813608 TPS22976DPUR</t>
  </si>
  <si>
    <t>2023-12-27</t>
  </si>
  <si>
    <t>20231222000</t>
  </si>
  <si>
    <t>Qualification of CFAB as an additional Fab site option for select LBC5 devices</t>
  </si>
  <si>
    <t>2024/02/29</t>
  </si>
  <si>
    <t>PCN10H21020240229110415</t>
  </si>
  <si>
    <t>20231222000.1A</t>
  </si>
  <si>
    <t>1 2510668114 TPS40170RGYR
2 2510722614 TPS5401DGQR
3 2510723714 TPS54061DRBR
4 2510743214 TPS54531DDAR
5 2510780514 TPS54160ADGQR
6 2510785514 LMR16006YDDCR
7 2513042314 TPS54140ADGQR
8 2540363908 TPS28226DRBR
9 2540506308 SN65HVD1781DR
10 TPS54160ADGQ TPS54561DPRT</t>
  </si>
  <si>
    <t>2025/04/15</t>
  </si>
  <si>
    <t>PCN10H21020250415061411</t>
  </si>
  <si>
    <t>20231222000.2</t>
  </si>
  <si>
    <t>1 2510745814M TPS57140QDGQRQ1
2 2510762314 TPS57040QDGQRQ1</t>
  </si>
  <si>
    <t>2024-01-09</t>
  </si>
  <si>
    <t>20240107001</t>
  </si>
  <si>
    <t>Datasheet for SN74AVC8T245 and SN74AVCH8T245</t>
  </si>
  <si>
    <t>2024-01-11</t>
  </si>
  <si>
    <t>20231219025</t>
  </si>
  <si>
    <t>Datasheet for TUSB216, TUSB216I, TUSB216-Q1</t>
  </si>
  <si>
    <t>2024-01-12</t>
  </si>
  <si>
    <t>20240111000</t>
  </si>
  <si>
    <t>2024-01-16</t>
  </si>
  <si>
    <t>20240116003</t>
  </si>
  <si>
    <t>PCN10H21020240229112823</t>
  </si>
  <si>
    <t>20240116003.1</t>
  </si>
  <si>
    <t>1 2610007008 ULN2003ADR</t>
  </si>
  <si>
    <t>20240116000</t>
  </si>
  <si>
    <t>PCN10H21020240229112459</t>
  </si>
  <si>
    <t>20240116000.1</t>
  </si>
  <si>
    <t>1 2500625514 TL431IDBVR
2 25006255BS TL431IDBVR
3 300090300F TL431IDBVR</t>
  </si>
  <si>
    <t>20240116002</t>
  </si>
  <si>
    <t>2024-01-25</t>
  </si>
  <si>
    <t>20240124000</t>
  </si>
  <si>
    <t>2024-01-29</t>
  </si>
  <si>
    <t>20240129008</t>
  </si>
  <si>
    <t>Discontinuance of Select Tube and Small Reel Devices</t>
  </si>
  <si>
    <t>20240129005</t>
  </si>
  <si>
    <t>Discontinuance of Select Tube Package Devices</t>
  </si>
  <si>
    <t>2024-01-31</t>
  </si>
  <si>
    <t>20240122005</t>
  </si>
  <si>
    <t>Datasheet for DLP660TE</t>
  </si>
  <si>
    <t>2024-02-01</t>
  </si>
  <si>
    <t>20240131003</t>
  </si>
  <si>
    <t>2024-02-02</t>
  </si>
  <si>
    <t>20240129003</t>
  </si>
  <si>
    <t>20240129007</t>
  </si>
  <si>
    <t>Datasheet for TXS0108E-Q1 and TXS0108E</t>
  </si>
  <si>
    <t>20240202005</t>
  </si>
  <si>
    <t>Qualification of RFAB, Die Revision, and additional Assembly site options</t>
  </si>
  <si>
    <t>20240202006</t>
  </si>
  <si>
    <t>Qualification of RFAB, Die Revision, and additional Assembly/Test site options</t>
  </si>
  <si>
    <t>PCN10H21020241121032634</t>
  </si>
  <si>
    <t>20240202006.2</t>
  </si>
  <si>
    <t>1 2500301314M TL4050C50QDBZRQ1
2 2500301414M TL4050C20QDBZRQ1
3 2500301714M TL4050B25QDBZRQ1
4 2500301814M LM4050QBEM3-4.1/NOPB
5 2500537414M LM4050QBEM3-2.5/NOPB</t>
  </si>
  <si>
    <t>Qualification of RFAB using qualified Process Technology, Die Revision, and additional Assembly/Test site options</t>
  </si>
  <si>
    <t>PCN10H21020250317033024</t>
  </si>
  <si>
    <t>20240129003.0</t>
  </si>
  <si>
    <t>1 2611362808 F280039CSPZ
2 2611365308 F280039CSPNR
3 2611368208 F280037SPNR
4 XX2610010400 F280037SPN</t>
  </si>
  <si>
    <t>20240202007</t>
  </si>
  <si>
    <t>Qualification of RFAB using qualified Process Technology, Die Revision and MLA as an additional Assembly Site option for select devices</t>
  </si>
  <si>
    <t>PCN10H21020240229102452</t>
  </si>
  <si>
    <t>20240202007.1</t>
  </si>
  <si>
    <t>1 2540129508 ULN2003AIDR</t>
  </si>
  <si>
    <t>2024/04/01</t>
  </si>
  <si>
    <t>PCN10H21020240401032817</t>
  </si>
  <si>
    <t>20240202005.1</t>
  </si>
  <si>
    <t>1 2500301111 LM4050CEM3-5.0/NOPB
2 2500301211 LM4050AIM3X-2.5/NOPB
3 2500537114 LM4050AIM3X-4.1/NOPB</t>
  </si>
  <si>
    <t>20240202004</t>
  </si>
  <si>
    <t>Qualification of RFAB, Die Revision, and additional Assembly Sites/Test site options</t>
  </si>
  <si>
    <t>PCN10H21020240513104643</t>
  </si>
  <si>
    <t>20240202004.2</t>
  </si>
  <si>
    <t>1 2500446214M LM4041QCEM3X-1.2NO</t>
  </si>
  <si>
    <t>2024-02-03</t>
  </si>
  <si>
    <t>20240202012</t>
  </si>
  <si>
    <t>Qualification of new Fab site (RFAB) using qualified Process Technology, Die Revision, and additional Assembly sites &amp; BOM options for select devices</t>
  </si>
  <si>
    <t>PCN10H21020240401034013</t>
  </si>
  <si>
    <t>20240202012.1</t>
  </si>
  <si>
    <t>1 2500538814 ATL431BQDBZR</t>
  </si>
  <si>
    <t>2024-02-05</t>
  </si>
  <si>
    <t>20240203000</t>
  </si>
  <si>
    <t>Pin One Device symbolization update for Select SOT Devices</t>
  </si>
  <si>
    <t>PCN10H21020241209052044</t>
  </si>
  <si>
    <t>20240203000.0</t>
  </si>
  <si>
    <t>1 131260000L0A TLV3012AQDCKRQ1
2 132100000L SN6501DBVR
3 135350000L SN6505AQDBVRQ1
4 135350001L0 SN6501QDBVRQ1
5 135350001L0A SN6505BQDBVTQ1
6 136090000L0A LM2842XQMKX/NOPB
7 137100000L TPS7B6933QDBVRQ1
8 13Q100000L0 TPS7A2433DBVR
9 13Q100001L0A TPS7B6950QDBVRQ1
10 203537030303 TPD2E007DCKR
11 203597300403 TPD4E1U06DCKR
12 203907302503 TPD2E2U06DRLR
13 2500025411 LM337IMPX/NOPB
14 2500050011 LM4040DIM3X-2.5/NOPB
15 2500050014 LM4040D25IDBZR
16 2500050311 LM4040CIM3X-5.0/NOPB
17 2500050811 LM4040CIM3X-2.5/NOPB
18 2500050814 LM4040C25IDBZR
19 2500050814M LM4040C25QDBZR
20 2500050914 LM4040C82IDBZR
21 2500058011 LM1117MPX-3.3/NOPB
22 2500058014 TLV1117-33IDCYR
23 2500058038 REG1117-3.3/2K5
24 25000580DL8 TLV1117-33IDCYR
25 2500058311 LM1117MPX-ADJ/NOPB
26 2500058611 LM1117MPX-5.0/NOPB
27 2500060114 TL431BIPK
28 2500060714 TL431AIPK
29 2500142711 LMV431AIM5X/NOPB
30 2500142914 TLV431AIDBVR
31 2500144414 UA78L12ACPK
32 2500146214 LM4041C12IDCKR
33 2500172114 TL432BIDBZR
34 2500172814 TLVH431AIDBZR
35 2500180114 TPS76933DBVR
36 2500180314 TPS76912DBVR
37 2500181814 TPS70933DBVR
38 25001818DL8 TPS70933DBVR
39 2500182111 LM317EMP/NOPB
40 2500182114 LM317DCYR
41 2500182814 LM317MDCYR
42 2500182911 LM317AEMP/NOPB
43 2500188914 TL1963ADCQR
44 2500193114 TPS3809K33DBVR
45 2500207014 TPS3823-33DBVR
46 2500233014 SN105125DBVR
47 2500235011 LP2985IM5-3.3/NOPB
48 2500235014 LP2985-33DBVR
49 25002350DE LP2985-33DBVR
50 2500235514 LP2985A-33DBVR
51 2500235611 LP2985AIM5-5.0/NOPB
52 2500235614 LP2985A-50DBVR
53 2500235714 LP2985A-18DBVR
54 2500242314 LP2980AIM5X-5.0/NOPB
55 2500265114 TPS3839K50DBZR
56 2500265214 TPS3839E16DBZR
57 2500267038 REF3025AIDBZR
58 2500267114 REF3020AIDBZR
59 2500267214 REF3030AIDBZR
60 2500267314 REF3033AIDBZR
61 2500267414 REF3120AIDBZR
62 2500267614 REF3125AIDBZR
63 2500267814 REF3333AIDBZR
64 2500269311 LM340MP-5.0/NOPB
65 2500270814 LP2981A-50DBVR
66 2500270914 LP2981A-33DBVR
67 2500278111 LMV431AIMFX/NOPB
68 25002781BS LMV431AIMFX/NOPB
69 2500278414 TL431AIDBZR
70 25002784VK TL431AIDBZR
71 2500283014 TPS71533DCKR
72 2500283214 TPS71550DCKR
73 2500298414 TLV1117IDCYR
74 2500298911 LM1117IMPX-3.3/NOPB
75 2500301314M TL4050C50QDBZRQ1
76 2500301414M TL4050C20QDBZRQ1
77 2500301714M TL4050B25QDBZRQ1
78 2500305614M LM2936QMP-5.0/NOPB
79 2500310214 TLV431ACDBVR
80 2500310514 TLVH431BIDBZR
81 2500315114 TL431BQPK
82 2500323814 LM4040A30IDBZR
83 2500333114 TL431IPK
84 2500333214 TL431BCDBZR
85 2500333414 TL432AQDBZR
86 2500333414M TL432AQDBZRQ1
87 2500333814 TL432AIDBZR
88 2500361214 TPS79301DBVR
89 2500361514 TPS79501DCQR
90 2500361714 TPS79333DBVR
91 2500361714M TPS79333DBVRQ1
92 2500374011 LMV431BCM5X/NOPB
93 2500374114 TLV431BIDBVR
94 2500374311 LM431AIM3X/NOPB
95 2500379511 LM4040BIM3X-3.0/NOPB
96 2500379614 LM4040D41IDBZR
97 2500381114 LM4132AMF-3.3/NOPB
98 2500381314M LM4132CQ1MFR3.0
99 2500381514M LM4132CQ1MFR2.5
100 2500381714M LM4132DQ1MFR3.0
101 2500381814M REF4132A30DBVRQ1
102 2500395214 TLVH431AIDBVR
103 2500395314 TL431BIDBZR
104 2500395814 TL432BQPK
105 2500397914 TLV75801PDBVR
106 2500398114 TLV75533PDBVR
107 2500406614 TLV1117-18CDCYR
108 2500416014 TPS73001DBVR
109 2500416814 TLV76033DBZR
110 2500421914 UA78M05CDCYR
111 2500431414 TPS71733DCKR
112 2500434114 TL431ACDBZR
113 2500434214 TLVH431BQDBZR
114 2500434514 TL431AQDBZRG4
115 2500434514M TL431AQDBZRQ1
116 2500434714 LMV431IM5X/NOPB
117 2500434814 TLVH431BIDBVR
118 2500434914 TLV431ACDBZR
119 2500436014 LP2985-50DBVR
120 2500436814 LP3985IM5X-3.3/NOPB
121 2500438111 LP38692MP-3.3/NOPB
122 2500446114M LM4041C12QDBZR
123 2500446214M LM4041QCEM3X-1.2NO
124 2500446514 LM4041A12IDCKR
125 2500448014 TPS73618DBVR
126 2500448214 TPS73633DBVR
127 2500448414 TPS73633MDBVREP
128 2500448514 TPS73601DBVR
129 2500450114M UA78M33QDCYRG4Q1
130 2500450714M UA78M05QDCYRG4Q1
131 2500453211 LM1117IMPX-5.0/NOPB
132 2500453214 TLV1117-50IDCYR
133 2500453314 TLV1117CDCYR
134 2500455414 TLVH431BIPK
135 2500459314 LM4040C50QDBZR
136 2500459514 LM4040C20QDBZR
137 2500459714 LM</t>
  </si>
  <si>
    <t>2025/05/06</t>
  </si>
  <si>
    <t>PCN10H21020250506044328</t>
  </si>
  <si>
    <t>1 203537030303 TPD2E007DCKR
2 203597300403 TPD4E1U06DCKR
3 203907302503 TPD2E2U06DRLR
4 2500025411 LM337IMPX/NOPB
5 2500050011 LM4040DIM3X-2.5/NOPB
6 2500050014 LM4040D25IDBZR
7 2500050311 LM4040CIM3X-5.0/NOPB
8 2500050811 LM4040CIM3X-2.5/NOPB
9 2500050814 LM4040C25IDBZR
10 2500050814M LM4040C25QDBZR
11 2500050914 LM4040C82IDBZR
12 2500058011 LM1117MPX-3.3/NOPB
13 2500058014 TLV1117-33IDCYR
14 2500058038 REG1117-3.3/2K5
15 25000580DL8 TLV1117-33IDCYR
16 2500058311 LM1117MPX-ADJ/NOPB
17 2500058611 LM1117MPX-5.0/NOPB
18 2500060114 TL431BIPK
19 2500060714 TL431AIPK
20 2500142711 LMV431AIM5X/NOPB
21 2500142914 TLV431AIDBVR
22 2500144414 UA78L12ACPK
23 2500146214 LM4041C12IDCKR
24 2500172114 TL432BIDBZR
25 2500172814 TLVH431AIDBZR
26 2500180114 TPS76933DBVR
27 2500180314 TPS76912DBVR
28 2500181814 TPS70933DBVR
29 25001818DL8 TPS70933DBVR
30 2500182111 LM317EMP/NOPB
31 2500182114 LM317DCYR
32 2500182814 LM317MDCYR
33 2500182911 LM317AEMP/NOPB
34 2500188914 TL1963ADCQR
35 2500193114 TPS3809K33DBVR
36 2500207014 TPS3823-33DBVR
37 2500233014 SN105125DBVR
38 2500235011 LP2985IM5-3.3/NOPB
39 2500235014 LP2985-33DBVR
40 25002350DE LP2985-33DBVR
41 2500235514 LP2985A-33DBVR
42 2500235611 LP2985AIM5-5.0/NOPB
43 2500235614 LP2985A-50DBVR
44 2500235714 LP2985A-18DBVR
45 2500242314 LP2980AIM5X-5.0/NOPB
46 2500265114 TPS3839K50DBZR
47 2500265214 TPS3839E16DBZR
48 2500267038 REF3025AIDBZR
49 2500267114 REF3020AIDBZR
50 2500267214 REF3030AIDBZR
51 2500267314 REF3033AIDBZR
52 2500267414 REF3120AIDBZR
53 2500267614 REF3125AIDBZR
54 2500267814 REF3333AIDBZR
55 2500269311 LM340MP-5.0/NOPB
56 2500270814 LP2981A-50DBVR
57 2500270914 LP2981A-33DBVR
58 2500278111 LMV431AIMFX/NOPB
59 25002781BS LMV431AIMFX/NOPB
60 2500278414 TL431AIDBZR
61 25002784VK TL431AIDBZR
62 2500283014 TPS71533DCKR
63 2500283214 TPS71550DCKR
64 2500298414 TLV1117IDCYR
65 2500298911 LM1117IMPX-3.3/NOPB
66 2500301314M TL4050C50QDBZRQ1
67 2500301414M TL4050C20QDBZRQ1
68 2500301714M TL4050B25QDBZRQ1
69 2500305614M LM2936QMP-5.0/NOPB
70 2500310214 TLV431ACDBVR
71 2500310514 TLVH431BIDBZR
72 2500315114 TL431BQPK
73 2500323814 LM4040A30IDBZR
74 2500333114 TL431IPK
75 2500333214 TL431BCDBZR
76 2500333414 TL432AQDBZR
77 2500333414M TL432AQDBZRQ1
78 2500333814 TL432AIDBZR
79 2500361214 TPS79301DBVR
80 25003612VK TPS79301DBVR
81 2500361514 TPS79501DCQR
82 2500361714 TPS79333DBVR
83 2500361714M TPS79333DBVRQ1
84 2500374011 LMV431BCM5X/NOPB
85 2500374114 TLV431BIDBVR
86 2500374311 LM431AIM3X/NOPB
87 2500379511 LM4040BIM3X-3.0/NOPB
88 2500379614 LM4040D41IDBZR
89 2500381114 LM4132AMF-3.3/NOPB
90 2500381314M LM4132CQ1MFR3.0
91 2500381514M LM4132CQ1MFR2.5
92 2500381714M LM4132DQ1MFR3.0
93 2500381814M REF4132A30DBVRQ1
94 2500395214 TLVH431AIDBVR
95 2500395314 TL431BIDBZR
96 2500395814 TL432BQPK
97 2500397914 TLV75801PDBVR
98 25003979DE TLV75801PDBVR
99 2500398114 TLV75533PDBVR
100 2500406614 TLV1117-18CDCYR
101 2500416014 TPS73001DBVR
102 2500416814 TLV76033DBZR
103 2500421914 UA78M05CDCYR
104 2500431114 TPS71701DCKR
105 2500431414 TPS71733DCKR
106 2500434114 TL431ACDBZR
107 2500434214 TLVH431BQDBZR
108 2500434514 TL431AQDBZRG4
109 2500434514M TL431AQDBZRQ1
110 2500434714 LMV431IM5X/NOPB
111 2500434814 TLVH431BIDBVR
112 2500434914 TLV431ACDBZR
113 2500436014 LP2985-50DBVR
114 2500436814 LP3985IM5X-3.3/NOPB
115 2500438111 LP38692MP-3.3/NOPB
116 2500446114M LM4041C12QDBZR
117 2500446214M LM4041QCEM3X-1.2NO
118 2500446514 LM4041A12IDCKR
119 2500448014 TPS73618DBVR
120 2500448214 TPS73633DBVR
121 2500448414 TPS73633MDBVREP
122 2500448514 TPS73601DBVR
123 2500450114M UA78M33QDCYRG4Q1
124 2500450714M UA78M05QDCYRG4Q1
125 2500453211 LM1117IMPX-5.0/NOPB
126 2500453214 TLV1117-50IDCYR
127 2500453314 TLV1117CDCYR
128 2500455414 TLVH431BIPK
129 2500459314 LM4040C50QDBZR
130 2500459514 LM4040C20QDBZR
131 2500459714 LM4030BMFX-2.5/NOPB
132 2500459814 LM4040DIM3X-3.0/NOPB
133 2500459914 LM4040DIM3X-5.0/NOPB
134 2500466214 TLV70033DDCR
135 2500466214M TLV70033QDDCRQ1
136 2500466314M TLV70012QDDCRQ1
137 2500466514</t>
  </si>
  <si>
    <t>2024-02-06</t>
  </si>
  <si>
    <t>20240205000</t>
  </si>
  <si>
    <t>Discontinuance of LMV339IRUCR and LMV393IDDUR</t>
  </si>
  <si>
    <t>2024-02-14</t>
  </si>
  <si>
    <t>20240214000</t>
  </si>
  <si>
    <t>Discontinuance of LMV331</t>
  </si>
  <si>
    <t>2024-02-16</t>
  </si>
  <si>
    <t>20240212000</t>
  </si>
  <si>
    <t>PCN10H21020241129052335</t>
  </si>
  <si>
    <t>20240212000.2</t>
  </si>
  <si>
    <t>1 2520277314M OPA2348AQDRQ1</t>
  </si>
  <si>
    <t>20240216001</t>
  </si>
  <si>
    <t>Datasheet for UCC21222-Q1, UCC21220, UCC21220A, UCC53x0, UCC5350-Q1, and UCC21222</t>
  </si>
  <si>
    <t>PCN10H21020250317034614</t>
  </si>
  <si>
    <t>20240216001.0</t>
  </si>
  <si>
    <t>1 2540597808 UCC21220DR
2 2540614608 UCC5350SBDR
3 2540615008 UCC5390SCDR
4 2540616508 UCC5390ECDR
5 2540709608 UCC21220ADR
6 2540739508 UCC21222DR
7 2540739508M UCC21222QDRQ1
8 2540774008 UCC5350MCDR
9 2540775308 UCC5310MCDR
10 2540794208M UCC5350MCQDRQ1</t>
  </si>
  <si>
    <t>20240215002</t>
  </si>
  <si>
    <t>Qualification of RFAB as an additional Fab site option and Assembly Site (HFTF, CDAT, TIPI) options for select devices</t>
  </si>
  <si>
    <t>2024/03/01</t>
  </si>
  <si>
    <t>PCN10H21020240301121055</t>
  </si>
  <si>
    <t>20240215002.1</t>
  </si>
  <si>
    <t>1 2540541008 TXS0101DBVR
2 25405410RK TXS0101DBVR
3 2540787708 TXS0101DCKR</t>
  </si>
  <si>
    <t>PCN10H21020250506032129</t>
  </si>
  <si>
    <t>2024-02-20</t>
  </si>
  <si>
    <t>20240220000</t>
  </si>
  <si>
    <t>2024-02-21</t>
  </si>
  <si>
    <t>20240221001</t>
  </si>
  <si>
    <t>2024-02-22</t>
  </si>
  <si>
    <t>20240215000</t>
  </si>
  <si>
    <t>Datasheet for INA132</t>
  </si>
  <si>
    <t>20240221009</t>
  </si>
  <si>
    <t>Qualification of RFAB using qualified Process Technology, Die Revision, Datasheet and additional Assembly site options for select devices</t>
  </si>
  <si>
    <t>PCN10H21020240301122010</t>
  </si>
  <si>
    <t>20240221009.1</t>
  </si>
  <si>
    <t>1 2600134008 SN74LV4066APWR</t>
  </si>
  <si>
    <t>20240221008</t>
  </si>
  <si>
    <t>PCN10H21020240301121557</t>
  </si>
  <si>
    <t>20240221008.1</t>
  </si>
  <si>
    <t>1 2540572308 MAX202IDR</t>
  </si>
  <si>
    <t>20240221007</t>
  </si>
  <si>
    <t>Qualification of RFAB using qualified Process Technology, Die Revision, and additional Assembly sites &amp; BOM options for select devices</t>
  </si>
  <si>
    <t>2024/04/18</t>
  </si>
  <si>
    <t>PCN10H21020240418104517</t>
  </si>
  <si>
    <t>20240221007.1</t>
  </si>
  <si>
    <t>1 2500497914 ATL432BQDBZR</t>
  </si>
  <si>
    <t>2024-02-27</t>
  </si>
  <si>
    <t>20240227008</t>
  </si>
  <si>
    <t>Datasheet for TMS320F2837xD, TMS320F2837xS, and TMS320F2807x</t>
  </si>
  <si>
    <t>20240227002</t>
  </si>
  <si>
    <t>PCN10H21020250317035637</t>
  </si>
  <si>
    <t>20240227002.0</t>
  </si>
  <si>
    <t>1 2610819708 TMS320F28034PNT
2 2610819908M TMS320F28032PAGQ
3 2610847308 TMS320F28035PAGQ
4 2610847308M TMS320F28035PAGQ
5 2610889108 TMS320F28034PAGT
6 2610889708 TMS320F28035PNS</t>
  </si>
  <si>
    <t>20240227005</t>
  </si>
  <si>
    <t>Qualification of Cu as an alternate bond wire &amp; die coat for select devices</t>
  </si>
  <si>
    <t>2024/04/08</t>
  </si>
  <si>
    <t>PCN10H21020240408042301</t>
  </si>
  <si>
    <t>20240227005.1</t>
  </si>
  <si>
    <t>1 2510558614 TPL5010DDCR</t>
  </si>
  <si>
    <t>PCN10H21020250318101326</t>
  </si>
  <si>
    <t>20240227008.0</t>
  </si>
  <si>
    <t>1 2610933508 TMS320F28377DPTPT
2 2610965008 TMS320F28377DZWTT
3 2610965208M TMS320F28075PZPQ
4 2610965308 TMS320F28377SPTPS
5 2610965708 TMS320F28075PTPT
6 2610965708M TMS320F28075PTPQ
7 2611305108M TMS320F28377DPTPQ
8 2611309608 TMS320F28374DPTPT
9 2611312608 TMS320F28379SPZPT
10 2611318208 TMS320F28377DPTPS
11 2611324808 TMS320F28374SZWTT
12 2611353908 TMS320F28376DPTPT
13 2611379808 TMS320F28379DPTPT
14 2633036208 TMS320F2837HDPTPT</t>
  </si>
  <si>
    <t>20240226007</t>
  </si>
  <si>
    <t>Datasheet for CDCE(L)913, CDCE813-Q1, CDCE913-Q1 and CDCEL913-Q1</t>
  </si>
  <si>
    <t>2024-02-28</t>
  </si>
  <si>
    <t>20240227001</t>
  </si>
  <si>
    <t>Datasheet for OPA564-Q1</t>
  </si>
  <si>
    <t>2024-03-01</t>
  </si>
  <si>
    <t>20240301002</t>
  </si>
  <si>
    <t>Discontinuance of Select Tube/Small Reel Devices</t>
  </si>
  <si>
    <t>2024-03-04</t>
  </si>
  <si>
    <t>20240304000</t>
  </si>
  <si>
    <t>Datasheet for TLV9051 / TLV9052 / TLV9054</t>
  </si>
  <si>
    <t>2024-03-06</t>
  </si>
  <si>
    <t>20240306004</t>
  </si>
  <si>
    <t>Adding FFAB as additional wafer probe (EWS) site</t>
  </si>
  <si>
    <t>PCN10H21020241121025052</t>
  </si>
  <si>
    <t>20240306004.2</t>
  </si>
  <si>
    <t>1 2500620514M REF3130AQDBZRQ1
2 2520267314M OPA365AQDBVRQ1
3 2520267614M OPA2365AQDRQ1</t>
  </si>
  <si>
    <t>20240306001</t>
  </si>
  <si>
    <t>2024/03/11</t>
  </si>
  <si>
    <t>PCN10H21020240311102634</t>
  </si>
  <si>
    <t>20240306001.1</t>
  </si>
  <si>
    <t>1 2610007208 ULN2004ADR</t>
  </si>
  <si>
    <t>20240306003</t>
  </si>
  <si>
    <t>20240306000</t>
  </si>
  <si>
    <t>Qualification of new Fab site (RFAB) using qualified Process Technology, Die Revision, and additional Assembly site &amp; BOM options for select devices</t>
  </si>
  <si>
    <t>2024-03-07</t>
  </si>
  <si>
    <t>20240306005</t>
  </si>
  <si>
    <t>Datasheet for LMC555</t>
  </si>
  <si>
    <t>2024-03-09</t>
  </si>
  <si>
    <t>20240308000</t>
  </si>
  <si>
    <t>2024-03-12</t>
  </si>
  <si>
    <t>20240312000</t>
  </si>
  <si>
    <t>Qualification of RFAB as an additional Fab site option, Die Revision, and new Assembly/Test site Option for select devices</t>
  </si>
  <si>
    <t>PCN10H21020241121055223</t>
  </si>
  <si>
    <t>20240312000.2</t>
  </si>
  <si>
    <t>1 2520269314M TL331QDBVRQ1</t>
  </si>
  <si>
    <t>2024-03-14</t>
  </si>
  <si>
    <t>20240312001</t>
  </si>
  <si>
    <t>20240313001</t>
  </si>
  <si>
    <t>Qualification of RFAB using qualified Process Technology, Die Revision, CDAT as wafer probe site and additional Assembly site/BOM options for select devices.</t>
  </si>
  <si>
    <t>2024/12/02</t>
  </si>
  <si>
    <t>PCN10H21020241202015122</t>
  </si>
  <si>
    <t>20240313001.2</t>
  </si>
  <si>
    <t>1 2542018608 ISO6721FQDWVRQ1</t>
  </si>
  <si>
    <t>2024/03/20</t>
  </si>
  <si>
    <t>PCN10H21020240320104746</t>
  </si>
  <si>
    <t>20240312001.1</t>
  </si>
  <si>
    <t>1 2510608514 TPS51116PWP
2 2510668214 TPS54426PWPR
3 2510668414 TPS61175PWPR
4 2510746014 TPS55340PWP
5 2510749914 TPS54425PWPR
6 2510883214 DRV8825PWPR
7 2513064514 LM51561HPWPR
8 2540394208 UCD7201PWP
9 25403942GU UCD7201PWPR
10 2540439808 DAC7760IPWPR
11 2540495808 UCD7100PWP
12 2540587208 TPS23756PWPR
13 2540902308 DAC8760IPWPR</t>
  </si>
  <si>
    <t>2025/02/18</t>
  </si>
  <si>
    <t>PCN10H21020250218013344</t>
  </si>
  <si>
    <t>1 2500546514 TPS2150IPWPR
2 2510608514 TPS51116PWP
3 2510668214 TPS54426PWPR
4 2510668414 TPS61175PWPR
5 2510746014 TPS55340PWP
6 2510749914 TPS54425PWPR
7 2510883214 DRV8825PWPR
8 2513064514 LM51561HPWPR
9 2540394208 UCD7201PWP
10 25403942GU UCD7201PWPR
11 2540439808 DAC7760IPWPR
12 2540495808 UCD7100PWP
13 2540587208 TPS23756PWPR
14 2540902308 DAC8760IPWPR</t>
  </si>
  <si>
    <t>PCN10H21020240320111643</t>
  </si>
  <si>
    <t>20240313001.1</t>
  </si>
  <si>
    <t>1 2540598808 ISO7721DWR
2 2540727208 ISO7721FDWVR
3 2540727508 ISO7721DWVR</t>
  </si>
  <si>
    <t>20240313000</t>
  </si>
  <si>
    <t>Datasheet for ULN200x, ULQ200x</t>
  </si>
  <si>
    <t>2024/12/03</t>
  </si>
  <si>
    <t>PCN10H21020241203050444</t>
  </si>
  <si>
    <t>20240313000.0</t>
  </si>
  <si>
    <t>1 2540122008 ULN2003AN
2 2540122708 ULN2003AIPWR
3 2540129508 ULN2003AIDR
4 2610007008 ULN2003ADR
5 2610007208 ULN2004ADR</t>
  </si>
  <si>
    <t>20240312002</t>
  </si>
  <si>
    <t>Datasheet for TS3USB221E, TUSB73x0, TPS6282x</t>
  </si>
  <si>
    <t>2024-03-15</t>
  </si>
  <si>
    <t>20240314000</t>
  </si>
  <si>
    <t>Datasheet for THS403x</t>
  </si>
  <si>
    <t>2024-03-19</t>
  </si>
  <si>
    <t>20240319001</t>
  </si>
  <si>
    <t>2024-03-20</t>
  </si>
  <si>
    <t>20240320000</t>
  </si>
  <si>
    <t>Qualification alternate Mount &amp; Mold Compound material for select devices</t>
  </si>
  <si>
    <t>2024/04/02</t>
  </si>
  <si>
    <t>PCN10H21020240402103857</t>
  </si>
  <si>
    <t>20240320000.1</t>
  </si>
  <si>
    <t>1 2500365214 TPS51206DSQR
2 2510622414 SN3138RGCR
3 2510744014 UCD3138ARGCR
4 2510751314 UCD3138064ARGCR
5 2510752014 UCD3138064RMHR
6 2510793114 SN3138064RGCR
7 2530275408 TDES954RGZR
8 2530307208 TDES954RGZT</t>
  </si>
  <si>
    <t>PCN10H21020240402110136</t>
  </si>
  <si>
    <t>20240320000.1(1)</t>
  </si>
  <si>
    <t>2024-03-21</t>
  </si>
  <si>
    <t>20240320001</t>
  </si>
  <si>
    <t>Qualification of TI CDAT as an additional Assembly &amp; Test site for select devices.</t>
  </si>
  <si>
    <t>PCN10H21020241121021424</t>
  </si>
  <si>
    <t>20240320001.2</t>
  </si>
  <si>
    <t>1 2510987514M LM74700QDBVRQ1
2 25109875GL9M LM74700QDBVRQ1
3 25109875NR9M LM74700QDBVRQ1</t>
  </si>
  <si>
    <t>2024-03-22</t>
  </si>
  <si>
    <t>20240319000</t>
  </si>
  <si>
    <t>PCN10H21020240402104959</t>
  </si>
  <si>
    <t>20240319000.1</t>
  </si>
  <si>
    <t>1 2500496314 TPS74801DRCR
2 25004963DL8 TPS74801DRCR
3 2500529214 TPS70933DRVR
4 2500529814 TPS70950DRVR
5 2520273914 INA300AIDSQR
6 2540360808 TPS2553DRVR
7 25403608BF9 TPS2553DRVR
8 2540554208 TPS2557DRBR</t>
  </si>
  <si>
    <t>2024-03-26</t>
  </si>
  <si>
    <t>20240325001</t>
  </si>
  <si>
    <t>2024/04/10</t>
  </si>
  <si>
    <t>PCN10H21020240410111438</t>
  </si>
  <si>
    <t>20240325001.1</t>
  </si>
  <si>
    <t>1 2550086608 AM3352BZCZA100
2 2550086808 AM3352BZCZD80
3 2550102408 AM3354BZCZA80
4 2550103808 AM3358BZCZ100
5 2550108808 AMIC110BZCZA
6 2550110108 AM3352BZCZA80</t>
  </si>
  <si>
    <t>20240325002</t>
  </si>
  <si>
    <t>Qualification of RFAB as an additional Fab site option and additional Assembly BOM options for select devices.</t>
  </si>
  <si>
    <t>PCN10H21020241202015744</t>
  </si>
  <si>
    <t>20240325002.2</t>
  </si>
  <si>
    <t>1 2541501008M UCC5350MCQDWVRQ1
2 2542007908 UCC5320SCDWVR</t>
  </si>
  <si>
    <t>PCN10H21020241202020628</t>
  </si>
  <si>
    <t>20240325002.2(2)</t>
  </si>
  <si>
    <t>PCN10H21020241212044702</t>
  </si>
  <si>
    <t>20240325002.2[1]</t>
  </si>
  <si>
    <t>PCN10H21020241212045405</t>
  </si>
  <si>
    <t>20240325002.2[2]</t>
  </si>
  <si>
    <t>2024-03-27</t>
  </si>
  <si>
    <t>20240326001</t>
  </si>
  <si>
    <t>PCN10H21020240408042627</t>
  </si>
  <si>
    <t>20240326001.1</t>
  </si>
  <si>
    <t>1 2500431314 TPS71718DCKR
2 2500431414 TPS71733DCKR
3 2500466914 TLV70033DCKR
4 2500544214 TLV70025DCKR
5 2520258814 INA210BIDCKR
6 2520268414 OPA188AIDBVR
7 2520273014 INA214BIDCKR
8 2520273114 INA213BIDCKR
9 2520273214 INA211BIDCKR
10 2520273614 INA199A1DCKR
11 2520273714 INA212AIDCKR
12 2520280914 INA199B1DCKR
13 2520288714 INA215AIDCKR
14 2520291214 OPA192IDBVR
15 2520292114 OPA197IDBVR
16 2542039508 TMP126NDCKR</t>
  </si>
  <si>
    <t>2024-03-28</t>
  </si>
  <si>
    <t>20240328001</t>
  </si>
  <si>
    <t>Qualification of RFAB using qualified Process Technology, Die Revision, Datasheet, and additional Assembly site/BOM options for select devices</t>
  </si>
  <si>
    <t>PCN10H21020240408044204</t>
  </si>
  <si>
    <t>20240328001.1</t>
  </si>
  <si>
    <t>1 2600143808 AM26C31IDR
2 2600374408 AM26C31IPWR</t>
  </si>
  <si>
    <t>PCN10H21020241122035643</t>
  </si>
  <si>
    <t>1 2600143808 AM26C31IDR</t>
  </si>
  <si>
    <t>20240327005</t>
  </si>
  <si>
    <t>Qualification of RFAB using qualified Process Technology, Die Revision, and additional Assembly site options</t>
  </si>
  <si>
    <t>PCN10H21020240410112100</t>
  </si>
  <si>
    <t>20240327005.1</t>
  </si>
  <si>
    <t>1 2520004114 LM393DR
2 2520004514 LM393ADR
3 2520012114 LM2903DR
4 2520050514 LM2903AVQDR
5 2520090014 LM293DR
6 2520090714 LM293ADR</t>
  </si>
  <si>
    <t>PCN10H21020241122035909</t>
  </si>
  <si>
    <t>1 2600374408 AM26C31IPWR</t>
  </si>
  <si>
    <t>PCN10H21020240408043811</t>
  </si>
  <si>
    <t>20240328001.2</t>
  </si>
  <si>
    <t>1 2600143308 AM26C31QDR</t>
  </si>
  <si>
    <t>2024-03-29</t>
  </si>
  <si>
    <t>20240329000</t>
  </si>
  <si>
    <t>Qualification of Clark as an additional Assembly site for select devices</t>
  </si>
  <si>
    <t>PCN10H21020240418104819</t>
  </si>
  <si>
    <t>20240329000.1</t>
  </si>
  <si>
    <t>20240327003</t>
  </si>
  <si>
    <t>Qualify TI CDAT as an additional Assembly &amp; Test site for select devices.</t>
  </si>
  <si>
    <t>PCN10H21020241125094732</t>
  </si>
  <si>
    <t>20240327003.2</t>
  </si>
  <si>
    <t>1 2540395108M TPS60403QDBVRQ1</t>
  </si>
  <si>
    <t>20240327004</t>
  </si>
  <si>
    <t>Qualification of RFAB using qualified Process Technology, Die Change, and additional Assembly site &amp; BOM options</t>
  </si>
  <si>
    <t>20240327000</t>
  </si>
  <si>
    <t>PCN10H21020240410113210</t>
  </si>
  <si>
    <t>20240327000.1</t>
  </si>
  <si>
    <t>1 2510592214 TPS3813I50DBVR
2 2512002314 TPS3813K33DBVR</t>
  </si>
  <si>
    <t>PCN10H21020240410120554</t>
  </si>
  <si>
    <t>20240327004.1</t>
  </si>
  <si>
    <t>1 2600271908 SN74AHC595PWR
2 2600354008 SN74ACT244PWR</t>
  </si>
  <si>
    <t>20240327001</t>
  </si>
  <si>
    <t>PCN10H21020241119024705</t>
  </si>
  <si>
    <t>20240327001.2</t>
  </si>
  <si>
    <t>1 2510592314 TPS3813K33QDBVRQ1
2 2510592314M TPS3813K33QDBVRQ1</t>
  </si>
  <si>
    <t>20240327002</t>
  </si>
  <si>
    <t>PCN10H21020240513110720</t>
  </si>
  <si>
    <t>20240327002.2</t>
  </si>
  <si>
    <t>1 2520050514M LM2903AVQDRQ1</t>
  </si>
  <si>
    <t>2024-04-02</t>
  </si>
  <si>
    <t>20240401002</t>
  </si>
  <si>
    <t>Datasheet for LMC608x, LMC66x, LMC603x, LMC648x, LMC649x</t>
  </si>
  <si>
    <t>20240401004</t>
  </si>
  <si>
    <t>Datasheet for CSD95410RRB</t>
  </si>
  <si>
    <t>2024-04-08</t>
  </si>
  <si>
    <t>20240405000</t>
  </si>
  <si>
    <t>Qualification of a new Die Revision, Data sheet and additional Assembly BOM options for select devices</t>
  </si>
  <si>
    <t>2024/07/16</t>
  </si>
  <si>
    <t>PCN10H21020240716112529</t>
  </si>
  <si>
    <t>20240405000.2</t>
  </si>
  <si>
    <t>2024-04-09</t>
  </si>
  <si>
    <t>20240408000</t>
  </si>
  <si>
    <t>Datasheet for DLP800RE</t>
  </si>
  <si>
    <t>2024-04-10</t>
  </si>
  <si>
    <t>20240409000</t>
  </si>
  <si>
    <t>Qualification of RFAB as an additional Fab site option and Assembly site &amp; BOM options for select ABCD6 devices</t>
  </si>
  <si>
    <t>PCN10H21020240418105131</t>
  </si>
  <si>
    <t>20240409000.1</t>
  </si>
  <si>
    <t>1 2513009014 LM5164DDAR</t>
  </si>
  <si>
    <t>20240410000</t>
  </si>
  <si>
    <t>PCN10H21020241122043407</t>
  </si>
  <si>
    <t>20240409000.2</t>
  </si>
  <si>
    <t>1 2513009014 LM5164QDDATQ1</t>
  </si>
  <si>
    <t>2024-04-11</t>
  </si>
  <si>
    <t>20240402000</t>
  </si>
  <si>
    <t>Qualify HFTF as an additional Assembly &amp; Test site for select devices</t>
  </si>
  <si>
    <t>PCN10H21020240726032715</t>
  </si>
  <si>
    <t>20240402000.2</t>
  </si>
  <si>
    <t>2024/04/23</t>
  </si>
  <si>
    <t>PCN10H21020240423102838</t>
  </si>
  <si>
    <t>20240402000.1</t>
  </si>
  <si>
    <t>1 2510630214 TPS54240DGQR
2 2510668614 TPS54260DGQR</t>
  </si>
  <si>
    <t>2024-04-12</t>
  </si>
  <si>
    <t>20240411005</t>
  </si>
  <si>
    <t>Qualification of RFAB using qualified Process Technology, Die Revision, Datasheet, and additional Assembly BOM options for select devices</t>
  </si>
  <si>
    <t>PCN10H21020240424040238</t>
  </si>
  <si>
    <t>20240411005.1</t>
  </si>
  <si>
    <t>1 2600049131 CD74HC4051M96
2 2600056008 CD74HC4053M96
3 2600093108 CD74HC4052M96
4 2600133108 CD74HC4051PWR
5 26001331GU CD74HC4051PWR
6 2600270208 CD74HC4053PWR</t>
  </si>
  <si>
    <t>20240411004</t>
  </si>
  <si>
    <t>Qualification of RFAB using qualified Process Technology, Die Revision, and additional Assembly site options for select devices</t>
  </si>
  <si>
    <t>20240411001</t>
  </si>
  <si>
    <t>PCN10H21020241126053840</t>
  </si>
  <si>
    <t>20240411005.2</t>
  </si>
  <si>
    <t>1 2600256008M CD74HC4051QM96Q1</t>
  </si>
  <si>
    <t>20240411003</t>
  </si>
  <si>
    <t>Qualification of FFAB using qualified Process Technology, Die Revision and additional Assembly Site/BOM options for select devices</t>
  </si>
  <si>
    <t>2024-04-14</t>
  </si>
  <si>
    <t>20240412000</t>
  </si>
  <si>
    <t>PCN10H21020240424041437</t>
  </si>
  <si>
    <t>20240412000.1</t>
  </si>
  <si>
    <t>1 2540588508 UCC23513DWY
2 2540756408 ISO1042DWVR
3 2540784408 UCC23513BDWYR
4 2540785308 UCC23511DWYR
5 2542008608 ISO1042BDWVR</t>
  </si>
  <si>
    <t>PCN10H21020241127042324</t>
  </si>
  <si>
    <t>20240412000.2</t>
  </si>
  <si>
    <t>1 2541501208 UCC23513QDWYRQ1
2 2542009108 UCC23511QDWYRQ1</t>
  </si>
  <si>
    <t>PCN10H21020241211020943</t>
  </si>
  <si>
    <t>20240412000.2(1)</t>
  </si>
  <si>
    <t>2024-04-15</t>
  </si>
  <si>
    <t>20240408001</t>
  </si>
  <si>
    <t>Datasheet for TPS1211-Q1 and TPS4811-Q1</t>
  </si>
  <si>
    <t>20240411000</t>
  </si>
  <si>
    <t>Datasheet for LM3481-Q1 and LM3481</t>
  </si>
  <si>
    <t>PCN10H21020250318102656</t>
  </si>
  <si>
    <t>20240411000.0</t>
  </si>
  <si>
    <t>1 2510364714 LM3481MMX/NOPB
2 2510364714M LM3481QMMX/NOPB</t>
  </si>
  <si>
    <t>2024-04-18</t>
  </si>
  <si>
    <t>20240418000</t>
  </si>
  <si>
    <t>Qualification of TI Malaysia as an additional Assembly site for the Select Devices</t>
  </si>
  <si>
    <t>2024/05/29</t>
  </si>
  <si>
    <t>PCN10H21020240529121808</t>
  </si>
  <si>
    <t>20240418000.1</t>
  </si>
  <si>
    <t>1 2520012514 LM2903DGKR
2 2520085614 LM258ADGKR
3 2520131414 LM393DGKR
4 2540457208 TMP75AIDGKR
5 25404572DL8 TMP75AIDGKR</t>
  </si>
  <si>
    <t>2024-04-19</t>
  </si>
  <si>
    <t>20240418001</t>
  </si>
  <si>
    <t>Qualification of additional Assembly sites for select VSSOP (MSOP) devices</t>
  </si>
  <si>
    <t>PCN10H21020240529021730</t>
  </si>
  <si>
    <t>20240418001.1</t>
  </si>
  <si>
    <t>1 2510684414 TPS24700DGKR
2 2520268114 OPA2188AIDGKR
3 2520292014 OPA2192IDGKR
4 2520294314 OPA2197IDGKR
5 2522019014 LM2903BIDGKR
6 2522019514 LM393BIDGKR
7 2522019814 LM358BIDGKR
8 2522020014 LM2904BIDGKR
9 2522023814 TLV9152IDGKR
10 2522027814 TLV9352IDGKR
11 2522028314 OPA2990IDGKR
12 2522029614 TLV9162IDGKR
13 2540372608 TMP431BDGKR
14 2540558108 INA200AIDGKR
15 2540561008 TCA9517ADGKR
16 2540706808 TCA9517DGKR
17 2540732608 SN65HVD74DGKR
18 2540735308 THVD1550DGKR
19 2540751908 TMP411ADGKR
20 2540762008 TCA9617BDGKR
21 2540796608 THVD1450DGKR
22 2540902208 DAC8551IDGKR
23 2542020308 SN65HVD1474DGKR
24 2600512008 TMUX6219DGKR</t>
  </si>
  <si>
    <t>2025/03/03</t>
  </si>
  <si>
    <t>PCN10H21020250303045956</t>
  </si>
  <si>
    <t>1 2510684414 TPS24700DGKR
2 2520268114 OPA2188AIDGKR
3 2520292014 OPA2192IDGKR
4 2520294314 OPA2197IDGKR
5 2522019014 LM2903BIDGKR
6 2522019514 LM393BIDGKR
7 2522019814 LM358BIDGKR
8 2522020014 LM2904BIDGKR
9 2522023814 TLV9152IDGKR
10 2522027814 TLV9352IDGKR
11 2522028314 OPA2990IDGKR
12 2522029614 TLV9162IDGKR
13 2540372608 TMP431BDGKR
14 2540558108 INA200AIDGKR
15 2540561008 TCA9517ADGKR
16 2540706808 TCA9517DGKR
17 2540732608 SN65HVD74DGKR
18 2540735308 THVD1550DGKR
19 2540751908 TMP411ADGKR
20 2540762008 TCA9617BDGKR
21 2540778108 TMP411CDGKR
22 2540796608 THVD1450DGKR
23 2540902208 DAC8551IDGKR
24 2542020308 SN65HVD1474DGKR
25 2600512008 TMUX6219DGKR</t>
  </si>
  <si>
    <t>2024-04-23</t>
  </si>
  <si>
    <t>20240422000</t>
  </si>
  <si>
    <t>Qualification of CDAT as an additional Assembly, probe and test site for select devices</t>
  </si>
  <si>
    <t>PCN10H21020241122044243</t>
  </si>
  <si>
    <t>20240422000.2</t>
  </si>
  <si>
    <t>1 2513012514M LM61460AASQRJRRQ1
2 2513057614M LM61440AASQRJRRQ1</t>
  </si>
  <si>
    <t>20240423000</t>
  </si>
  <si>
    <t>Qualification of Cu as an alternate bond wire for select devices.</t>
  </si>
  <si>
    <t>2024-04-24</t>
  </si>
  <si>
    <t>20240424000</t>
  </si>
  <si>
    <t>Datasheet for TPS5430-Q1, TPS5410-Q1, TPS5420-Q1, TPS5410, TPS5420, TPS543x</t>
  </si>
  <si>
    <t>2025/09/01</t>
  </si>
  <si>
    <t>PCN10H21020250901144202</t>
  </si>
  <si>
    <t>20240424000.1</t>
  </si>
  <si>
    <t>1 2510455614 TPS5431DDAR
2 2510455714 TPS5430DDAR
3 2510569314 TPS5410DR
4 2510569814 TPS5420DR</t>
  </si>
  <si>
    <t>PCN10H21020250917125432</t>
  </si>
  <si>
    <t>PCN10H21020250318113454</t>
  </si>
  <si>
    <t>20240424000.2</t>
  </si>
  <si>
    <t>PCN10H21020250318114142</t>
  </si>
  <si>
    <t>2024-04-30</t>
  </si>
  <si>
    <t>20240429004</t>
  </si>
  <si>
    <t>2024/05/30</t>
  </si>
  <si>
    <t>PCN10H21020240530054035</t>
  </si>
  <si>
    <t>20240429004.1</t>
  </si>
  <si>
    <t>1 2520167814 TLV3402IDR</t>
  </si>
  <si>
    <t>20240430000</t>
  </si>
  <si>
    <t>Qualification of RFAB using qualified Process Technology, Die Revision, Datasheet, and additional Assembly site options for select devices</t>
  </si>
  <si>
    <t>PCN10H21020240530052421</t>
  </si>
  <si>
    <t>20240430000.1</t>
  </si>
  <si>
    <t>1 2510757414 TPS563201DDCR
2 2510760114 TPS563208DDCR</t>
  </si>
  <si>
    <t>1 2510757414 TPS563201DDCR
2 25107574VK TPS563201DDCR
3 2510760114 TPS563208DDCR</t>
  </si>
  <si>
    <t>PCN10H21020241119034635</t>
  </si>
  <si>
    <t>PCN20240430000.1</t>
  </si>
  <si>
    <t>20240429005</t>
  </si>
  <si>
    <t>PCN10H21020240530053808</t>
  </si>
  <si>
    <t>20240429005.1</t>
  </si>
  <si>
    <t>1 2600374108 AM26LV31EIPWR</t>
  </si>
  <si>
    <t>2024-05-02</t>
  </si>
  <si>
    <t>20240502002</t>
  </si>
  <si>
    <t>Qualification of RFAB as an additional Fab site option, Die revision and  Assembly Site (HFTF, TIPI) options for select devices.</t>
  </si>
  <si>
    <t>2024/06/27</t>
  </si>
  <si>
    <t>PCN10H21020240627024619</t>
  </si>
  <si>
    <t>20240502002.1</t>
  </si>
  <si>
    <t>1 2520170014 LMV331IDBVR
2 2520170114 LMV331IDCKR</t>
  </si>
  <si>
    <t>20240502000</t>
  </si>
  <si>
    <t>20240502001</t>
  </si>
  <si>
    <t>Qualification of RFAB as an additional Fab site and Die Revision option  for select devices</t>
  </si>
  <si>
    <t>PCN10H21020240529023450</t>
  </si>
  <si>
    <t>20240502001.1</t>
  </si>
  <si>
    <t>PCN10H21020241127043107</t>
  </si>
  <si>
    <t>20240502002.2</t>
  </si>
  <si>
    <t>1 2520170314M LMV331QDBVRQ1</t>
  </si>
  <si>
    <t>2024-05-03</t>
  </si>
  <si>
    <t>20240502003</t>
  </si>
  <si>
    <t>Datasheet for ISO776x-Q1 and Datasheet for ISO776</t>
  </si>
  <si>
    <t>PCN10H21020250313051329</t>
  </si>
  <si>
    <t>20240502003.2</t>
  </si>
  <si>
    <t>20240418002</t>
  </si>
  <si>
    <t>PCN10H21020250318112820</t>
  </si>
  <si>
    <t>20240418002.0</t>
  </si>
  <si>
    <t>2024-05-06</t>
  </si>
  <si>
    <t>20240502010</t>
  </si>
  <si>
    <t>Datasheet for SNx4AHC138, SNx4AHCT138, SNx4AHC157, SNx4AHCT157, SN74AHC595, SN74AHCT594, SNx4AHC594, SN74AHC595-Q1, and SN74AHCT595</t>
  </si>
  <si>
    <t>20240502009</t>
  </si>
  <si>
    <t>Datasheet for INA117</t>
  </si>
  <si>
    <t>20240502005</t>
  </si>
  <si>
    <t>Datasheet for LM5163-Q1, LM5164-Q1</t>
  </si>
  <si>
    <t>2024-05-08</t>
  </si>
  <si>
    <t>20240508001</t>
  </si>
  <si>
    <t>2024/06/11</t>
  </si>
  <si>
    <t>PCN10H21020240611125241</t>
  </si>
  <si>
    <t>20240508001.1</t>
  </si>
  <si>
    <t>1 2542035208 SN1710027DRLR</t>
  </si>
  <si>
    <t>2024-05-09</t>
  </si>
  <si>
    <t>20240508000</t>
  </si>
  <si>
    <t>Backside Coat removal for select package devices</t>
  </si>
  <si>
    <t>2024-05-13</t>
  </si>
  <si>
    <t>20240510000</t>
  </si>
  <si>
    <t>Qualification of MLA as an additional Assembly &amp; Test site for select devices</t>
  </si>
  <si>
    <t>PCN10H21020241122044944</t>
  </si>
  <si>
    <t>20240510000.2</t>
  </si>
  <si>
    <t>1 2520171014M LMV358Q1MMX/NOPB
2 2520236814M TLV3202AQDGKRQ1
3 2520267414M OPA2170AQDGKRQ1
4 2520277714M OPA2171AQDGKRQ1
5 2520294314M OPA2197QDGKRQ1
6 2521502714 INA200AQDGKRQ1
7 2522016814M OPA2991QDGKRQ1
8 2522017414M TLV9062QDGKRQ1
9 2522023114M TLV9002QDGKRQ1
10 2522026114M LM2904BQDGKRQ1
11 2522029214M OPA2388QDGKRQ1
12 2522034014M TLV9032QDGKRQ1
13 2522035214M LM2903BQDGKRQ1
14 2540706808M TCA9517DGKRQ1
15 25407068GL9M TCA9517DGKRQ1
16 2540777208M TMP75AQDGKRQ1
17 25407772GL9M TMP75AQDGKRQ1
18 2600512008M TMUX6219DGKRQ1
19 2600521808M TMUX7219DGKRQ1</t>
  </si>
  <si>
    <t>PCN10H21020241212050455</t>
  </si>
  <si>
    <t>20240510000.2[1]</t>
  </si>
  <si>
    <t>1 2520161614M INA225AQDGKRQ1
2 2520171014M LMV358Q1MMX/NOPB
3 2520236814M TLV3202AQDGKRQ1
4 2520267414M OPA2170AQDGKRQ1
5 2520277714M OPA2171AQDGKRQ1
6 2520292014M OPA2192QDGKRQ1
7 2520294314M OPA2197QDGKRQ1
8 2521502714 INA200AQDGKRQ1
9 2522016814M OPA2991QDGKRQ1
10 2522017414M TLV9062QDGKRQ1
11 2522023114M TLV9002QDGKRQ1
12 2522026114M LM2904BQDGKRQ1
13 2522029214M OPA2388QDGKRQ1
14 2522034014M TLV9032QDGKRQ1
15 2522035214M LM2903BQDGKRQ1
16 2540706808M TCA9517DGKRQ1
17 25407068GL9M TCA9517DGKRQ1
18 2540777208M TMP75AQDGKRQ1
19 25407772GL9M TMP75AQDGKRQ1
20 2600512008M TMUX6219DGKRQ1
21 XX2520001800M OPA2991QDGKRQ1</t>
  </si>
  <si>
    <t>PCN10H21020241212053345</t>
  </si>
  <si>
    <t>20240510000.2[2]</t>
  </si>
  <si>
    <t>PCN10H21020241212054247</t>
  </si>
  <si>
    <t>20240510000.2[3]</t>
  </si>
  <si>
    <t>2024-05-15</t>
  </si>
  <si>
    <t>20240514001</t>
  </si>
  <si>
    <t>PCN10H21020240611125628</t>
  </si>
  <si>
    <t>20240514001.1</t>
  </si>
  <si>
    <t>1 2600081808 SN74LVC00APWR
2 2600092208 SN74LVC08APWR
3 2600103808 SN74LVC125APWR
4 2600147008 SN74LVC32APWR</t>
  </si>
  <si>
    <t>2024-05-23</t>
  </si>
  <si>
    <t>20240521000</t>
  </si>
  <si>
    <t>2024/06/20</t>
  </si>
  <si>
    <t>PCN10H21020240620104024</t>
  </si>
  <si>
    <t>1 2510594614 TPS54160DGQR
2 2510630514 TPS54140DGQR
3 2510630914 TPS54060DGQR
4 2510722614 TPS5401DGQR
5 2510780514 TPS54160ADGQR
6 2510796714 TPS54040ADGQR
7 2513042314 TPS54140ADGQR
8 2520008911 LMV324MX/NOPB
9 2520016211 LM324AMX/NOPB
10 2520032311 LM319MX/NOPB
11 2520050011 LM2901MX/NOPB
12 2520183314 LMV824MX/NOPB
13 2520183514M LMV844QMAX/NOPB
14 2520239314 LMP7709MAX/NOPB
15 2522009714 LF298MX/NOPB
16 2540528208 LM2907MX/NOPB</t>
  </si>
  <si>
    <t>2024-05-24</t>
  </si>
  <si>
    <t>20240520006</t>
  </si>
  <si>
    <t>Datasheet for SNx4LVC00A, SNx4LVC02A, SNx4LVC08A, SNx4LVC32A, and SN74LVC125A</t>
  </si>
  <si>
    <t>20240520011</t>
  </si>
  <si>
    <t>Datasheet for TMS320F28002x</t>
  </si>
  <si>
    <t>2024-05-29</t>
  </si>
  <si>
    <t>20240529002</t>
  </si>
  <si>
    <t>Qualification of RFAB using qualified Process Technology, Die Revision and additional Assembly BOM options for select devices</t>
  </si>
  <si>
    <t>PCN10H21020240620105732</t>
  </si>
  <si>
    <t>20240529002.1</t>
  </si>
  <si>
    <t>1 2540122008 ULN2003AN
2 2540122708 ULN2003AIPWR</t>
  </si>
  <si>
    <t>PCN10H21020241115111501</t>
  </si>
  <si>
    <t>20240529002.1(1)</t>
  </si>
  <si>
    <t>1 2540122008 ULN2003AN</t>
  </si>
  <si>
    <t>Qualification of RFAB using qualified Process Technology, Die Revision, and additional Assembly BOM options for select devices</t>
  </si>
  <si>
    <t>PCN10H21020241206054046</t>
  </si>
  <si>
    <t>20240529002.1(2)</t>
  </si>
  <si>
    <t>20240529000</t>
  </si>
  <si>
    <t>Qualification of RFAB using qualified Process Technology, Die Revision, and additional Assembly &amp; Test site options for select devices</t>
  </si>
  <si>
    <t>PCN10H21020241202031612</t>
  </si>
  <si>
    <t>20240529000.2</t>
  </si>
  <si>
    <t>1 2510738214M TPS55065QPWPRQ1</t>
  </si>
  <si>
    <t>PCN10H21020241210102755</t>
  </si>
  <si>
    <t>20240529000.2A</t>
  </si>
  <si>
    <t>20240529004</t>
  </si>
  <si>
    <t>2024-05-31</t>
  </si>
  <si>
    <t>20240530001</t>
  </si>
  <si>
    <t>20240529005</t>
  </si>
  <si>
    <t>PCN10H21020240627032733</t>
  </si>
  <si>
    <t>20240529005.1</t>
  </si>
  <si>
    <t>1 2600001808 SN74ACT04DR
2 2600015108 SN74AC11DR
3 2600022108 CD74AC04M96
4 2600147508 SN74AC32PWR
5 2600259008 SN74AC08PWR
6 2600361108 SN74AC74PWR
7 2600398108 SN74AHCT367PWR</t>
  </si>
  <si>
    <t>2024-06-04</t>
  </si>
  <si>
    <t>20240531002</t>
  </si>
  <si>
    <t>Qualify UTAC as an additional Assembly site for select devices</t>
  </si>
  <si>
    <t>2024/07/04</t>
  </si>
  <si>
    <t>PCN10H21020240704120657</t>
  </si>
  <si>
    <t>20240531002.1</t>
  </si>
  <si>
    <t>1 2513030514 TPS546D24ARVFR</t>
  </si>
  <si>
    <t>20240603002</t>
  </si>
  <si>
    <t>PCN10H21020240627034002</t>
  </si>
  <si>
    <t>20240603002.1</t>
  </si>
  <si>
    <t>1 2510778514 LM5145RGYR</t>
  </si>
  <si>
    <t>2024-06-06</t>
  </si>
  <si>
    <t>20240605000</t>
  </si>
  <si>
    <t>2024/08/09</t>
  </si>
  <si>
    <t>PCN10H21020240809031513</t>
  </si>
  <si>
    <t>20240605000.1</t>
  </si>
  <si>
    <t>1 2510622414 SN3138RGCR
2 2510744014 UCD3138ARGCR
3 2510751314 UCD3138064ARGCR
4 2510752014 UCD3138064RMHR
5 2510793114 SN3138064RGCR
6 2540595508 ISO1540DR
7 2540614608 UCC5350SBDR
8 2540720108 ISO1541DR
9 2540774008 UCC5350MCDR
10 2540775308 UCC5310MCDR
11 2540789408 ISO1640BDR
12 2540796108 ISO6721BDR
13 2542002508 ISO6721FBDR
14 2542024208 ISO6720FBDR</t>
  </si>
  <si>
    <t>2025/04/17</t>
  </si>
  <si>
    <t>PCN10H21020250417125731</t>
  </si>
  <si>
    <t>20240605000.2</t>
  </si>
  <si>
    <t>1 2542035308M ISO6721BQDRQ1</t>
  </si>
  <si>
    <t>2024-06-10</t>
  </si>
  <si>
    <t>20240610000</t>
  </si>
  <si>
    <t>Qualification of TI Malaysia as an additional assembly site for select devices</t>
  </si>
  <si>
    <t>PCN10H21020240704121737</t>
  </si>
  <si>
    <t>20240610000.1</t>
  </si>
  <si>
    <t>1 2540558408 INA226AIDGSR</t>
  </si>
  <si>
    <t>2024-06-12</t>
  </si>
  <si>
    <t>20240610001</t>
  </si>
  <si>
    <t>Qualification of additional Assembly &amp; Test Site (MLA), BOM options for select devices</t>
  </si>
  <si>
    <t>2025/06/12</t>
  </si>
  <si>
    <t>PCN10H21020250612120428</t>
  </si>
  <si>
    <t>20240610001.1</t>
  </si>
  <si>
    <t>1 2520291014 AMC1301DWVR
2 2520293814 AMC1311DWVR
3 2520300414 AMC1311BDWVR
4 2522014514 SN201811022DWVR
5 2522052114 AMC1350DWVR
6 2540912608 AMC1303E2520DWVR
7 2540912708 AMC1303E0520DWVR
8 2540914208 AMC1306M25DWVR</t>
  </si>
  <si>
    <t>PCN10H21020241127050315</t>
  </si>
  <si>
    <t>20240610001.2</t>
  </si>
  <si>
    <t>1 2520291014M AMC1301QDWVRQ1
2 2520293814M AMC1311QDWVRQ1
3 2520300414M AMC1311BQDWVRQ1
4 2522016414M SN2011028QDWVRQ1
5 2522020714M SN2011029QDWVRQ1
6 2522033014M AMC1302QDWVRQ1</t>
  </si>
  <si>
    <t>PCN10H21020241127050956</t>
  </si>
  <si>
    <t>20240610001.2(2)</t>
  </si>
  <si>
    <t>PCN10H21020241212041026</t>
  </si>
  <si>
    <t>20240610001.2(1)</t>
  </si>
  <si>
    <t>PCN10H21020241212042016</t>
  </si>
  <si>
    <t>20240610001.2[2]</t>
  </si>
  <si>
    <t>2024-06-13</t>
  </si>
  <si>
    <t>20240613007</t>
  </si>
  <si>
    <t>PCN10H21020241202045656</t>
  </si>
  <si>
    <t>20240613007.1</t>
  </si>
  <si>
    <t>1 2541001208 LM5180NGUR</t>
  </si>
  <si>
    <t>2024-06-14</t>
  </si>
  <si>
    <t>20240613000</t>
  </si>
  <si>
    <t>Qualification of RFAB using qualified Process Technology, Die Revision, and additional Assembly Site/BOM options for select devices</t>
  </si>
  <si>
    <t>2024/08/02</t>
  </si>
  <si>
    <t>PCN10H21020240802033038</t>
  </si>
  <si>
    <t>20240613000.1</t>
  </si>
  <si>
    <t>1 2500004214 TL431ACLPM
2 2500004414 TL431ILPR
3 2500004914 TL431AILPM
4 2500060114 TL431BIPK
5 2500060714 TL431AIPK
6 2500315114 TL431BQPK
7 2500333114 TL431IPK
8 2500455414 TLVH431BIPK
9 2500625414 TLVH431AQPK</t>
  </si>
  <si>
    <t>20240613009</t>
  </si>
  <si>
    <t>Qualification of DFAB and additional Assembly Site/BOM options for select devices</t>
  </si>
  <si>
    <t>2024/07/12</t>
  </si>
  <si>
    <t>PCN10H21020240712053719</t>
  </si>
  <si>
    <t>20240613009.1</t>
  </si>
  <si>
    <t>1 2500028010 LT1009CLPR
2 2500028314 LT1009CDR
3 2500038314 TL7705AIDR
4 2510474014 TL7702BCDR
5 2512003214 TL7733BIDR
6 2520002114 LM311DR
7 2520108114 TS321IDBVR
8 2520125014 LM211DR
9 2600020808 SN74LS07DR</t>
  </si>
  <si>
    <t>20240613001</t>
  </si>
  <si>
    <t>Qualification of RFAB using qualified Process Technology, Die Revision, and additional BOM options for select devices</t>
  </si>
  <si>
    <t>PCN10H21020241202032554</t>
  </si>
  <si>
    <t>20240613001.1</t>
  </si>
  <si>
    <t>1 2500421914 UA78M05CDCYR
2 2500525714 UA78M05IDCYR</t>
  </si>
  <si>
    <t>20240613008</t>
  </si>
  <si>
    <t>Qualification of RFAB using qualified Process Technology, Die Revision, and additional Assembly Site (CDAT) &amp; BOM options for select devices</t>
  </si>
  <si>
    <t>20240613005</t>
  </si>
  <si>
    <t>Qualification of RFAB using qualified Process Technology, Die Revision, Datasheet and Assembly options for select devices</t>
  </si>
  <si>
    <t>20240613002</t>
  </si>
  <si>
    <t>Qualification of RFAB using qualified Process Technology, Die Revision, Datasheet and Assembly BOM options for select devices</t>
  </si>
  <si>
    <t>PCN10H21020240802034148</t>
  </si>
  <si>
    <t>20240613005.1</t>
  </si>
  <si>
    <t>1 2600093608 SN74LV4052APWR
2 2600185808 SN74LV4051ADR</t>
  </si>
  <si>
    <t>PCN10H21020240726034310</t>
  </si>
  <si>
    <t>20240613002.1</t>
  </si>
  <si>
    <t>1 2600018308 SN74HC4851PWR</t>
  </si>
  <si>
    <t>20240613003</t>
  </si>
  <si>
    <t>Qualification of RFAB using qualified Process Technology, Die Revision, and additional Assembly Site (JCETCZ) &amp; BOM options for select devices</t>
  </si>
  <si>
    <t>2024-06-17</t>
  </si>
  <si>
    <t>20240612000</t>
  </si>
  <si>
    <t>PCN10H21020240712052741</t>
  </si>
  <si>
    <t>20240612000.1</t>
  </si>
  <si>
    <t>1 2510569414 TPS54310PWPR
2 2540810708 TPS16630PWPR
3 XXO14-0085210000 TPS26631PWPR
4 XXO14-0103070000 TPS16530PWPR
5 XXWTPS26636PW00 TPS26636PWPR</t>
  </si>
  <si>
    <t>2024-06-19</t>
  </si>
  <si>
    <t>20240618001</t>
  </si>
  <si>
    <t>Qualification of new Die Revision in RFAB using qualified Process Technology, Die Revision, Datasheet and Assembly BOM options for select devices</t>
  </si>
  <si>
    <t>PCN10H21020240704113559</t>
  </si>
  <si>
    <t>20240618001.2</t>
  </si>
  <si>
    <t>2025/04/22</t>
  </si>
  <si>
    <t>PCN10H21020250422055120</t>
  </si>
  <si>
    <t>2024-06-21</t>
  </si>
  <si>
    <t>20240621001</t>
  </si>
  <si>
    <t>2024-06-24</t>
  </si>
  <si>
    <t>20240614001</t>
  </si>
  <si>
    <t>Datasheet for TL431, TL432, TLVH431, TLVH432</t>
  </si>
  <si>
    <t>20240619002</t>
  </si>
  <si>
    <t>Datasheet for OPA656, TPS62901, TCA9617B</t>
  </si>
  <si>
    <t>2024-06-25</t>
  </si>
  <si>
    <t>20240624000</t>
  </si>
  <si>
    <t>SOT Symbolization update for select devices – 16 Additional Binary Codes</t>
  </si>
  <si>
    <t>2025/02/20</t>
  </si>
  <si>
    <t>PCN10H21020250220042307</t>
  </si>
  <si>
    <t>20240624000.0</t>
  </si>
  <si>
    <t>1 2500050011 LM4040DIM3X-2.5/NOPB
2 2500050014 LM4040D25IDBZR
3 2500050311 LM4040CIM3X-5.0/NOPB
4 2500050811 LM4040CIM3X-2.5/NOPB
5 2500050814 LM4040C25IDBZR
6 2500172114 TL432BIDBZR
7 2500235011 LP2985IM5-3.3/NOPB
8 2500278414 TL431AIDBZR
9 2500333214 TL431BCDBZR
10 2500333414 TL432AQDBZR
11 2500333814 TL432AIDBZR
12 2500379114 LM4040B50IDBZR
13 2500379511 LM4040BIM3X-3.0/NOPB
14 2500379614 LM4040D41IDBZR
15 2500395314 TL431BIDBZR
16 2500434514 TL431AQDBZRG4
17 2500446114 LM4041C12QDBZR
18 2500459314 LM4040C50QDBZR
19 2500459514 LM4040C20QDBZR
20 2500459814 LM4040DIM3X-3.0/NOPB
21 2500459914 LM4040DIM3X-5.0/NOPB
22 2500478014 TL431BQDBZR
23 2500478314 TL432BQDBZR
24 2500549114 LM4040D30IDBZR
25 2500549214 LM4040D50IDBZR
26 2512003314 TLV803EB33VDBZR
27 2513057414M LMR50410Y5FQDBVRQ1
28 2513073214 LMR50410XFDBVR
29 2513074814M LMR50410YFQDBVRQ1
30 2520298914 OPA320AIDBVR
31 2522024214M TLV3701QDBVRQ1
32 2540715808 SN6505BDBVR
33 2540715808M SN6505BQDBVRQ1
34 2542065308M SN6505AQDBVRQ1</t>
  </si>
  <si>
    <t>20240625001</t>
  </si>
  <si>
    <t>Qualification of RFAB using qualified Process Technology, Die Revision &amp; BOM option for select devices</t>
  </si>
  <si>
    <t>PCN10H21020240718050600</t>
  </si>
  <si>
    <t>20240625001.1</t>
  </si>
  <si>
    <t>1 2540762008 TCA9617BDGKR</t>
  </si>
  <si>
    <t>2024-06-26</t>
  </si>
  <si>
    <t>20240625002</t>
  </si>
  <si>
    <t>PCN10H21020240802035019</t>
  </si>
  <si>
    <t>20240625002.0</t>
  </si>
  <si>
    <t>1 2610933508 TMS320F28377DPTPT
2 2610965008 TMS320F28377DZWTT
3 2610965308 TMS320F28377SPTPT
4 2610965708 TMS320F28075PTPT
5 2611309608 TMS320F28374DPTPT
6 2611312608 TMS320F28379SPZPT
7 2611318208 TMS320F28377DPTPS
8 2611324808 TMS320F28374SZWTT
9 2611353908 TMS320F28376DPTPT
10 2611379808 TMS320F28379DPTPT
11 2633036208 TMS320F2837HDPTPT</t>
  </si>
  <si>
    <t>20240626001</t>
  </si>
  <si>
    <t>Qualification of DMOS6 &amp; RFAB using qualified Process Technology, Die Revision, Datasheet update and additional Assembly/Test site options for select devices</t>
  </si>
  <si>
    <t>2025/01/06</t>
  </si>
  <si>
    <t>PCN10H21020250106095733</t>
  </si>
  <si>
    <t>20240626001.1</t>
  </si>
  <si>
    <t>1 2540536508 UCC27524DR</t>
  </si>
  <si>
    <t>PCN10H21020241129042359</t>
  </si>
  <si>
    <t>20240626001.2(1)</t>
  </si>
  <si>
    <t>1 2540601308M UCC27524A1QDGNRQ1
2 2540602508M UCC27524AQDGNRQ1</t>
  </si>
  <si>
    <t>20240626000</t>
  </si>
  <si>
    <t>Qualification of new Mount Compound for select devices</t>
  </si>
  <si>
    <t>PCN10H21020250106100555</t>
  </si>
  <si>
    <t>20240626001.1(1)</t>
  </si>
  <si>
    <t>1 2540552408 UCC27524DGNR
2 2540601308 UCC27524ADGNR</t>
  </si>
  <si>
    <t>PCN10H21020241202050703</t>
  </si>
  <si>
    <t>20240626000.1</t>
  </si>
  <si>
    <t>1 2540616608 LMG3410R050RWHR
2 2540618308 LMG3411R050RWHR
3 2540619108 LMG3411R150RWHR
4 2540623908 LMG3411R070RWHR</t>
  </si>
  <si>
    <t>PCN10H21020241129041926</t>
  </si>
  <si>
    <t>20240626001.2</t>
  </si>
  <si>
    <t>1 2540602608M UCC27524AQDRQ1</t>
  </si>
  <si>
    <t>2024-06-29</t>
  </si>
  <si>
    <t>20240628012</t>
  </si>
  <si>
    <t>2024/08/23</t>
  </si>
  <si>
    <t>PCN10H21020240823102211</t>
  </si>
  <si>
    <t>20240628012.1</t>
  </si>
  <si>
    <t>1 2500055114 REF02AU/2K5
2 2500491114 REF5050IDR
3 2500491214 REF5025AIDR
4 2500491414 REF5040AIDR
5 2520116414 OPA2244UA/2K5
6 2520144614 INA149AIDR
7 2520172214 OPA2376AIDR
8 2520194914 INA2126U
9 2520247614 OPA2171AIDR
10 2520247714 OPA4171AIDR
11 2520247914 OPA2170AIDR
12 2520268214 OPA4188AIDR
13 2520278014 OPA2209AIDR
14 2520285014 OPA2172IDR
15 2520285114 OPA4172IDR
16 2520285814 OPA2192IDR
17 2520285914 OPA4192IDR
18 2520295014 OPA4197IDR
19 2520296614 OPA2196IDR
20 2522006214 OPA2197IDR</t>
  </si>
  <si>
    <t>20240628011</t>
  </si>
  <si>
    <t>20240628002</t>
  </si>
  <si>
    <t>20240628004</t>
  </si>
  <si>
    <t>2024/08/16</t>
  </si>
  <si>
    <t>PCN10H21020240816042143</t>
  </si>
  <si>
    <t>20240628004.1</t>
  </si>
  <si>
    <t>1 2500496014 TPS74801RGWR
2 25004960DL8 TPS74801RGWR</t>
  </si>
  <si>
    <t>2024/09/04</t>
  </si>
  <si>
    <t>PCN10H21020240904103622</t>
  </si>
  <si>
    <t>20240628011.1</t>
  </si>
  <si>
    <t>1 2540381308 TPS2041BDBVR
2 2540381508 TPS2051BDGNR
3 2540803808 TPS2061DGNR</t>
  </si>
  <si>
    <t>PCN10H21020250408054527</t>
  </si>
  <si>
    <t>20240628002.2</t>
  </si>
  <si>
    <t>1 2600372308M SN74AHC541QPWRQ1</t>
  </si>
  <si>
    <t>2024-06-30</t>
  </si>
  <si>
    <t>20240628014</t>
  </si>
  <si>
    <t>PCN10H21020240802035652</t>
  </si>
  <si>
    <t>20240628014.0</t>
  </si>
  <si>
    <t>1 2540721808 TXS0102DCTR
2 2600136608 SN74LVC2G74DCTR
3 2600167908 SN74LVC1G123DCTR
4 2600189608 SN74LVC3G17DCTR
5 2600196908 SN74LVC2G02DCTR
6 2600210608 SN74LVC3G14DCTR
7 2600248108 SN74LVC3G04DCTR
8 2600259908 SN74LVC2G08DCTR
9 2600370508 SN74LVC2G125DCTR</t>
  </si>
  <si>
    <t>20240628017</t>
  </si>
  <si>
    <t>Qualification of TI Philippines as an additional Assembly site for the Select Devices</t>
  </si>
  <si>
    <t>PCN10H21020240816041412</t>
  </si>
  <si>
    <t>20240628017.1</t>
  </si>
  <si>
    <t>1 2550128308 AM6412BSCGHAALV
2 2550128708 AM6442BSEGGAALV</t>
  </si>
  <si>
    <t>PCN10H21020250901162953</t>
  </si>
  <si>
    <t>20240628017.1A</t>
  </si>
  <si>
    <t>1 2550127508 AM6422BSDGHAALV
2 2550128308 AM6412BSCGHAALV
3 2550128708 AM6442BSEGGAALV</t>
  </si>
  <si>
    <t>20240628016</t>
  </si>
  <si>
    <t>Die Thickness Reduction for the TLV2471QDBVRQ1</t>
  </si>
  <si>
    <t>PCN10H21020241203112156</t>
  </si>
  <si>
    <t>20240628016.2</t>
  </si>
  <si>
    <t>1 2520277214M TLV2471QDBVRQ1</t>
  </si>
  <si>
    <t>2024-07-01</t>
  </si>
  <si>
    <t>20240628007</t>
  </si>
  <si>
    <t>PCN10H21020240816042936</t>
  </si>
  <si>
    <t>20240628007.1</t>
  </si>
  <si>
    <t>1 2500057514 LM5009SDC/NOPB
2 2510443811 LM5035BSQX/NOPB
3 25107117DL8 LM5007SDX/NOPB
4 2510733114 LM5009ASD/NOPB
5 2510901214 LP5521YQ/NOPB
6 25109012CL9 LP5521YQ/NOPB
7 25109012DE LP5521YQX/NOPB
8 2513008714 LM5002SD/NOPB
9 2530304208 LM4991LD/NOPB
10 2540246304 LM5100ASD/NOPB
11 2540246608 LM5101ASD/NOPB
12 2540495304 LM5112SD/NOPB
13 2540522908 LM5106SD/NOPB
14 2540533208 LM34927SDX/NOPB
15 2540561208 LM25066PSQ/NOPB
16 2540583608 LM25066APSQ/NOPB
17 25405836DL8 LM25066APSQ/NOPB
18 2540585608 SN1311034SQE/NOPB
19 2600380208 LMK03328RHSR
20 2600399208 DS15MB200TSQX/NOPB
21 300091100G LM5085SDE/NOPB</t>
  </si>
  <si>
    <t>20240628000</t>
  </si>
  <si>
    <t>20240621000</t>
  </si>
  <si>
    <t>Datasheet for TPS62850x-Q1</t>
  </si>
  <si>
    <t>PCN10H21020240823103926</t>
  </si>
  <si>
    <t>20240628000.1</t>
  </si>
  <si>
    <t>1 2520292514 AMC1200BDWVR</t>
  </si>
  <si>
    <t>20240625003</t>
  </si>
  <si>
    <t>Datasheet for TCA9617A</t>
  </si>
  <si>
    <t>2024-07-03</t>
  </si>
  <si>
    <t>20240524000</t>
  </si>
  <si>
    <t>Datasheet for LMG352xR050</t>
  </si>
  <si>
    <t>20240703000</t>
  </si>
  <si>
    <t>Datasheet for UCC21550x-Q1, UCC21330x, UCC21550x, UCC21330x-Q1</t>
  </si>
  <si>
    <t>PCN10H21020250314093817</t>
  </si>
  <si>
    <t>20240703000.0</t>
  </si>
  <si>
    <t>1 2541506308M UCC21550BQDWRQ1</t>
  </si>
  <si>
    <t>2024-07-19</t>
  </si>
  <si>
    <t>20240715000</t>
  </si>
  <si>
    <t>PCN10H21020250313040006</t>
  </si>
  <si>
    <t>20240715000.2</t>
  </si>
  <si>
    <t>20240716001</t>
  </si>
  <si>
    <t>Datasheet for DS90UB935-Q1, DS90UB953-Q1, DS90UB953A-Q1, TSER953</t>
  </si>
  <si>
    <t>2024-07-24</t>
  </si>
  <si>
    <t>20240723009</t>
  </si>
  <si>
    <t>Qualification of RFAB as an additional Wafer Fab site option for select HPA07 devices</t>
  </si>
  <si>
    <t>20240723008</t>
  </si>
  <si>
    <t>Qualification of AIZU using qualified Process Technology, Die Revision, Datasheet update and additional Assembly Site/BOM options for select devices</t>
  </si>
  <si>
    <t>PCN10H21020241127044754</t>
  </si>
  <si>
    <t>20240723008.2</t>
  </si>
  <si>
    <t>1 2540604208M UCC27201AQDDARQ1
2 2540608108 UCC27211AQDDARQ1</t>
  </si>
  <si>
    <t>2024/12/30</t>
  </si>
  <si>
    <t>PCN10H21020241230022506</t>
  </si>
  <si>
    <t>20240723003</t>
  </si>
  <si>
    <t>Qualification of RFAB using qualified Process Technology, Die Revision, Datasheet and additional Assembly site (MLA) &amp; BOM options for select devices</t>
  </si>
  <si>
    <t>PCN10H21020240816044304</t>
  </si>
  <si>
    <t>20240723009.1</t>
  </si>
  <si>
    <t>1 2520172314 OPA376AIDBVR</t>
  </si>
  <si>
    <t>20240723006</t>
  </si>
  <si>
    <t>Qualification of RFAB using qualified Process Technology, Die Revision, Datasheet update and additional Assembly BOM options for select devices</t>
  </si>
  <si>
    <t>20240723004</t>
  </si>
  <si>
    <t>Qualification of FFAB using qualified Process Technology, Die Revision, and additional Assembly site/BOM options for select devices</t>
  </si>
  <si>
    <t>2024-07-25</t>
  </si>
  <si>
    <t>20240724002</t>
  </si>
  <si>
    <t>2024-07-26</t>
  </si>
  <si>
    <t>20240724001</t>
  </si>
  <si>
    <t>Qualification of an alternate Lead Finish material for select devices</t>
  </si>
  <si>
    <t>PCN10H21020241202055608</t>
  </si>
  <si>
    <t>20240724001.1</t>
  </si>
  <si>
    <t>1 2510627814 BQ771803DPJR
2 2510799214 TPS53626RSMR
3 2540375308 SN75LVCP601RTJR
4 2600279708 SN74GTL2003RKSR
5 2611311608 MSP430FR2433IRGER
6 2626090208 CC2340R52E0RKPR</t>
  </si>
  <si>
    <t>20240725001</t>
  </si>
  <si>
    <t>PCN10H21020241203103956</t>
  </si>
  <si>
    <t>20240725001.2</t>
  </si>
  <si>
    <t>1 2520217314M TLV2402QDGKRQ1
2 2522001214M OPA2320AQDGKRQ1</t>
  </si>
  <si>
    <t>2024/12/13</t>
  </si>
  <si>
    <t>PCN10H21020241213105428</t>
  </si>
  <si>
    <t>20240725001.2[1]</t>
  </si>
  <si>
    <t>PCN10H21020241213110131</t>
  </si>
  <si>
    <t>20240725001.2[2]</t>
  </si>
  <si>
    <t>2024-07-29</t>
  </si>
  <si>
    <t>20240726002</t>
  </si>
  <si>
    <t>Qualification of RFAB using qualified Process Technology, Die Change, and additional BOM options</t>
  </si>
  <si>
    <t>2024-07-31</t>
  </si>
  <si>
    <t>20240730002</t>
  </si>
  <si>
    <t>Qualification of RFAB as an additional Fab site option, Die Revision,  Additional Assembly Site (CDAT, FMX) and BOM options for select devices</t>
  </si>
  <si>
    <t>PCN10H21020241230034913</t>
  </si>
  <si>
    <t>20240730002.1[1]</t>
  </si>
  <si>
    <t>1 2600077908 SN74LVC32ADR
2 2600092408 SN74LVC08ADR
3 2600103908 SN74LVC125ADBR</t>
  </si>
  <si>
    <t>PCN10H21020241230035746</t>
  </si>
  <si>
    <t>20240730002.1[2]</t>
  </si>
  <si>
    <t>PCN10H21020250106033216</t>
  </si>
  <si>
    <t>20240730002.1(1)</t>
  </si>
  <si>
    <t>1 2600077908 SN74LVC32ADR
2 2600092408 SN74LVC08ADR</t>
  </si>
  <si>
    <t>20240729000</t>
  </si>
  <si>
    <t>Datasheet for TLV906x</t>
  </si>
  <si>
    <t>20240729002</t>
  </si>
  <si>
    <t>Datasheet for UCC29002/UCC39002, DAC38RFxx</t>
  </si>
  <si>
    <t>PCN10H21020250106032707</t>
  </si>
  <si>
    <t>20240730002.1</t>
  </si>
  <si>
    <t>1 2600103908 SN74LVC125ADBR</t>
  </si>
  <si>
    <t>2024-08-01</t>
  </si>
  <si>
    <t>20240730003</t>
  </si>
  <si>
    <t>Datasheet for UCC21551-Q1</t>
  </si>
  <si>
    <t>PCN10H21020250314092855</t>
  </si>
  <si>
    <t>20240730003.0</t>
  </si>
  <si>
    <t>1 2541507708M UCC21551CQDWKRQ1</t>
  </si>
  <si>
    <t>2024-08-05</t>
  </si>
  <si>
    <t>20240729001</t>
  </si>
  <si>
    <t>Datasheet for TPS56320x</t>
  </si>
  <si>
    <t>20240729005</t>
  </si>
  <si>
    <t>Datasheet for BUF634</t>
  </si>
  <si>
    <t>20240730004</t>
  </si>
  <si>
    <t>Datasheet for TMP102, TMP112x, TMP1075, SN1608035 and SN1710027</t>
  </si>
  <si>
    <t>2024-08-06</t>
  </si>
  <si>
    <t>20240806003</t>
  </si>
  <si>
    <t>Qualification of DFAB as an additional Wafer Fab site option for select devices</t>
  </si>
  <si>
    <t>PCN10H21020240816045004</t>
  </si>
  <si>
    <t>20240806003.1</t>
  </si>
  <si>
    <t>1 2510354014 CD4541BM96
2 2510354114 CD4541BE
3 2600140808 CD4013BNSR
4 2600255008 CD4504BM96
5 2600255108 CD4504BPWR
6 2600357408 CD40109BPWR
7 2600382008 CD4060BM96
8 2610174031 CD40106BE</t>
  </si>
  <si>
    <t>20240805007</t>
  </si>
  <si>
    <t>Datasheet for SN74LV1T04, SN74LV1T08, SN74LV1T02, SN74LV1T32, SN74LV1T86, SN74LV1T34, and SN74LV1T126</t>
  </si>
  <si>
    <t>2024-08-07</t>
  </si>
  <si>
    <t>20240806005</t>
  </si>
  <si>
    <t>Qualification of FFAB using qualified Process Technology, Die Revision, and Assembly BOM options for select devices</t>
  </si>
  <si>
    <t>2024/10/17</t>
  </si>
  <si>
    <t>PCN10H21020241017032512</t>
  </si>
  <si>
    <t>20240806005.2</t>
  </si>
  <si>
    <t>1 2520290014M INA148QDRQ1</t>
  </si>
  <si>
    <t>20240806006</t>
  </si>
  <si>
    <t>20240806004</t>
  </si>
  <si>
    <t>PCN10H21020241230045749</t>
  </si>
  <si>
    <t>20240806004.1</t>
  </si>
  <si>
    <t>1 2500102614 LP2951-50DR
2 2500252314 LP2951-33DR</t>
  </si>
  <si>
    <t>20240730005</t>
  </si>
  <si>
    <t>Datasheet for CC2340R</t>
  </si>
  <si>
    <t>2024-08-14</t>
  </si>
  <si>
    <t>20240813004</t>
  </si>
  <si>
    <t>Datasheet for LP295x</t>
  </si>
  <si>
    <t>20240813001</t>
  </si>
  <si>
    <t>Qualification of additional low-COP wafer substrate type for select F65 products</t>
  </si>
  <si>
    <t>2025/02/26</t>
  </si>
  <si>
    <t>PCN10H21020250226031321</t>
  </si>
  <si>
    <t>20240813001.2</t>
  </si>
  <si>
    <t>20240813006</t>
  </si>
  <si>
    <t>Datasheet for SN74AHCT1G86, SN74AHCT1G32-Q1, SN74AHC1G32-Q1, SN74AHC1G86-Q1, SN74AHC1G32, SN74LV1T08, SN74AHCT1G08, SN74LV1T126, SN74AHCT1G32, SN74AHC1G86, SN74LV1T00, SN74LV1T34, SN74AHCT1G02, SN74AHC1G126, SN74LV1T04, SN74LV1T86, SN74AHCT1G00, SN74AHCT1G14, SN74AHCT1G126, SN74LV1T32</t>
  </si>
  <si>
    <t>2024-08-16</t>
  </si>
  <si>
    <t>20240813003</t>
  </si>
  <si>
    <t>Qualification of RFAB for select LBC7 devices</t>
  </si>
  <si>
    <t>PCN10H21020240823101611</t>
  </si>
  <si>
    <t>20240813003.1</t>
  </si>
  <si>
    <t>1 2540360808 TPS2553DRVR</t>
  </si>
  <si>
    <t>2024-08-20</t>
  </si>
  <si>
    <t>20240814000</t>
  </si>
  <si>
    <t>Datasheet for LM4040 and LM4041</t>
  </si>
  <si>
    <t>PCN10H21020250314114614</t>
  </si>
  <si>
    <t>20240814000.0</t>
  </si>
  <si>
    <t>1 2500050014 LM4040D25IDBZR
2 2500050314 LM4040C50IDBZR
3 2500050814 LM4040C25IDBZR
4 2500050914 LM4040C82IDBZR
5 2500323214 LM4040B41IDBZR
6 2500323814 LM4040A30IDBZR
7 2500379114 LM4040B50IDBZR
8 2500379614 LM4040D41IDBZR
9 2500446114M LM4041C12QDBZR
10 2500446514 LM4041A12IDCKR
11 2500459314 LM4040C50QDBZR
12 2500459514 LM4040C20QDBZR
13 2500549114 LM4040D30IDBZR
14 2500549214 LM4040D50IDBZR</t>
  </si>
  <si>
    <t>20240814002</t>
  </si>
  <si>
    <t>Datasheet for DRV8705-Q1, TPS769-Q1, SN74LV240A, TPS7A20, and HDC302x</t>
  </si>
  <si>
    <t>PCN10H21020250314014021</t>
  </si>
  <si>
    <t>20240814002.0</t>
  </si>
  <si>
    <t>1 2500529614 TPS76901QDBVRQ1
2 2500665614 TPS7A20105PDQNR</t>
  </si>
  <si>
    <t>2024-08-21</t>
  </si>
  <si>
    <t>20240819002</t>
  </si>
  <si>
    <t>Datasheet for TS3USB221E, UCC21756-Q1, UCC21755-Q1, UCC21737-Q1. UCC21717-Q1, and UCC21710-Q1</t>
  </si>
  <si>
    <t>2024-08-22</t>
  </si>
  <si>
    <t>20240822001</t>
  </si>
  <si>
    <t>Datasheet for SN74LVC1T45, SN74LVC2T45, SN74LVC2T45-Q1, SN74LVC1T45-Q1</t>
  </si>
  <si>
    <t>PCN10H21020250314021530</t>
  </si>
  <si>
    <t>20240822001.0</t>
  </si>
  <si>
    <t>1 2600268308 SN74LVC2T45DCTR
2 2600272508M SN74LVC2T45QDCURQ1
3 2600272608M SN74LVC1T45QDCKRQ1
4 2600375108 SN74LVC1T45DCKR
5 26003751MI SN74LVC1T45DCKR</t>
  </si>
  <si>
    <t>20240822003</t>
  </si>
  <si>
    <t>TMUX62XX, TMUX72xx Design Change and Datasheet Updates</t>
  </si>
  <si>
    <t>20240822004</t>
  </si>
  <si>
    <t>Datasheet for TUSB1002A, TMUX405x, and TMAG5273</t>
  </si>
  <si>
    <t>2024-08-23</t>
  </si>
  <si>
    <t>20240821000</t>
  </si>
  <si>
    <t>Datasheet for TPS6280x and LM63635-Q1</t>
  </si>
  <si>
    <t>2024-08-26</t>
  </si>
  <si>
    <t>20240826005</t>
  </si>
  <si>
    <t>Qualification of RFAB using qualified Process Technology &amp; Die Change</t>
  </si>
  <si>
    <t>PCN10H21020240904101212</t>
  </si>
  <si>
    <t>20240826005.1</t>
  </si>
  <si>
    <t>1 2520050814 LM2903AVQPWR
2 2520167914 LM2903PWR
3 2520256414 LM393APWR
4 2522019614 LM2903BIPWR</t>
  </si>
  <si>
    <t>20240826002</t>
  </si>
  <si>
    <t>20240823003</t>
  </si>
  <si>
    <t>Datasheet for TUSB4041I-Q1</t>
  </si>
  <si>
    <t>20240823000</t>
  </si>
  <si>
    <t>Carrier Tape Cavity Pitch Change for select Device</t>
  </si>
  <si>
    <t>PCN10H21020240904101836</t>
  </si>
  <si>
    <t>20240826002.1</t>
  </si>
  <si>
    <t>1 2500172214 TL431BIDR
2 2500278314 TL431ACDR</t>
  </si>
  <si>
    <t>2024-08-28</t>
  </si>
  <si>
    <t>20240808000</t>
  </si>
  <si>
    <t>Datasheets for SNx4AHCT04, SNx4AHC14, SNx4AHCT14, SNx4AHC86, SNx4AHC74, SNx4AHCT125 and SNx4AHCT132</t>
  </si>
  <si>
    <t>2024-08-29</t>
  </si>
  <si>
    <t>20240826012</t>
  </si>
  <si>
    <t>PCN10H21020250220051144</t>
  </si>
  <si>
    <t>20240826012.0</t>
  </si>
  <si>
    <t>1 2500279011 LP2996MRX/NOPB
2 2500279411 LP2998MRX/NOPB
3 2510004306 UC3842ADTR
4 2510005614 UC3843AD8TR
5 2510017414 UC3845AD8TR
6 2510017614 UC3845ADTR
7 2510069214 UC2842AD8TR
8 2510069614 UCC28C42DR
9 2510074114 UC2844ADTR
10 2510074614 UC2844AD8TRG4
11 2510074714 UCC28C44DR
12 2510129114 UC2843D8TR
13 2510129214 UC2843DTR
14 2510129414 UC2843AD8TR
15 2510129714 UCC28C43DR
16 2510129814 UC2843ADTR
17 2510129914 UCC28C40DR
18 2510154006 UCC2813DTR-5
19 2510154306 UCC2813DTR-1
20 2510155614 UCC28063DR
21 2510237414 UCC28C45DR
22 2510252114 UCC3818DTR
23 2510252314 UCC2818DTR
24 2510257514 UC2845AD8TR
25 2510280314 UCC3808ADTR-1
26 2510280414 UCC2809DTR-1
27 2510280614 UCC3808ADTR-2
28 2510287414 UCC2808ADTR-2
29 2510576414 UCC2818ADR
30 2510762614 UCC2808DTR-2
31 2510768814 LM5017MRX/NOPB
32 2510840514 TPS25921ADR
33 2510988614 UCC256404ADDBR
34 2513077514 UCC3804DTR
35 2521502214 INA240A3DR
36 2540059608 UCC27424DR
37 2540059708 UCC27423DR
38 2540394008 UCC27324DR
39 2540495208 UCC27200DR
40 2540495608 UCC27201DR
41 2540533108 LM34927MRX/NOPB
42 2540536108 UCC27425DR
43 2540536608 UCC27200ADR
44 2540586008 TCAN1051HGVDR
45 2540604808 UCC27201ADR
46 2540606508 UCC27325DR
47 2540618808M UCC27425QDRQ1
48 2540715708 TCAN1042HGVDR
49 2540715708M TCAN1042HGVDRQ1
50 2540722608M TCAN1051DRQ1
51 2540722708M TCAN1051VDRQ1
52 2540729608 THVD1450DR
53 2540757708M TCAN1051GVDRQ1
54 2540762508 TCAN1042HVDR
55 2540774308 THVD1410DR
56 2540789708M TCAN1051GDRQ1</t>
  </si>
  <si>
    <t>20240725000</t>
  </si>
  <si>
    <t>Datasheet for TCAN1043xx-Q1</t>
  </si>
  <si>
    <t>PCN10H21020250314092233</t>
  </si>
  <si>
    <t>20240725000.0</t>
  </si>
  <si>
    <t>1 2540726008M TCAN1043GDMTRQ1
2 2540740408M TCAN1043GDRQ1</t>
  </si>
  <si>
    <t>20240829001</t>
  </si>
  <si>
    <t>Qualification of new fab (RFAB), Die shrink &amp; BOM options for select devices</t>
  </si>
  <si>
    <t>2024/09/25</t>
  </si>
  <si>
    <t>PCN10H21020240925022942</t>
  </si>
  <si>
    <t>20240829001.2</t>
  </si>
  <si>
    <t>1 2540618708M SN21530QDWKRQ1</t>
  </si>
  <si>
    <t>20240827002</t>
  </si>
  <si>
    <t>Qualification of RFAB as an additional Fab site option and Assembly Site (CDAT) options for select devices</t>
  </si>
  <si>
    <t>PCN10H21020241231011220</t>
  </si>
  <si>
    <t>20240827002.1</t>
  </si>
  <si>
    <t>1 2510770114 TPS56C215RNNR</t>
  </si>
  <si>
    <t>20240819000</t>
  </si>
  <si>
    <t>Datasheet for DRV8411A, and UCC5350-Q1</t>
  </si>
  <si>
    <t>PCN10H21020250314015410</t>
  </si>
  <si>
    <t>20240819000.0</t>
  </si>
  <si>
    <t>1 2540794208M UCC5350MCQDRQ1
2 2541501008M UCC5350MCQDWVRQ1</t>
  </si>
  <si>
    <t>2024-08-30</t>
  </si>
  <si>
    <t>20240830001</t>
  </si>
  <si>
    <t>Qualification of TI Mexico as an additional assembly/test site for select devices</t>
  </si>
  <si>
    <t>PCN10H21020241203015545</t>
  </si>
  <si>
    <t>20240830001.2</t>
  </si>
  <si>
    <t>1 2500579014M TPS7B4254QDDARQ1
2 2500579114M TPS7B4253QDDARQ1
3 2500646414M TPS7B8633QDDARQ1
4 2500646514M TPS7B8601QDDARQ1
5 2510778114M LMR23625CQDDARQ1</t>
  </si>
  <si>
    <t>20240829005</t>
  </si>
  <si>
    <t>Datasheet for CDCE913-Q1 and CDCEL913-Q1, and CDCE(L)913</t>
  </si>
  <si>
    <t>2024-09-03</t>
  </si>
  <si>
    <t>20240902000</t>
  </si>
  <si>
    <t>Datasheet for SNx4ACT74, SNx4AC74, SNx4ACT00, SNx4AC00, SNx4ACT10, SNx4AC32, SNx4AC10, SN74ACT32, SNx4ACT11, SNx4AC11, SNx4AC86, SNx4ACT86, SNx4ACT08, SNx4AC08, SN74ACT10-Q1, SN74AC08-Q1, CDx4AC74, CD74AC251, CDx4AC257, CDx4ACT257, CD74ACT258. CDx4AC00, CDx4AC02, CDx4AC08, CDx4ACT00, CDx4ACT08, CDx4ACT74, CD74AC151, CDx4AC153, CDx4ACT151, CD74ACT157, CDx4ACT322, CDx4AC32</t>
  </si>
  <si>
    <t>PCN10H21020250317102220</t>
  </si>
  <si>
    <t>20240902000.0</t>
  </si>
  <si>
    <t>1 2600015108 SN74AC11DR
2 2600147508 SN74AC32PWR
3 2600259008 SN74AC08PWR
4 2600361108 SN74AC74PWR
5 2600366208M SN74AC08QPWRG4Q1</t>
  </si>
  <si>
    <t>2024-09-04</t>
  </si>
  <si>
    <t>20240902002</t>
  </si>
  <si>
    <t>Datasheet for OPAx134</t>
  </si>
  <si>
    <t>2024-09-11</t>
  </si>
  <si>
    <t>20240910002</t>
  </si>
  <si>
    <t>Qualification of FFAB using qualified Process Technology, Die Revision, &amp; BOM options for select devices</t>
  </si>
  <si>
    <t>20240910000</t>
  </si>
  <si>
    <t>Qualification of RFAB using qualified Process Technology, Die Change &amp; BOM update</t>
  </si>
  <si>
    <t>2025/01/22</t>
  </si>
  <si>
    <t>PCN10H21020250122042852</t>
  </si>
  <si>
    <t>20240910000.2</t>
  </si>
  <si>
    <t>1 2520050814M LM2903AVQPWRQ1
2 2522007814M LM2903BQPWRQ1</t>
  </si>
  <si>
    <t>20240903000</t>
  </si>
  <si>
    <t>Datasheet for PCF8575</t>
  </si>
  <si>
    <t>20240910001</t>
  </si>
  <si>
    <t>Qualification of RFAB using qualified Process Technologies, Die Revision, additional Assembly site (CDAT) and BOM options for select</t>
  </si>
  <si>
    <t>2024-09-12</t>
  </si>
  <si>
    <t>20240912000</t>
  </si>
  <si>
    <t>Qualification of additional Assembly sites for select TSSOP devices</t>
  </si>
  <si>
    <t>PCN10H21020250226033253</t>
  </si>
  <si>
    <t>20240912000.1</t>
  </si>
  <si>
    <t>1 2520017114 LMV324IPWR
2 2540176308 MAX3232CPWR
3 25401763YA8 MAX3232CPWR
4 2540357308 MAX3221EIPWR
5 2540719608 MAX3221IPWR
6 2540762808 MAX3232IPWR
7 2600050808 SN74LV165APWR
8 2600064408 SN74HC595PWR
9 2600064708 SN74LV595APWR
10 2600088308 SN74LV14APWR
11 2600091108 SN74AHC14PWR
12 2600092808 SN74LV08APWR
13 2600092908 SN74HC08PWR
14 2600101408 SN74AHCT08PWR
15 2600101708 SN74AHC08PWR
16 2600147308 SN74LV32APWR
17 2600185308 SN74CBT3257CPWR
18 2600223208 CD74HC4094PWR
19 2600271908 SN74AHC595PWR
20 2600367408 SN74HC00PWR
21 2600370008 SN74AHCT125PWR
22 2600371408 SN74LV07APWR</t>
  </si>
  <si>
    <t>20240911002</t>
  </si>
  <si>
    <t>2024-09-19</t>
  </si>
  <si>
    <t>20240911001</t>
  </si>
  <si>
    <t>2024-09-23</t>
  </si>
  <si>
    <t>20240921001</t>
  </si>
  <si>
    <t>Datasheet for TLV1704-SEP, AWR2943/AWR2944, LP5813, TPS3813, TUSB542</t>
  </si>
  <si>
    <t>2024-09-25</t>
  </si>
  <si>
    <t>20240923007</t>
  </si>
  <si>
    <t>Datasheet for AMC3330 and AMC3330-Q1</t>
  </si>
  <si>
    <t>PCN10H21020250314034411</t>
  </si>
  <si>
    <t>20240923007.0</t>
  </si>
  <si>
    <t>1 2522015114M AMC3330QDWERQ1
2 2522032614 AMC3330DWER</t>
  </si>
  <si>
    <t>20240923006</t>
  </si>
  <si>
    <t>Datasheet for TPS2663x</t>
  </si>
  <si>
    <t>20240923004</t>
  </si>
  <si>
    <t>Datasheet for LMK03328</t>
  </si>
  <si>
    <t>2024-09-26</t>
  </si>
  <si>
    <t>20240922001</t>
  </si>
  <si>
    <t>Datasheet for SN74AHC1G00, SN74AHC1G08, SN74AHC1G04, SN74AHC1G14, SN74AHC1G02, SN74AHC1G125, SN74AHC1G04-Q1, SN74AHC1G09, SN74AHC1G00-Q1</t>
  </si>
  <si>
    <t>2024/12/16</t>
  </si>
  <si>
    <t>PCN10H21020241216013336</t>
  </si>
  <si>
    <t>20240922001.0.A</t>
  </si>
  <si>
    <t>1 2600091508 SN74AHC1G14DCKR
2 2600103408 SN74AHC1G125DCKR
3 2600104608 SN74AHC1G02DBVR
4 2600181008 SN74AHC1G125DBVR
5 2600192508 SN74AHC1G04DCKR
6 2600196108 SN74AHC1G02DCKR
7 2600259408 SN74AHC1G09DBVR
8 26002594DL8 SN74AHC1G09DBVR
9 2600366108 SN74AHC1G09DCKR
10 26003661DL8 SN74AHC1G09DCKR
11 2600366608 SN74AHC1G08QDBVRQ1
12 2600366608M SN74AHC1G08QDBVRQ1
13 2610290108 SN74AHC1G08DBVR
14 2610290308 SN74AHC1G08DCKR</t>
  </si>
  <si>
    <t>2025/03/25</t>
  </si>
  <si>
    <t>PCN10H21020250325033359</t>
  </si>
  <si>
    <t>1 2600091508 SN74AHC1G14DCKR
2 2600103408 SN74AHC1G125DCKR
3 2600104608 SN74AHC1G02DBVR
4 2600181008 SN74AHC1G125DBVR
5 2600192508 SN74AHC1G04DCKR
6 2600196108 SN74AHC1G02DCKR
7 2600259408 SN74AHC1G09DBVR
8 26002594DE SN74AHC1G09DBVR
9 26002594DL8 SN74AHC1G09DBVR
10 2600366108 SN74AHC1G09DCKR
11 26003661DE SN74AHC1G09DCKR
12 26003661DL8 SN74AHC1G09DCKR
13 2600366608 SN74AHC1G08QDBVRQ1
14 2600366608M SN74AHC1G08QDBVRQ1
15 2610290108 SN74AHC1G08DBVR
16 2610290308 SN74AHC1G08DCKR
17 XXPA2600366108 SN74AHC1G09DCKR</t>
  </si>
  <si>
    <t>2024-10-01</t>
  </si>
  <si>
    <t>20240930001</t>
  </si>
  <si>
    <t>Qualification of RFAB using qualified Process Technology, Die Change, Assembly site (MLA) change &amp; BOM update for select devices</t>
  </si>
  <si>
    <t>2024/11/04</t>
  </si>
  <si>
    <t>PCN10H21020241104115853</t>
  </si>
  <si>
    <t>20240930001.1</t>
  </si>
  <si>
    <t>1 2520012514 LM2903DGKR
2 2520090914 LM293ADGKR
3 2520131414 LM393DGKR
4 2520131914 LM393ADGKR
5 2522019014 LM2903BIDGKR
6 2522019514 LM393BIDGKR</t>
  </si>
  <si>
    <t>20240930009</t>
  </si>
  <si>
    <t>Qualification of RFAB using qualified Process Technology, Die Revision, &amp; Assembly (TI Mexico &amp; TI Malaysia) &amp; BOM options for select devices</t>
  </si>
  <si>
    <t>20240930002</t>
  </si>
  <si>
    <t>Qualification of RFAB using qualified Process Technology, Die Revision and additional Assembly Site &amp; BOM options for select devices</t>
  </si>
  <si>
    <t>PCN10H21020241230030058</t>
  </si>
  <si>
    <t>20240930002.1</t>
  </si>
  <si>
    <t>1 2540065608 PCF8574APWR</t>
  </si>
  <si>
    <t>2024-10-02</t>
  </si>
  <si>
    <t>20240930007</t>
  </si>
  <si>
    <t>Datasheet for LMC648x</t>
  </si>
  <si>
    <t>20241001003</t>
  </si>
  <si>
    <t>Qualification of additional Assembly sites for select devices in the LQFP package</t>
  </si>
  <si>
    <t>20241001001</t>
  </si>
  <si>
    <t>Discontinuance of DRV10963</t>
  </si>
  <si>
    <t>20240930003</t>
  </si>
  <si>
    <t>Datasheet for PCF8574 and PCF8574A</t>
  </si>
  <si>
    <t>PCN10H21020241225045959</t>
  </si>
  <si>
    <t>20241001003.1</t>
  </si>
  <si>
    <t>1 2620244109 DP83848IVV/NOPB</t>
  </si>
  <si>
    <t>2024-10-03</t>
  </si>
  <si>
    <t>20241001000</t>
  </si>
  <si>
    <t>2024-10-08</t>
  </si>
  <si>
    <t>20241004002</t>
  </si>
  <si>
    <t>Datasheet for SNx4AC240, SN74AC241, SNx4AC244, SNx4ACT240, SNx4ACT241, SNx4ACT244, SN74ACT574, SNx4ACT573, SNx4AC373, SNx4AC574, SN74AC573, SNx4AC374, SNx4ACT373, SN74ACT564, SN74AC564, SN74AC534, SN74AC240-Q1, CDx4AC273, CDx4ACT273, CD74AC540, CDx4ACT54x, CDx4AC541, CDx4AC24x, CDx4ACT24x, CDx4AC373, CDx4ACT373, CDx4AC374, CDx4ACT374, CD74AC534, CDx4AC574, CDx4ACT574</t>
  </si>
  <si>
    <t>PCN10H21020241203044507</t>
  </si>
  <si>
    <t>20241004002.0.A</t>
  </si>
  <si>
    <t>1 2600212208 SN74ACT240PWR
2 2600354008 SN74ACT244PWR</t>
  </si>
  <si>
    <t>20241004001</t>
  </si>
  <si>
    <t>Datasheet for LP50xx</t>
  </si>
  <si>
    <t>2024-10-10</t>
  </si>
  <si>
    <t>20241010000</t>
  </si>
  <si>
    <t>Datasheet for LM3481-Q1</t>
  </si>
  <si>
    <t>PCN10H21020250314040637</t>
  </si>
  <si>
    <t>20241010000.0</t>
  </si>
  <si>
    <t>1 2510364714M LM3481QMMX/NOPB
2 XXW251036471400 LM3481QMM/NOPB</t>
  </si>
  <si>
    <t>2024-10-16</t>
  </si>
  <si>
    <t>20241015000</t>
  </si>
  <si>
    <t>2025/04/11</t>
  </si>
  <si>
    <t>PCN10H21020250411032907</t>
  </si>
  <si>
    <t>20241015000.2</t>
  </si>
  <si>
    <t>1 2510069714 UC2842AQD8R
2 2510074814 UC2844AQD8R
3 2510237814M UC2845AQD8R
4 2510257914M UC2843AQD8RQ1</t>
  </si>
  <si>
    <t>2026/05/27</t>
  </si>
  <si>
    <t>PCN10H21020260527005241</t>
  </si>
  <si>
    <t>1 2510069714 UC2842AQD8R
2 2510074814 UC2844AQD8R</t>
  </si>
  <si>
    <t>PCN10H21020260527005823</t>
  </si>
  <si>
    <t>1 2510237814M UC2845AQD8R
2 2510257914M UC2843AQD8RQ1</t>
  </si>
  <si>
    <t>20241015003</t>
  </si>
  <si>
    <t>Qualification of RFAB using qualified Process Technology, Die Revision, &amp; Assembly site (TI Mexico) &amp; BOM options for select devices</t>
  </si>
  <si>
    <t>PCN10H21020241231040349</t>
  </si>
  <si>
    <t>20241015003.1[1]</t>
  </si>
  <si>
    <t>1 2510004306 UC3842ADTR
2 2510005614 UC3843AD8TR
3 2510017414 UC3845AD8TR
4 2510069214 UC2842AD8TR
5 2510074114 UC2844ADTR
6 2510074614 UC2844AD8TRG4
7 2510129114 UC2843D8TR
8 2510129414 UC2843AD8TR
9 2510129814 UC2843ADTR
10 2510257514 UC2845AD8TR</t>
  </si>
  <si>
    <t>2026/06/08</t>
  </si>
  <si>
    <t>PCN10H21020260608002502</t>
  </si>
  <si>
    <t>20241015003.1</t>
  </si>
  <si>
    <t>1 2510004306 UC3842ADTR
2 2510005614 UC3843AD8TR
3 2510017414 UC3845AD8TR
4 2510069214 UC2842AD8TR
5 2510074014 UC2844N
6 2510074114 UC2844ADTR
7 2510074614 UC2844AD8TR
8 2510129114 UC2843D8TR
9 2510129414 UC2843AD8TR
10 2510129814 UC2843ADTR
11 2510257514 UC2845AD8TR</t>
  </si>
  <si>
    <t>20241014000</t>
  </si>
  <si>
    <t>Datasheet for TPS56320x and TPS56220x</t>
  </si>
  <si>
    <t>20241015004</t>
  </si>
  <si>
    <t>Qualification of RFAB using qualified Process Technology, Die Revision, and additional Assembly Site &amp; BOM options for select devices</t>
  </si>
  <si>
    <t>2024-10-17</t>
  </si>
  <si>
    <t>20241015001</t>
  </si>
  <si>
    <t>Datasheet for TPS732 and TPS736</t>
  </si>
  <si>
    <t>20241015002</t>
  </si>
  <si>
    <t>Datasheet for UCx84xA, TLx84x, TLx84xB and UC2842AQ, UC2843AQ, UC2844AQ, UC2845AQ, UC2843A-Q1</t>
  </si>
  <si>
    <t>PCN10H21020250314053135</t>
  </si>
  <si>
    <t>20241015002.2</t>
  </si>
  <si>
    <t>2024-10-28</t>
  </si>
  <si>
    <t>20241007002</t>
  </si>
  <si>
    <t>Datasheet for SNx4AHC138, SN74AHC139, SNx4AHCT138, SNx4AHC157, SN74AHC595, SNx4AHCT595, SN74AHCT594, SN74AHCT367, SN74AHCT174, SN74AHC367, SN74AHC174</t>
  </si>
  <si>
    <t>20241022002</t>
  </si>
  <si>
    <t>Datasheet for SN74LV4053A-Q1 and SN74LV4052A-Q1</t>
  </si>
  <si>
    <t>PCN10H21020241203035612</t>
  </si>
  <si>
    <t>20241007002.0</t>
  </si>
  <si>
    <t>1 2600398108 SN74AHCT367PWR</t>
  </si>
  <si>
    <t>2024-11-01</t>
  </si>
  <si>
    <t>20241030002</t>
  </si>
  <si>
    <t>Qualification of RFAB &amp; MIHO8 Fabs using qualified Process Technologies, Die Revisions, New Assembly site (MLA) &amp; BOM options for select devices</t>
  </si>
  <si>
    <t>20241101000</t>
  </si>
  <si>
    <t>2024-11-05</t>
  </si>
  <si>
    <t>20241028000</t>
  </si>
  <si>
    <t>Datasheet for TPS737</t>
  </si>
  <si>
    <t>PCN10H21020241203053407</t>
  </si>
  <si>
    <t>20241028000.0</t>
  </si>
  <si>
    <t>1 2500375414 TPS73701DRBR</t>
  </si>
  <si>
    <t>20241101001</t>
  </si>
  <si>
    <t>Datasheet for TS3USB221A and TS3USB221</t>
  </si>
  <si>
    <t>2024-11-07</t>
  </si>
  <si>
    <t>20240808002</t>
  </si>
  <si>
    <t>Datasheets for SNx4AHC00, SNx4AHCT04, SNx4AHCT08, SNx4AHC02, SNx4AHC74, SNx4AHC125, SNx4AHC126, SNx4AHCT02, SNx4AHCT74, SNx4AHCT125, SNx4AHCT126, SN74AHC132, SN74AHCT126-Q1, SN74AHCT125-Q1, SN74AHCT32-Q1, SN74AHCT00Q-Q1, SN74AHC14Q-Q1, SN74AHC32Q-Q1, SN74AHC74Q-Q1, SN74AHCT08Q-Q1, SN74AHCT14Q-Q1, SNx4AHC14, and SNx4AHC08</t>
  </si>
  <si>
    <t>PCN10H21020241205044800</t>
  </si>
  <si>
    <t>20240808002.0</t>
  </si>
  <si>
    <t>1 2600088708M SN74AHCT14QPWRQ1
2 2600091108M SN74AHC14QPWRQ1
3 2600106508M SN74AHC32QPWRQ1
4 2600263908M SN74AHC32QDRQ1
5 2600348108 SN74AHC132PWR
6 2600348208 SN74AHC132DR</t>
  </si>
  <si>
    <t>PCN10H21020241213024518</t>
  </si>
  <si>
    <t>20240808002.0.A</t>
  </si>
  <si>
    <t>PCN10H21020241224053604</t>
  </si>
  <si>
    <t>20240808002.0.A(1)</t>
  </si>
  <si>
    <t>20241106000</t>
  </si>
  <si>
    <t>Qualification of RFAB as additional Fab site for select LBC9 devices</t>
  </si>
  <si>
    <t>PCN10H21020241205045651</t>
  </si>
  <si>
    <t>20241106000.1</t>
  </si>
  <si>
    <t>1 2540627008 UCC27624DR</t>
  </si>
  <si>
    <t>PCN10H21020250226034752</t>
  </si>
  <si>
    <t>20241106000.2</t>
  </si>
  <si>
    <t>1 2540625608M UCC27624QDRQ1</t>
  </si>
  <si>
    <t>2024-11-08</t>
  </si>
  <si>
    <t>20241104000</t>
  </si>
  <si>
    <t>Datasheet for SNx4ACT04, SNx4AC04, SNx4AC14, SNx4ACT14, SN74AC04-Q1, SN74AC14-Q1, CDx4AC04, CDx4AC05, CDx4ACT04, CDx4ACT05, CD74ACT14</t>
  </si>
  <si>
    <t>2024-11-11</t>
  </si>
  <si>
    <t>PCN10H21020241230051621</t>
  </si>
  <si>
    <t>20240822003.2</t>
  </si>
  <si>
    <t>1 2600512008M TMUX6219DGKRQ1</t>
  </si>
  <si>
    <t>2024-11-13</t>
  </si>
  <si>
    <t>20241112000</t>
  </si>
  <si>
    <t>Qualification of new fab (RFAB), Die shrink &amp;/or BOM options for select devices</t>
  </si>
  <si>
    <t>PCN10H21020241224052545</t>
  </si>
  <si>
    <t>20241112000.1</t>
  </si>
  <si>
    <t>1 2540597808 UCC21220DR
2 2540709608 UCC21220ADR
3 2540715608 UCC21520DWR
4 2540723308 UCC21520ADWR
5 2540728208 UCC21540ADWKR
6 2540739508 UCC21222DR
7 2540764808 UCC21530DWKR
8 2540767308 UCC21540DWR</t>
  </si>
  <si>
    <t>2026/04/07</t>
  </si>
  <si>
    <t>PCN10H21020260407161104</t>
  </si>
  <si>
    <t>2026/04/08</t>
  </si>
  <si>
    <t>2024-11-18</t>
  </si>
  <si>
    <t>20241115004</t>
  </si>
  <si>
    <t>Datasheet for TL331B, TL391B and TL331</t>
  </si>
  <si>
    <t>2024/12/04</t>
  </si>
  <si>
    <t>PCN10H21020241204015508</t>
  </si>
  <si>
    <t>20241115004.0</t>
  </si>
  <si>
    <t>1 2520118114 TL391BIDBVR
2 2520170214 TL331IDBVR
3 2520269014 TL331KDBVR
4 2522015514 TL331BIDBVR</t>
  </si>
  <si>
    <t>20241115008</t>
  </si>
  <si>
    <t>Datasheet for TS3USB30E</t>
  </si>
  <si>
    <t>20241115007</t>
  </si>
  <si>
    <t>Datasheet for HDC302x-Q1</t>
  </si>
  <si>
    <t>PCN10H21020241204034606</t>
  </si>
  <si>
    <t>20241115007.0</t>
  </si>
  <si>
    <t>1 X51225400230M HDC3020QDEFRQ1</t>
  </si>
  <si>
    <t>2024-11-19</t>
  </si>
  <si>
    <t>20241115002</t>
  </si>
  <si>
    <t>PCN10H21020250305050816</t>
  </si>
  <si>
    <t>20241115002.2</t>
  </si>
  <si>
    <t>1 2513014214M LP875640RNFRQ1
2 2513015014M LP87565CRNFRQ1
3 25130150GL9M LP87565CRNFRQ1
4 2513064214 LP87524JRNFRQ1</t>
  </si>
  <si>
    <t>20241115003</t>
  </si>
  <si>
    <t>20241115000</t>
  </si>
  <si>
    <t>Datasheet for DP83867IR/CR and DP83867E/IS/CS</t>
  </si>
  <si>
    <t>PCN10H21020241204012325</t>
  </si>
  <si>
    <t>20241115003.0</t>
  </si>
  <si>
    <t>1 2540541208 TXS0108EPWR
2 2540541808 TXS0108ERGYR
3 300135300G TXS0108ERGYR</t>
  </si>
  <si>
    <t>PCN10H21020241204010710</t>
  </si>
  <si>
    <t>20241115000.0</t>
  </si>
  <si>
    <t>1 2620244308 DP83867IRRGZR
2 2620507308 DP83867ERGZR
3 2620512108 DP83867CRRGZR
4 300144100G DP83867IRRGZR</t>
  </si>
  <si>
    <t>2024-11-20</t>
  </si>
  <si>
    <t>20241119008</t>
  </si>
  <si>
    <t>20241119009</t>
  </si>
  <si>
    <t>Qualification of RFAB &amp; MIHO8 Fabs using qualified Process Technologies, Die Revision, Datasheet, and new Assembly/Test site (MLA) &amp; BOM options for select devices</t>
  </si>
  <si>
    <t>20241119002</t>
  </si>
  <si>
    <t>Qualification of RFAB using qualified Process Technology, Die Revision,  Assembly/Test site (MLA) &amp; alternate BOM qualification for select devices</t>
  </si>
  <si>
    <t>2025/04/03</t>
  </si>
  <si>
    <t>PCN10H21020250403083841</t>
  </si>
  <si>
    <t>20241119002.2</t>
  </si>
  <si>
    <t>1 2520036414 LM2902KAVQDRQ1</t>
  </si>
  <si>
    <t>20241119003</t>
  </si>
  <si>
    <t>Qualification of RFAB using qualified Process Technology, Die Revision,  Assembly site (MLA &amp; FMX) &amp; alternate BOM qualification for select devices</t>
  </si>
  <si>
    <t>PCN10H21020241231044210</t>
  </si>
  <si>
    <t>20241119003.1</t>
  </si>
  <si>
    <t>1 2520016014 LM324N
2 2520016214 LM324ADR
3 2520016314 LM324AN
4 2520016414 LM324DR
5 2520016814 LM324PWR
6 2520016914 LM324APWR
7 2520036014 LM2902DR
8 2520036314 LM2902PWR
9 2520036614 LM2902KAVQPWR
10 2520044014 MC3303DR
11 2520124014 LM224DR
12 2520124114 LM224ADR
13 2522014814 LM2902KVQDR</t>
  </si>
  <si>
    <t>PCN10H21020241231050033</t>
  </si>
  <si>
    <t>20241119003.1[1]</t>
  </si>
  <si>
    <t>PCN10H21020241231051413</t>
  </si>
  <si>
    <t>20241119003.1[2]</t>
  </si>
  <si>
    <t>PCN10H21020250106035959</t>
  </si>
  <si>
    <t>20241119003.1(1)</t>
  </si>
  <si>
    <t>1 2520016014 LM324N
2 2520016314 LM324AN
3 2520124014 LM224DR</t>
  </si>
  <si>
    <t>PCN10H21020250106040435</t>
  </si>
  <si>
    <t>20241119003.1(2)</t>
  </si>
  <si>
    <t>1 2520016214 LM324ADR
2 2520016414 LM324DR
3 2520044014 MC3303DR
4 2520124114 LM224ADR</t>
  </si>
  <si>
    <t>20241119007</t>
  </si>
  <si>
    <t>20241119001</t>
  </si>
  <si>
    <t>PCN10H21020250403082403</t>
  </si>
  <si>
    <t>20241119001.2</t>
  </si>
  <si>
    <t>1 2522009114M LM7321QMFX/NOPB</t>
  </si>
  <si>
    <t>PCN10H21020250403104853</t>
  </si>
  <si>
    <t>20241119009.2</t>
  </si>
  <si>
    <t>1 2540559208M ISO7221CQDRQ1</t>
  </si>
  <si>
    <t>20241119005</t>
  </si>
  <si>
    <t>Qualification of RFAB using qualified Process Technology, Die Revision, and additional Assembly/Test Site &amp; BOM options for select devices</t>
  </si>
  <si>
    <t>2025/04/30</t>
  </si>
  <si>
    <t>PCN10H21020250430031354</t>
  </si>
  <si>
    <t>20241119005.2</t>
  </si>
  <si>
    <t>1 2520291114 RC4580QPWRQ1</t>
  </si>
  <si>
    <t>2024-11-21</t>
  </si>
  <si>
    <t>20241022000</t>
  </si>
  <si>
    <t>Datasheet for DACx311</t>
  </si>
  <si>
    <t>PCN10H21020241204041358</t>
  </si>
  <si>
    <t>20241022000.0</t>
  </si>
  <si>
    <t>20241119006</t>
  </si>
  <si>
    <t>20241108001</t>
  </si>
  <si>
    <t>Datasheet for TPS62088 and TPS6208xA</t>
  </si>
  <si>
    <t>2024-12-05</t>
  </si>
  <si>
    <t>20241204001</t>
  </si>
  <si>
    <t>2024-12-06</t>
  </si>
  <si>
    <t>20241205001</t>
  </si>
  <si>
    <t>Qualification of RFAB using qualified Process Technology, Die Revision, BOM options, &amp; Datasheet updates for select devices</t>
  </si>
  <si>
    <t>20241205000</t>
  </si>
  <si>
    <t>PCN10H21020241225052011</t>
  </si>
  <si>
    <t>20241205000.1</t>
  </si>
  <si>
    <t>1 2522001614 OPA830IDBVR</t>
  </si>
  <si>
    <t>2024-12-10</t>
  </si>
  <si>
    <t>20241209001</t>
  </si>
  <si>
    <t>Qualification of RFAB as an additional Fab site option, Die Revision, Assembly Site (TFME, CDAT) &amp; BOM options for select devices</t>
  </si>
  <si>
    <t>2024-12-13</t>
  </si>
  <si>
    <t>20241213000</t>
  </si>
  <si>
    <t>Qualification of RFAB using qualified Process Technology and probe step addition for select devices</t>
  </si>
  <si>
    <t>2025/06/13</t>
  </si>
  <si>
    <t>PCN10H21020250613050434</t>
  </si>
  <si>
    <t>20241213000.2</t>
  </si>
  <si>
    <t>2024-12-16</t>
  </si>
  <si>
    <t>20241211000</t>
  </si>
  <si>
    <t>2024-12-18</t>
  </si>
  <si>
    <t>20241217016</t>
  </si>
  <si>
    <t>2025/04/09</t>
  </si>
  <si>
    <t>PCN10H21020250409045805</t>
  </si>
  <si>
    <t>20241217016.2</t>
  </si>
  <si>
    <t>20241217002</t>
  </si>
  <si>
    <t>Qualification of RFAB using qualified Process Technology, Die Revision,  Assembly site (CDAT), alternate BOM qualification &amp; Datasheet updates for select devices</t>
  </si>
  <si>
    <t>20241217021</t>
  </si>
  <si>
    <t>20241217019</t>
  </si>
  <si>
    <t>Qualification of RFAB using qualified Process Technology, Die Revision, Datasheet and additional Assembly BOM options for select devices</t>
  </si>
  <si>
    <t>20241217020</t>
  </si>
  <si>
    <t>Qualification of RFAB using qualified Process Technology, Die Revision, Datasheet, and additional Assembly/Test Site (TIPI, CDAT) &amp; BOM options for select devices</t>
  </si>
  <si>
    <t>2025/04/25</t>
  </si>
  <si>
    <t>PCN10H21020250425041229</t>
  </si>
  <si>
    <t>20241217020.2</t>
  </si>
  <si>
    <t>1 2500706414M TLV431AQDBVRQ1</t>
  </si>
  <si>
    <t>2024-12-19</t>
  </si>
  <si>
    <t>20241217004</t>
  </si>
  <si>
    <t>Qualification of RFAB using qualified Process Technology, Die Revision,  Assembly site (CDAT &amp; PHI), alternate BOM qualification &amp; Datasheet updates for select devices</t>
  </si>
  <si>
    <t>PCN10H21020250430034947</t>
  </si>
  <si>
    <t>20241217004.1</t>
  </si>
  <si>
    <t>1 2500142914 TLV431AIDBVR
2 2500310214 TLV431ACDBVR
3 X51225000027 TLV431AIDBVT</t>
  </si>
  <si>
    <t>20241218004</t>
  </si>
  <si>
    <t>Qualification of RFAB as an additional Fab site, Die Revision and additional Assembly/Test Site (MLA) options for select devices</t>
  </si>
  <si>
    <t>20241217009</t>
  </si>
  <si>
    <t>Qualification of RFAB using qualified Process Technology, Die Change, new assembly site (MLA), BOM updates, and Datasheet updates for select devices</t>
  </si>
  <si>
    <t>20241217003</t>
  </si>
  <si>
    <t>Qualification of RFAB using qualified Process Technology, Die Revision,  Assembly/Test site (CDAT) &amp; alternate BOM qualification for select devices</t>
  </si>
  <si>
    <t>PCN10H21020250409045137</t>
  </si>
  <si>
    <t>20241217003.2</t>
  </si>
  <si>
    <t>1 2500478714M TLVH431BQDBZRQ1</t>
  </si>
  <si>
    <t>20241217001</t>
  </si>
  <si>
    <t>Qualification of FFAB using qualified Process Technology, Die Revision, &amp; Assembly (TI Mexico) &amp; BOM options for select devices</t>
  </si>
  <si>
    <t>PCN10H21020241225031723</t>
  </si>
  <si>
    <t>20241217001.1</t>
  </si>
  <si>
    <t>1 2520176211 LM6172IMX/NOPB</t>
  </si>
  <si>
    <t>2024-12-20</t>
  </si>
  <si>
    <t>20241219001</t>
  </si>
  <si>
    <t>Qualification of TIEM as an additional Assembly &amp; Test site for select devices</t>
  </si>
  <si>
    <t>20241218003</t>
  </si>
  <si>
    <t>Datasheet for LM2903-Q1 and LM2903B-Q1</t>
  </si>
  <si>
    <t>2024/12/26</t>
  </si>
  <si>
    <t>PCN10H21020241226044810</t>
  </si>
  <si>
    <t>20241218003.0</t>
  </si>
  <si>
    <t>1 2520012814 LM2903VQDRQ1
2 2520050814M LM2903AVQPWRQ1
3 2522005614M LM2903BQDRQ1
4 2522007814M LM2903BQPWRQ1
5 2522035214M LM2903BQDGKRQ1</t>
  </si>
  <si>
    <t>PCN10H21020250305051240</t>
  </si>
  <si>
    <t>20241219001.2</t>
  </si>
  <si>
    <t>1 2540794208M UCC5350MCQDRQ1</t>
  </si>
  <si>
    <t>20241218007</t>
  </si>
  <si>
    <t>20241209000</t>
  </si>
  <si>
    <t>Datasheet for UCC21520, UCC21520A, UCC21220, UCC21220A, UCC21222, UCC21530, UCC2154x</t>
  </si>
  <si>
    <t>PCN10H21020241226041235</t>
  </si>
  <si>
    <t>20241209000.1</t>
  </si>
  <si>
    <t>20241219003</t>
  </si>
  <si>
    <t>20241218006</t>
  </si>
  <si>
    <t>PCN10H21020241226053424</t>
  </si>
  <si>
    <t>20241218006.0</t>
  </si>
  <si>
    <t>20241218005</t>
  </si>
  <si>
    <t>PCN10H21020241226050049</t>
  </si>
  <si>
    <t>20241218005.0</t>
  </si>
  <si>
    <t>1 2510364714M LM3481QMM/NOPB</t>
  </si>
  <si>
    <t>PCN10H21020241226052620</t>
  </si>
  <si>
    <t>20241218007.1</t>
  </si>
  <si>
    <t>1 2510786414 UCD3138128APFCR
2 2520042414 AMC1200SDUBR</t>
  </si>
  <si>
    <t>20241219000</t>
  </si>
  <si>
    <t>Qualification of RFAB using qualified Process Technology, Die Change, Probe site (CD-PR) and BOM updates</t>
  </si>
  <si>
    <t>2025/05/23</t>
  </si>
  <si>
    <t>PCN10H21020250523024430</t>
  </si>
  <si>
    <t>20241219000.2</t>
  </si>
  <si>
    <t>1 2510364714M LM3481QMMX/NOPB</t>
  </si>
  <si>
    <t>20241218001</t>
  </si>
  <si>
    <t>PCN10H21020241226054650</t>
  </si>
  <si>
    <t>20241219001.1</t>
  </si>
  <si>
    <t>1 2540615008 UCC5390SCDR</t>
  </si>
  <si>
    <t>Qualification of TIEM as an additional Assembly site for select devices</t>
  </si>
  <si>
    <t>PCN10H21020241226043037</t>
  </si>
  <si>
    <t>20241218001.0</t>
  </si>
  <si>
    <t>1 2500499114M LP2951-50QDRGRQ1</t>
  </si>
  <si>
    <t>2024-12-23</t>
  </si>
  <si>
    <t>20241220002</t>
  </si>
  <si>
    <t>Datasheet for ISO772x, ISO7710-Q1, ISO772x-Q1, ISO7710, ISO774x, ISO773x-Q1, ISO774x-Q1, and ISO773x</t>
  </si>
  <si>
    <t>PCN10H21020241226120620</t>
  </si>
  <si>
    <t>20241220002.0</t>
  </si>
  <si>
    <t>1 2540598808 ISO7721DWR
2 2540716308 ISO7741FDWR
3 2540716308M ISO7741FQDWRQ1
4 2540717608 ISO7741DWR
5 2540717608M ISO7741QDWRQ1
6 2540717808 ISO7742DWR
7 2540717808M ISO7742QDWRQ1
8 2540723108M ISO7740FQDWRQ1
9 2540727208 ISO7721FDWVR
10 2540729808M ISO7741FQDWWRQ1
11 2540733408 ISO7720DR
12 2540733608 ISO7731FDWR
13 2540734708 ISO7742FDWR
14 2540734708M ISO7742FQDWRQ1
15 2540753708 ISO7721DR
16 2540757508 ISO7740DWR
17 2540765308 ISO7731DWR</t>
  </si>
  <si>
    <t>20241223002</t>
  </si>
  <si>
    <t>Datasheet for LP5813, LP5811, LP5812, LP5810, TPSM8281x, DACx1401, LOG300, THS6222</t>
  </si>
  <si>
    <t>PCN10H21020241226051932</t>
  </si>
  <si>
    <t>20241223002.0</t>
  </si>
  <si>
    <t>1 2542052108 THS6222IRHFR</t>
  </si>
  <si>
    <t>20241223001</t>
  </si>
  <si>
    <t>Datasheet for MAX3232E-Q1, SN74AVC4T774-Q1, LMQ664x0-Q1, OPT4003-Q1</t>
  </si>
  <si>
    <t>2025-01-01</t>
  </si>
  <si>
    <t>20241220000</t>
  </si>
  <si>
    <t>Qualification of NFME as an additional assembly site for select devices</t>
  </si>
  <si>
    <t>2025/01/08</t>
  </si>
  <si>
    <t>PCN10H21020250108043635</t>
  </si>
  <si>
    <t>20241220000.1</t>
  </si>
  <si>
    <t>1 2600147508 SN74AC32PWR
2 2600259008 SN74AC08PWR
3 2600361108 SN74AC74PWR
4 2600398108 SN74AHCT367PWR</t>
  </si>
  <si>
    <t>20241226000</t>
  </si>
  <si>
    <t>2025-01-02</t>
  </si>
  <si>
    <t>20241223007</t>
  </si>
  <si>
    <t>Datasheet for TLV906xS, ATL43x, TLV183x and TLV184x, and CDCEx937</t>
  </si>
  <si>
    <t>2025/01/07</t>
  </si>
  <si>
    <t>PCN10H21020250107055140</t>
  </si>
  <si>
    <t>20241223007.0</t>
  </si>
  <si>
    <t>1 2500497914 ATL432BQDBZR
2 2500538814 ATL431BQDBZR
3 2520303414 TLV9061IDBVR</t>
  </si>
  <si>
    <t>20241230000</t>
  </si>
  <si>
    <t>Datasheet for CSD95490Q5MC</t>
  </si>
  <si>
    <t>20241230001</t>
  </si>
  <si>
    <t>Datasheet for RC4559 and RC4558</t>
  </si>
  <si>
    <t>2025-01-09</t>
  </si>
  <si>
    <t>20250106000</t>
  </si>
  <si>
    <t>Datasheet for SN74LVC157A-Q1, SNx4LVC157A, and SNx4LVC257A</t>
  </si>
  <si>
    <t>2025-01-15</t>
  </si>
  <si>
    <t>20250110000</t>
  </si>
  <si>
    <t>Qualification of LFAB as an additional Wafer Fab site option, low-COP wafer substrate, datasheet and bond wire removal for select F65 devices</t>
  </si>
  <si>
    <t>PCN10H21020250305051613</t>
  </si>
  <si>
    <t>20250110000.2</t>
  </si>
  <si>
    <t>1 2611378708M F2800152QPHPRQ1</t>
  </si>
  <si>
    <t>2025/07/03</t>
  </si>
  <si>
    <t>PCN10H21020250703111114</t>
  </si>
  <si>
    <t>20250110000.2A</t>
  </si>
  <si>
    <t>20241219004</t>
  </si>
  <si>
    <t>2025-01-17</t>
  </si>
  <si>
    <t>20250115001</t>
  </si>
  <si>
    <t>Qualification of RFAB using qualified Process Technology, Die Revision, &amp; BOM options for select devices</t>
  </si>
  <si>
    <t>2025-01-21</t>
  </si>
  <si>
    <t>20250121001</t>
  </si>
  <si>
    <t>PCN10H21020250430115056</t>
  </si>
  <si>
    <t>20250121001.2</t>
  </si>
  <si>
    <t>1 2542012008M TCAN1043ADMTRQ1
2 2542044608M TCAN1043ADRQ1
3 2600178508M SN65LBC176QDRQ1</t>
  </si>
  <si>
    <t>2025-01-22</t>
  </si>
  <si>
    <t>20250108001</t>
  </si>
  <si>
    <t>Qualification of additional Assembly sites for select SOT-23 devices</t>
  </si>
  <si>
    <t>2025/01/23</t>
  </si>
  <si>
    <t>PCN10H21020250123122339</t>
  </si>
  <si>
    <t>20250108001.1</t>
  </si>
  <si>
    <t>1 2500614014 TL432LIBQDBZR
2 2500614114 ATL432LIBQDBZR
3 2500614214 TL432LIBIDBZR
4 2500614314 ATL432LIBIDBZR
5 2500614714 TL431LIAIDBZR
6 2510669914 TLV809K33DBZR
7 2522045514 OPA310IDBVR</t>
  </si>
  <si>
    <t>20250109000</t>
  </si>
  <si>
    <t>Datasheet for TLV3011-Q1, TLV3012-Q1, TLV3011B-Q1 and TLV3012B-Q1</t>
  </si>
  <si>
    <t>2025-01-25</t>
  </si>
  <si>
    <t>20250124001</t>
  </si>
  <si>
    <t>Qualification of additional BOM materials for selected devices</t>
  </si>
  <si>
    <t>2025/08/05</t>
  </si>
  <si>
    <t>PCN10H21020250805124018</t>
  </si>
  <si>
    <t>20250124001.2</t>
  </si>
  <si>
    <t>1 2510623114M UCC28950QPWRQ1</t>
  </si>
  <si>
    <t>2025/02/19</t>
  </si>
  <si>
    <t>PCN10H21020250219101036</t>
  </si>
  <si>
    <t>20250124001.1</t>
  </si>
  <si>
    <t>1 2511000014 BQ7692006PWR
2 2610926708 MSP430G2553IPW20R</t>
  </si>
  <si>
    <t>2025-01-27</t>
  </si>
  <si>
    <t>20250124000</t>
  </si>
  <si>
    <t>PCN10H21020250219103625</t>
  </si>
  <si>
    <t>20250124000.1</t>
  </si>
  <si>
    <t>1 2522017314 TL084HIPWR
2 2540478408 PCA9554PWR
3 2600221108 CD4070BPWR
4 2600267308 SN74AVC4T774PWR
5 2600275208 TMUX1308PWR
6 2600280308 SN74HCS126PWR
7 2600364608 CD74HC173PWR</t>
  </si>
  <si>
    <t>2025-01-29</t>
  </si>
  <si>
    <t>20250128003</t>
  </si>
  <si>
    <t>Top Side marking change for Select Devices</t>
  </si>
  <si>
    <t>PCN10H21020250219105258</t>
  </si>
  <si>
    <t>20250128003.0</t>
  </si>
  <si>
    <t>1 2510844614 TPS259630DDAR
2 2510845014 TPS259631DDAR
3 2513045014 LMR38020SDDAR
4 2513081814 LM5013DDAR
5 2513101414 LMR38010SDDAR</t>
  </si>
  <si>
    <t>20250129002</t>
  </si>
  <si>
    <t>2025/10/29</t>
  </si>
  <si>
    <t>PCN10H21020251029173953</t>
  </si>
  <si>
    <t>20250129002.1</t>
  </si>
  <si>
    <t>1 2520099011 LMC7101BIM5X/NOPB
2 25200990BS LMC7101BIM5X/NOPB</t>
  </si>
  <si>
    <t>2025-01-30</t>
  </si>
  <si>
    <t>20250129004</t>
  </si>
  <si>
    <t>Qualification of RFAB using qualified Process Technology, Die Revision, Datasheet and additional Assembly Site/BOM options for select devices</t>
  </si>
  <si>
    <t>20250122001</t>
  </si>
  <si>
    <t>Datasheet for DP83867E/IS/CS, and DP83867IR/CR</t>
  </si>
  <si>
    <t>PCN10H21020250219102259</t>
  </si>
  <si>
    <t>20250122001.0</t>
  </si>
  <si>
    <t>1 2620244308 DP83867IRRGZR
2 2620507308 DP83867ERGZR
3 2620512108 DP83867CRRGZR</t>
  </si>
  <si>
    <t>20250107000</t>
  </si>
  <si>
    <t>Datasheet for LM317L</t>
  </si>
  <si>
    <t>20250127004</t>
  </si>
  <si>
    <t>Datasheet for DLP650NE, DLP650TE, DLP651NE, DLP471TE, DLP471NE, DLPC3436 and DLPC3426</t>
  </si>
  <si>
    <t>20250102000</t>
  </si>
  <si>
    <t>Datasheet for CSD96497Q5MC</t>
  </si>
  <si>
    <t>PCN10H21020250219023648</t>
  </si>
  <si>
    <t>20250102000.0</t>
  </si>
  <si>
    <t>1 2513010714 CSD96497Q5MC</t>
  </si>
  <si>
    <t>2025-01-31</t>
  </si>
  <si>
    <t>20250130000</t>
  </si>
  <si>
    <t>PCN10H21020250219105732</t>
  </si>
  <si>
    <t>20250130000.1</t>
  </si>
  <si>
    <t>1 2510792214 UCC28951PWR
2 2510920214 TLC6C598PWR
3 2611351008 MSP430I2021TPWR</t>
  </si>
  <si>
    <t>PCN10H21020250901165653</t>
  </si>
  <si>
    <t>20250130000.2</t>
  </si>
  <si>
    <t>20250129001</t>
  </si>
  <si>
    <t>Qualification of RFAB using qualified Process Technology, Die Revision, additional Assembly/Test site, &amp; BOM options for select devices</t>
  </si>
  <si>
    <t>20250128002</t>
  </si>
  <si>
    <t>Datasheet for SN74LVC2G14-Q1 and TPS389C03-Q1</t>
  </si>
  <si>
    <t>2025-02-03</t>
  </si>
  <si>
    <t>20250131002</t>
  </si>
  <si>
    <t>Adding KL-PR &amp; TIEM-PR as additional wafer probe site</t>
  </si>
  <si>
    <t>2025/09/19</t>
  </si>
  <si>
    <t>PCN10H21020250919144517</t>
  </si>
  <si>
    <t>20250131002.2</t>
  </si>
  <si>
    <t>1 2510766014M UCC28740QDRQ1
2 2510798714M TPS62162QDSGRQ1
3 2511002614M LM74700QDRQ1
4 2520161814M INA240A2QPWRQ1
5 2520161914M INA240A4QPWRQ1
6 2520292914M TLV4316QPWRQ1
7 2520300614M OPA4172AQPWRQ1
8 2521500814M INA240A3QPWRQ1
9 2522009214M TLV4197QPWRQ1
10 2522016614M INA381A1QDGSRQ1
11 2542039408M HDC3020QDEFRQ1</t>
  </si>
  <si>
    <t>2025/10/24</t>
  </si>
  <si>
    <t>PCN10H21020251024154030</t>
  </si>
  <si>
    <t>20250131002.2A</t>
  </si>
  <si>
    <t>1 2510766014M UCC28740QDRQ1
2 2510798714M TPS62162QDSGRQ1
3 2520161814M INA240A2QPWRQ1
4 2520161914M INA240A4QPWRQ1
5 2520300614M OPA4172AQPWRQ1
6 2521500814M INA240A3QPWRQ1
7 2522009214M TLV4197QPWRQ1</t>
  </si>
  <si>
    <t>2025-02-05</t>
  </si>
  <si>
    <t>20250204002</t>
  </si>
  <si>
    <t>Qualification of RFAB using qualified Process Technology, Die Revision, Datasheet and additional BOM options for select devices</t>
  </si>
  <si>
    <t>2025/12/18</t>
  </si>
  <si>
    <t>PCN10H21020251218145805</t>
  </si>
  <si>
    <t>20250204002.1</t>
  </si>
  <si>
    <t>1 25407474DL8 INA230AIRGTR</t>
  </si>
  <si>
    <t>2025-02-11</t>
  </si>
  <si>
    <t>20250205001</t>
  </si>
  <si>
    <t>Datasheet for ADS101x</t>
  </si>
  <si>
    <t>20250203006</t>
  </si>
  <si>
    <t>Datasheet for OPA695</t>
  </si>
  <si>
    <t>20250205000</t>
  </si>
  <si>
    <t>Datasheet for ADS111x</t>
  </si>
  <si>
    <t>PCN10H21020250220053649</t>
  </si>
  <si>
    <t>20250205000.0</t>
  </si>
  <si>
    <t>1 2540900108 ADS1115IDGSR
2 2540902508 ADS1114IDGSR</t>
  </si>
  <si>
    <t>PCN10H21020250220054004</t>
  </si>
  <si>
    <t>20250205001.0</t>
  </si>
  <si>
    <t>1 2540469508 ADS1015IDGSR</t>
  </si>
  <si>
    <t>20250204000</t>
  </si>
  <si>
    <t>Datasheet for DLP650LE, DLP550JE, DLP550HE, and DLP5500</t>
  </si>
  <si>
    <t>20250204001</t>
  </si>
  <si>
    <t>Datasheet for TPS650861, TPS650864, TPS65094</t>
  </si>
  <si>
    <t>2025-02-12</t>
  </si>
  <si>
    <t>20250131001</t>
  </si>
  <si>
    <t>Datasheet for SNx4AHC244, SNx4AHCT244, SNx4AHC373, SNx4AHCT373, SNx4AHC374, SNx4AHCT374, SNx4AHC573, SNx4AHCT573, SNx4AHC574, SNx4AHCT574, SNx4AHC240, SNx4AHCT240, SNx4AHC540, SNx4AHC541, SNx4AHCT540, SNx4AHCT541, SN74AHCT273, SNx4AHC273, SN74AHC244-Q1, SN74AHCT244-Q1, SN74AHC541-Q1</t>
  </si>
  <si>
    <t>PCN10H21020250220054237</t>
  </si>
  <si>
    <t>20250131001.0</t>
  </si>
  <si>
    <t>1 2600161808 SN74AHC244PWR
2 2600199008 SN74AHCT244PWR
3 2600372308M SN74AHC541QPWRQ1</t>
  </si>
  <si>
    <t>20241223006</t>
  </si>
  <si>
    <t>Datasheet for TPS1H000-Q1</t>
  </si>
  <si>
    <t>PCN10H21020250220054559</t>
  </si>
  <si>
    <t>20241223006.0</t>
  </si>
  <si>
    <t>1 2540817908 TPS1H000AQDGNRQ1</t>
  </si>
  <si>
    <t>2025-02-13</t>
  </si>
  <si>
    <t>20250212004</t>
  </si>
  <si>
    <t>2025/12/19</t>
  </si>
  <si>
    <t>PCN10H21020251219103343</t>
  </si>
  <si>
    <t>20250212004.1</t>
  </si>
  <si>
    <t>1 2510003014 NE555P
2 2510003214 NE555DR
3 2510352014 SA555DR
4 2510352914 SE555DR
5 2510520414 NA555DR</t>
  </si>
  <si>
    <t>20250212005</t>
  </si>
  <si>
    <t>Qualification of TIEM-PR as an additional wafer probe site and TIPI as an  additional Assembly/Test site for select devices</t>
  </si>
  <si>
    <t>PCN10H21020250919155836</t>
  </si>
  <si>
    <t>20250212005.2</t>
  </si>
  <si>
    <t>1 2500529114M TPS70950QDBVRQ1
2 2500614614M TL431LIBQDBZRQ1
3 2520139214M OPA171AQDBVRQ1
4 2520297114M TLV316QDBVRQ1
5 2522056314M LMV321AUQDBVRQ1
6 2540521608M INA194AQDBVRQ1
7 2600366608 SN74AHC1G08QDBVRQ1
8 2600366608M SN74AHC1G08QDBVRQ1</t>
  </si>
  <si>
    <t>2025-02-14</t>
  </si>
  <si>
    <t>20250213002</t>
  </si>
  <si>
    <t>Qualification of Die Coat material change for select devices</t>
  </si>
  <si>
    <t>2025/02/21</t>
  </si>
  <si>
    <t>PCN10H21020250221034439</t>
  </si>
  <si>
    <t>20250213002.1</t>
  </si>
  <si>
    <t>1 2510842614 LM25069PMMX-1/NOPB
2 2510846114 LM5066IPMHX/NOPB</t>
  </si>
  <si>
    <t>20250212007</t>
  </si>
  <si>
    <t>Qualification of RFAB as an additional Fab site, Die Revision, Data sheet &amp; new Assembly/Test (FMX) options for select devices</t>
  </si>
  <si>
    <t>PCN10H21020251219143033</t>
  </si>
  <si>
    <t>20250212007.1</t>
  </si>
  <si>
    <t>1 2510762714 LMR14020SDDAR
2 2510771114 LMR14030SDDAR</t>
  </si>
  <si>
    <t>2025-02-18</t>
  </si>
  <si>
    <t>20250213003</t>
  </si>
  <si>
    <t>Datasheet for LMR14030-Q1, LMR14050-Q1, LV14240, and LMR14020-Q1</t>
  </si>
  <si>
    <t>2025-02-19</t>
  </si>
  <si>
    <t>20250213001</t>
  </si>
  <si>
    <t>Conversion to smaller reel (7") and associated packing materials on Select Devices currently shipped in 13” reels</t>
  </si>
  <si>
    <t>20250218000</t>
  </si>
  <si>
    <t>Qualification of RFAB as an additional Fab site option, Die Revision, Data sheet and Assembly Site (TAI)/BOM options for select devices</t>
  </si>
  <si>
    <t>PCN10H21020251219170109</t>
  </si>
  <si>
    <t>20250218000.1</t>
  </si>
  <si>
    <t>1 2540541208 TXS0108EPWR</t>
  </si>
  <si>
    <t>2025-02-20</t>
  </si>
  <si>
    <t>20250220000</t>
  </si>
  <si>
    <t>2025/03/21</t>
  </si>
  <si>
    <t>PCN10H21020250321045235</t>
  </si>
  <si>
    <t>20250220000.1</t>
  </si>
  <si>
    <t>1 2540759408 ISOW7842DWER</t>
  </si>
  <si>
    <t>2025-02-25</t>
  </si>
  <si>
    <t>20250224001</t>
  </si>
  <si>
    <t>Datasheet for TMUX6219-Q1 and TMUX7219-Q1</t>
  </si>
  <si>
    <t>2025/03/07</t>
  </si>
  <si>
    <t>PCN10H21020250307103528</t>
  </si>
  <si>
    <t>20250224001.0</t>
  </si>
  <si>
    <t>2025-02-26</t>
  </si>
  <si>
    <t>20250225007</t>
  </si>
  <si>
    <t>Pin one symbolization update for select devices</t>
  </si>
  <si>
    <t>2025/03/04</t>
  </si>
  <si>
    <t>PCN10H21020250304101022</t>
  </si>
  <si>
    <t>20250225007.0</t>
  </si>
  <si>
    <t>1 2611317208M F280049PZQR
2 2611326908M F280041PZQR</t>
  </si>
  <si>
    <t>PCN10H21020250304102959</t>
  </si>
  <si>
    <t>1 2611317208 F280049PZSR
2 2611326908 F280041PZSR
3 2611362808 F280039CSPZ</t>
  </si>
  <si>
    <t>20250226008</t>
  </si>
  <si>
    <t>Qualification of RFAB using qualified Process Technology, Die Revision, Assembly/test site (MLA) and BOM updates</t>
  </si>
  <si>
    <t>20250226003</t>
  </si>
  <si>
    <t>20250226000</t>
  </si>
  <si>
    <t>Qualification of RFAB using qualified Process Technology, Die Revision, &amp; alternate BOM qualification for select devices</t>
  </si>
  <si>
    <t>2025-03-04</t>
  </si>
  <si>
    <t>20250304001</t>
  </si>
  <si>
    <t>CD405x Die Revision Change and Datasheet Update</t>
  </si>
  <si>
    <t>20250303001</t>
  </si>
  <si>
    <t>MSL Update for Select Devices</t>
  </si>
  <si>
    <t>2026/03/25</t>
  </si>
  <si>
    <t>PCN10H21020260325171102</t>
  </si>
  <si>
    <t>20250303001.0</t>
  </si>
  <si>
    <t>1 2520285614M OPA170AQDBVRQ1
2 2522004314M OPA316QDBVRQ1</t>
  </si>
  <si>
    <t>2025-03-05</t>
  </si>
  <si>
    <t>20250225006</t>
  </si>
  <si>
    <t>Datasheet for LM393B, LM2903B, LM193, LM293, LM393 and LM2903</t>
  </si>
  <si>
    <t>PCN10H21020250307103025</t>
  </si>
  <si>
    <t>20250225006.0</t>
  </si>
  <si>
    <t>1 2520004014 LM393P
2 2520004114 LM393DR
3 2520012014 LM2903P
4 2520012114 LM2903DR
5 2520012514 LM2903DGKR
6 2520090014 LM293DR
7 2520090114 LM293P
8 2520131414 LM393DGKR
9 2520167914 LM2903PWR
10 2522005414 LM393BIDR
11 2522005614 LM2903BIDR
12 2522019014 LM2903BIDGKR
13 2522019514 LM393BIDGKR
14 2522019614 LM2903BIPWR</t>
  </si>
  <si>
    <t>20250303003</t>
  </si>
  <si>
    <t>Qualification of an alternate mount compound material for select devices</t>
  </si>
  <si>
    <t>2026/04/15</t>
  </si>
  <si>
    <t>PCN10H21020260415101403</t>
  </si>
  <si>
    <t>20250303003.2</t>
  </si>
  <si>
    <t>1 2500181714M TPS77633QPWPRQ1
2 2500508014M TPS76733QPWPRQ1
3 2500607014M TPS76833QPWPRQ1
4 2510778214M LM53602AQPWPRQ1
5 2513034914M LM5156HQPWPRQ1</t>
  </si>
  <si>
    <t>20250225005</t>
  </si>
  <si>
    <t>Datasheet for DP83825I</t>
  </si>
  <si>
    <t>PCN10H21020250409033146</t>
  </si>
  <si>
    <t>20250225005.0</t>
  </si>
  <si>
    <t>1 2620521208 DP83825IRMQR</t>
  </si>
  <si>
    <t>20250225004</t>
  </si>
  <si>
    <t>Datasheet for TXS0104E-Q1</t>
  </si>
  <si>
    <t>PCN10H21020250307105554</t>
  </si>
  <si>
    <t>20250225004.0</t>
  </si>
  <si>
    <t>2025-03-06</t>
  </si>
  <si>
    <t>20250225000</t>
  </si>
  <si>
    <t>Datasheet for LP2981x</t>
  </si>
  <si>
    <t>20250225001</t>
  </si>
  <si>
    <t>Datasheet for SN2003022</t>
  </si>
  <si>
    <t>PCN10H21020250307051638</t>
  </si>
  <si>
    <t>1 2522019214M SN2003022PWPR</t>
  </si>
  <si>
    <t>PCN10H21020250307051911</t>
  </si>
  <si>
    <t>20250225000.0</t>
  </si>
  <si>
    <t>1 2500270914 LP2981A-33DBVR
2 2500469014 LP2981-50DBVR
3 2500469114 LP2981-33DBVR</t>
  </si>
  <si>
    <t>20250224000</t>
  </si>
  <si>
    <t>Datasheet for TMCS1133 and TMCS1133-Q1</t>
  </si>
  <si>
    <t>PCN10H21020250307051306</t>
  </si>
  <si>
    <t>20250224000.0</t>
  </si>
  <si>
    <t>1 2542063608M TMCS1133B1AQDVGRQ1
2 2542064108 TMCS1133B8AQDVGR
3 2542069608M TMCS1133C3AQDVGRQ1</t>
  </si>
  <si>
    <t>20250224004</t>
  </si>
  <si>
    <t>Datasheet for SN74LV4051A-Q1</t>
  </si>
  <si>
    <t>PCN10H21020250307050900</t>
  </si>
  <si>
    <t>20250224004.0</t>
  </si>
  <si>
    <t>1 2600272108 SN74LV4051ATPWRQ1</t>
  </si>
  <si>
    <t>2025-03-10</t>
  </si>
  <si>
    <t>20250307002</t>
  </si>
  <si>
    <t>Qualification of RFAB using qualified Process Technology, Die Revision, Datasheet and additional Assembly/Test site options for select devices</t>
  </si>
  <si>
    <t>PCN10H21020250919171046</t>
  </si>
  <si>
    <t>20250307002.2</t>
  </si>
  <si>
    <t>1 2600277108M CAVC2T45TDCURQ1</t>
  </si>
  <si>
    <t>20250307000</t>
  </si>
  <si>
    <t>2025/12/24</t>
  </si>
  <si>
    <t>PCN10H21020251224100348</t>
  </si>
  <si>
    <t>20250307000.1</t>
  </si>
  <si>
    <t>1 2600375708 SN74AVC1T45DCKR</t>
  </si>
  <si>
    <t>2025-03-11</t>
  </si>
  <si>
    <t>20250310001</t>
  </si>
  <si>
    <t>Lead finish change for Select QFN Package Device(s)</t>
  </si>
  <si>
    <t>2025-03-12</t>
  </si>
  <si>
    <t>20250312000</t>
  </si>
  <si>
    <t>Qualification of RFAB using qualified Process Technology, Die Revision, Datasheet and additional Assembly Site (CDAT) &amp; BOM options for select devices</t>
  </si>
  <si>
    <t>20250312001</t>
  </si>
  <si>
    <t>Datasheet for SN74LV4051A-Q1, SN74LV4053A-Q1, and SN74LV4052A-Q1</t>
  </si>
  <si>
    <t>PCN10H21020250321051556</t>
  </si>
  <si>
    <t>20250312001.0</t>
  </si>
  <si>
    <t>2025/12/29</t>
  </si>
  <si>
    <t>PCN10H21020251229174435</t>
  </si>
  <si>
    <t>20250312000.1</t>
  </si>
  <si>
    <t>1 2500180114 TPS76933DBVR
2 2500180314 TPS76912DBVR</t>
  </si>
  <si>
    <t>2025-03-17</t>
  </si>
  <si>
    <t>20250316005</t>
  </si>
  <si>
    <t>Datasheet for LP2992</t>
  </si>
  <si>
    <t>20250306001</t>
  </si>
  <si>
    <t>PCN10H21020250321044121</t>
  </si>
  <si>
    <t>20250306001.0</t>
  </si>
  <si>
    <t>2025-03-18</t>
  </si>
  <si>
    <t>20250316004</t>
  </si>
  <si>
    <t>Datasheet for LP2980-N</t>
  </si>
  <si>
    <t>20250316002</t>
  </si>
  <si>
    <t>Datasheet for Nx556, Sx556</t>
  </si>
  <si>
    <t>PCN10H21020250321043536</t>
  </si>
  <si>
    <t>20250316002.0</t>
  </si>
  <si>
    <t>1 2510520814 NA556DR</t>
  </si>
  <si>
    <t>20250316003</t>
  </si>
  <si>
    <t>Datasheet for XTR111 and OPA4277-SP</t>
  </si>
  <si>
    <t>20250318000</t>
  </si>
  <si>
    <t>2025-03-20</t>
  </si>
  <si>
    <t>20250319000</t>
  </si>
  <si>
    <t>Package Marking</t>
  </si>
  <si>
    <t>PCN10H21020250321045519</t>
  </si>
  <si>
    <t>20250319000.0</t>
  </si>
  <si>
    <t>1 2626068108 WL1837MODGIMOCT</t>
  </si>
  <si>
    <t>2025-03-24</t>
  </si>
  <si>
    <t>20250324001</t>
  </si>
  <si>
    <t>Discontinuance of TPS81256 Power Modules</t>
  </si>
  <si>
    <t>20250306000</t>
  </si>
  <si>
    <t>Datasheet for SNx4LVC00A, SNx4LVC08A, SN74LVC10A, SNx4LVC32A, SNx4LVC86A, SN74LVC125A, SN74LVC126A, SN74LVC86A-Q1, SN74LVC157A-Q1, SN74LVC126A-Q1, and SN74LVC74A-Q1</t>
  </si>
  <si>
    <t>PCN10H21020250325042300</t>
  </si>
  <si>
    <t>20250306000.0</t>
  </si>
  <si>
    <t>2025/03/26</t>
  </si>
  <si>
    <t>PCN10H21020250326051746</t>
  </si>
  <si>
    <t>20250306000.0.A</t>
  </si>
  <si>
    <t>2025-03-25</t>
  </si>
  <si>
    <t>20250324002</t>
  </si>
  <si>
    <t>Qualification of Clark-PR as additional wafer probe site and TI Clark as an alternate Assembly &amp; Test site for select devices</t>
  </si>
  <si>
    <t>2025/03/31</t>
  </si>
  <si>
    <t>PCN10H21020250331112024</t>
  </si>
  <si>
    <t>20250324002.1A</t>
  </si>
  <si>
    <t>1 2530275308 TSER953RHBR</t>
  </si>
  <si>
    <t>Qualification of TI Clark as an additional Assembly site for select devices</t>
  </si>
  <si>
    <t>2025-03-26</t>
  </si>
  <si>
    <t>20250325001</t>
  </si>
  <si>
    <t>2025/10/11</t>
  </si>
  <si>
    <t>PCN10H21020251011152546</t>
  </si>
  <si>
    <t>20250325001.2</t>
  </si>
  <si>
    <t>1 2500491914M REF5045AQDRQ1
2 2522010414M OPA2314AQDRQ1
3 2522017714M OPA4171AQDRQ1
4 2540577208M UCC27528QDRQ1</t>
  </si>
  <si>
    <t>2025-03-27</t>
  </si>
  <si>
    <t>20250326003</t>
  </si>
  <si>
    <t>Qualification of RFAB using qualified Process Technology, Die Revision, alternate assembly sites (CDAT)/BOM options &amp; datasheet updates for select devices</t>
  </si>
  <si>
    <t>20250326009</t>
  </si>
  <si>
    <t>Qualification of RFAB using qualified Process Technology, Die Revision, Datasheet and additional Assembly Site &amp; BOM options for select devices</t>
  </si>
  <si>
    <t>20250326002</t>
  </si>
  <si>
    <t>Qualification of RFAB using qualified Process Technology, Die Revision, Assembly site(PHI &amp; CDAT)/BOM options &amp; datasheet updates for select devices</t>
  </si>
  <si>
    <t>2025/12/30</t>
  </si>
  <si>
    <t>PCN10H21020251230142645</t>
  </si>
  <si>
    <t>20250326002.1</t>
  </si>
  <si>
    <t>1 2500207014 TPS3823-33DBVR
2 2510592814 TPS3823A-33DBVR</t>
  </si>
  <si>
    <t>PCN10H21020251230103216</t>
  </si>
  <si>
    <t>20250326009.1</t>
  </si>
  <si>
    <t>1 2500050914 LM4040C82IDBZR
2 2500537214 LM4051AIM3X-ADJ/NOPB</t>
  </si>
  <si>
    <t>2025-03-28</t>
  </si>
  <si>
    <t>20250327005</t>
  </si>
  <si>
    <t>Symbolization update for select devices</t>
  </si>
  <si>
    <t>PCN10H21020250331114457</t>
  </si>
  <si>
    <t>20250327005.0</t>
  </si>
  <si>
    <t>2025-04-01</t>
  </si>
  <si>
    <t>20250327004</t>
  </si>
  <si>
    <t>Datasheet for LM4041-N LM4041-N-Q1,TPS3123, TPS382x, LM4040, LM4041, TL4050, TL4051</t>
  </si>
  <si>
    <t>PCN10H21020250409031032</t>
  </si>
  <si>
    <t>20250327004.0</t>
  </si>
  <si>
    <t>1 2500050014 LM4040D25IDBZR
2 2500050314 LM4040C50IDBZR
3 2500050814 LM4040C25IDBZR
4 2500323214 LM4040B41IDBZR
5 2500323814 LM4040A30IDBZR
6 2500379114 LM4040B50IDBZR
7 2500379614 LM4040D41IDBZR
8 2500446214M LM4041QCEM3X-1.2NO
9 2500446514 LM4041A12IDCKR
10 2500549114 LM4040D30IDBZR
11 2500549214 LM4040D50IDBZR</t>
  </si>
  <si>
    <t>20250331000</t>
  </si>
  <si>
    <t>Adding CD-PR and CLARK-PR as additional wafer probe site</t>
  </si>
  <si>
    <t>2025/09/03</t>
  </si>
  <si>
    <t>PCN10H21020250903165251</t>
  </si>
  <si>
    <t>20250331000.2</t>
  </si>
  <si>
    <t>1 2510781414 LM536005QDSXRQ1
2 2510789414 LM53600NQDSXRQ1</t>
  </si>
  <si>
    <t>2025-04-03</t>
  </si>
  <si>
    <t>20250327000</t>
  </si>
  <si>
    <t>Qualification of RFAB using qualified Process Technology, Die Revision, Assembly site(MLA)/BOM options &amp; datasheet updates for select devices</t>
  </si>
  <si>
    <t>2025-04-04</t>
  </si>
  <si>
    <t>20250404000</t>
  </si>
  <si>
    <t>PCN10H21020250903170510</t>
  </si>
  <si>
    <t>20250404000.2</t>
  </si>
  <si>
    <t>1 2611317208M F280049PZQR
2 2611325708M F280048PMQR
3 2611326908M F280041PZQR
4 2611327808M F280040PMQR</t>
  </si>
  <si>
    <t>2025/12/03</t>
  </si>
  <si>
    <t>PCN10H21020251203161827</t>
  </si>
  <si>
    <t>20250404000.1</t>
  </si>
  <si>
    <t>1 2611313508 F280049PMSR
2 26113135GU F280049PMSR
3 2611326908 F280041PZSR
4 2611353208 F280049CPMSR</t>
  </si>
  <si>
    <t>2025-04-09</t>
  </si>
  <si>
    <t>20250404001</t>
  </si>
  <si>
    <t>Datasheet for LM4050-N/-Q1</t>
  </si>
  <si>
    <t>PCN10H21020250410102437</t>
  </si>
  <si>
    <t>20250404001.0</t>
  </si>
  <si>
    <t>1 2500301111 LM4050CEM3X-5.0/NOPB
2 2500301211 LM4050AIM3X-2.5/NOPB
3 2500301814M LM4050QBEM3-4.1/NOPB
4 2500537114 LM4050AIM3X-4.1/NOPB
5 2500537414M LM4050QBEM3-2.5/NOPB</t>
  </si>
  <si>
    <t>20250404005</t>
  </si>
  <si>
    <t>Datasheet for ULN200x</t>
  </si>
  <si>
    <t>PCN10H21020250410102130</t>
  </si>
  <si>
    <t>20250404005.0</t>
  </si>
  <si>
    <t>2025-04-11</t>
  </si>
  <si>
    <t>20250402002</t>
  </si>
  <si>
    <t>2025/04/16</t>
  </si>
  <si>
    <t>PCN10H21020250416042653</t>
  </si>
  <si>
    <t>20250402002.0</t>
  </si>
  <si>
    <t>1 2600091508 SN74AHC1G14DCKR
2 2600101008 SN74AHCT1G08DCKR
3 2600103408 SN74AHC1G125DCKR
4 2600192508 SN74AHC1G04DCKR
5 2600196108 SN74AHC1G02DCKR
6 2600259708 SN74LV1T08DCKR
7 2600260208 SN74AHCT1G126DCKR
8 2600367708 SN74AHC1G00DCKR
9 2600370808 SN74LV1T125DCKR
10 2600390508 SN74AHCT1G125DCKR
11 2601000408 SN74LV1T02DCKR
12 2610290308 SN74AHC1G08DCKR</t>
  </si>
  <si>
    <t>PCN10H21020250430100338</t>
  </si>
  <si>
    <t>20250409000</t>
  </si>
  <si>
    <t>Qualification of additional Assembly sites for select SOT-SC70 devices</t>
  </si>
  <si>
    <t>PCN10H21020250416041537</t>
  </si>
  <si>
    <t>20250409000.1</t>
  </si>
  <si>
    <t>1 2510914514 TPS61169DCKR
2 2520236614 TLV3201AIDCKR
3 2540521008 INA213AIDCKR
4 2540558008 INA214AIDCKR</t>
  </si>
  <si>
    <t>2025-04-14</t>
  </si>
  <si>
    <t>20250412000</t>
  </si>
  <si>
    <t>Adding TIEM-PR as additional wafer probe site and TI Mexico (FMX) as an additional Assembly and Test site for select package devices</t>
  </si>
  <si>
    <t>2026/04/27</t>
  </si>
  <si>
    <t>PCN10H21020260427102455</t>
  </si>
  <si>
    <t>20250412000.2</t>
  </si>
  <si>
    <t>1 2542007208M TCAN1057AVDRQ1
2 2542013608M TCAN1057ADRQ1
3 2542028108 TCAN1044VDRQ1
4 2542033808M TCAN1044AVDRQ1</t>
  </si>
  <si>
    <t>20250413000</t>
  </si>
  <si>
    <t>Adding TIEM-PR as additional wafer probe site and TI Clark as an additional Assembly and Test site for select package devices</t>
  </si>
  <si>
    <t>2025/09/11</t>
  </si>
  <si>
    <t>PCN10H21020250911160645</t>
  </si>
  <si>
    <t>20250413000.2</t>
  </si>
  <si>
    <t>1 2542012008M TCAN1043ADMTRQ1
2 2542045608M TCAN1057AVDRBRQ1
3 2542048708M TCAN1044AVDRBRQ1</t>
  </si>
  <si>
    <t>2025-04-16</t>
  </si>
  <si>
    <t>20250413001</t>
  </si>
  <si>
    <t>Adding TIEM-PR as additional wafer probe site</t>
  </si>
  <si>
    <t>PCN10H21020251011161120</t>
  </si>
  <si>
    <t>20250413001.2</t>
  </si>
  <si>
    <t>1 2540715708M TCAN1042HGVDRQ1
2 2540725808M TCAN1042GVDRBRQ1
3 2540726008M TCAN1043GDMTRQ1
4 2540740408M TCAN1043GDRQ1
5 2542044608M TCAN1043ADRQ1
6 2542065108M TCAN1042HGDRQ1</t>
  </si>
  <si>
    <t>20250414002</t>
  </si>
  <si>
    <t>Qualification of TI Philippines as an additional assembly site and Topside marking change for select devices</t>
  </si>
  <si>
    <t>PCN10H21020250417122003</t>
  </si>
  <si>
    <t>20250414002.1</t>
  </si>
  <si>
    <t>1 2550129008 AM6232ATCGGAALW
2 2550133308 AM6234ATGGHIALWR</t>
  </si>
  <si>
    <t>CYNTEC ELECTRONICS(SUZHOU) CO. LTD</t>
  </si>
  <si>
    <t>0000184573</t>
  </si>
  <si>
    <t>2025-04-19</t>
  </si>
  <si>
    <t>20250417002</t>
  </si>
  <si>
    <t>Adding TIEM-PR as additional wafer probe test site for select devices</t>
  </si>
  <si>
    <t>PCN10H21020250911163558</t>
  </si>
  <si>
    <t>20250417002.2</t>
  </si>
  <si>
    <t>1 2542013408M ISO6762FQDWRQ1
2 2542013508M ISO6763FQDWRQ1
3 2542018608M ISO6721FQDWVRQ1</t>
  </si>
  <si>
    <t>2025-04-21</t>
  </si>
  <si>
    <t>20250417000</t>
  </si>
  <si>
    <t>Adding TIEM-PR as additional wafer probe test site and TI Malaysia (MLA) as an additional Assembly and Test site for select package devices</t>
  </si>
  <si>
    <t>PCN10H21020250425050311</t>
  </si>
  <si>
    <t>20250417000.1</t>
  </si>
  <si>
    <t>1 2540727208 ISO7721FDWVR</t>
  </si>
  <si>
    <t>2025-04-23</t>
  </si>
  <si>
    <t>20250417001</t>
  </si>
  <si>
    <t>Adding TIEM-PR as additional wafer probe test site and TI Melaka (TIEM) as an additional Assembly and Test site for select package devices</t>
  </si>
  <si>
    <t>2025/11/19</t>
  </si>
  <si>
    <t>PCN10H21020251119112137</t>
  </si>
  <si>
    <t>20250417001.2</t>
  </si>
  <si>
    <t>1 2540566308M ISO6742FQDWRQ1
2 2540598708M ISO7762FQDWRQ1
3 2540716308M ISO7741FQDWRQ1
4 2540717608M ISO7741QDWRQ1
5 2540717808M ISO7742QDWRQ1
6 2540723108M ISO7740FQDWRQ1
7 2540734708M ISO7742FQDWRQ1
8 2540741008M ISO7763FQDWRQ1
9 2540794008M ISO6741FQDWRQ1
10 2541506308M UCC21550BQDWRQ1
11 2542013208M ISO6741QDWRQ1
12 2542013308M ISO6742QDWRQ1
13 2542035308M ISO6721BQDRQ1</t>
  </si>
  <si>
    <t>2025-04-28</t>
  </si>
  <si>
    <t>20250417003</t>
  </si>
  <si>
    <t>Qualify additional BOM material for select package devices</t>
  </si>
  <si>
    <t>2026/01/14</t>
  </si>
  <si>
    <t>PCN10H21020260114113527</t>
  </si>
  <si>
    <t>20250417003.2</t>
  </si>
  <si>
    <t>1 2540566308M ISO6742FQDWRQ1
2 2540598708M ISO7762FQDWRQ1
3 2540716308M ISO7741FQDWRQ1
4 2540717608M ISO7741QDWRQ1
5 2540717808M ISO7742QDWRQ1
6 2540723108M ISO7740FQDWRQ1
7 2540734708M ISO7742FQDWRQ1
8 2540741008M ISO7763FQDWRQ1
9 2540794008M ISO6741FQDWRQ1
10 2541506308M UCC21550BQDWRQ1
11 2542013208M ISO6741QDWRQ1
12 2542013308M ISO6742QDWRQ1
13 2542013408M ISO6762FQDWRQ1
14 2542013508M ISO6763FQDWRQ1
15 2542018608M ISO6721FQDWVRQ1</t>
  </si>
  <si>
    <t>20250425000</t>
  </si>
  <si>
    <t>Qualification of MIHO8 as additional Fab site for select devices</t>
  </si>
  <si>
    <t>2025/05/02</t>
  </si>
  <si>
    <t>PCN10H21020250502101833</t>
  </si>
  <si>
    <t>20250425000.1</t>
  </si>
  <si>
    <t>1 203767500003 ESDS314DBVR</t>
  </si>
  <si>
    <t>2025-04-30</t>
  </si>
  <si>
    <t>20250429001</t>
  </si>
  <si>
    <t>Datasheet for TPS746-Q1, TLV774, TLV771, and TLV770</t>
  </si>
  <si>
    <t>2025/05/07</t>
  </si>
  <si>
    <t>PCN10H21020250507055838</t>
  </si>
  <si>
    <t>20250429001.0</t>
  </si>
  <si>
    <t>1 25004967GLM TPS74601PQWDRBRQ1</t>
  </si>
  <si>
    <t>2025-05-01</t>
  </si>
  <si>
    <t>20250319001</t>
  </si>
  <si>
    <t>2025/09/24</t>
  </si>
  <si>
    <t>PCN10H21020250924100033</t>
  </si>
  <si>
    <t>20250319001.2</t>
  </si>
  <si>
    <t>1 2510042314 UCC2804QDRQ1
2 2510042314M UCC2804QDRQ1
3 2510042614M UCC2803QDRQ1
4 2510576814M UCC2813QDR-5Q1
5 2510576914M UCC2813QDR-4Q1</t>
  </si>
  <si>
    <t>20250430002</t>
  </si>
  <si>
    <t>PCN10H21020251230173732</t>
  </si>
  <si>
    <t>20250430002.1</t>
  </si>
  <si>
    <t>1 2510154006 UCC2813DTR-5
2 2510154306 UCC2813DTR-1
3 2513077514 UCC3804DTR</t>
  </si>
  <si>
    <t>2025-05-02</t>
  </si>
  <si>
    <t>20250430001</t>
  </si>
  <si>
    <t>Qualification of FFAB using qualified Process Technology, Die Revision, Datasheet and additional Assembly Site &amp; BOM options for select devices</t>
  </si>
  <si>
    <t>2025-05-05</t>
  </si>
  <si>
    <t>20250505000</t>
  </si>
  <si>
    <t>2025/05/08</t>
  </si>
  <si>
    <t>PCN10H21020250508024323</t>
  </si>
  <si>
    <t>20250505000.0</t>
  </si>
  <si>
    <t>2025-05-09</t>
  </si>
  <si>
    <t>20250508000</t>
  </si>
  <si>
    <t>2025/05/13</t>
  </si>
  <si>
    <t>PCN10H21020250513051742</t>
  </si>
  <si>
    <t>20250508000.1</t>
  </si>
  <si>
    <t>1 2520301014 TLV9004IPWR
2 2522017214 OPA4991IPWR
3 2540086508 TCA6408APWR
4 2540177408 TRSF3232EIPWR
5 2540547208 TCA9554APWR
6 2540721908 TCA9543APWR
7 2540740808 TCA9554PWR
8 2540741308 TCA9538PWR
9 2540786208 SN65C3232EPWR
10 2542044408 OPA4991IPWR
11 2600045508 SN74HC132PWR
12 2600118308 SN74CBTLV3251PWR
13 26001183DL8 SN74CBTLV3251PWR
14 2600124308 SN74HC21PWR
15 2600185108 SN74CBTLV3257PWR
16 2600301508 SN74AXC4T245PWR
17 26003015RK SN74AXC4T245PWR
18 2600365108 SN74CBTLV3126PWR
19 2600511008 TMUX1574PWR
20 2600512908 TMUX1112PWR</t>
  </si>
  <si>
    <t>PCN10H21020250612101508</t>
  </si>
  <si>
    <t>20250508000.1A</t>
  </si>
  <si>
    <t>2025-05-15</t>
  </si>
  <si>
    <t>20250514002</t>
  </si>
  <si>
    <t>Wafer Diameter Change for Select Devices in the LBC4 Process at DFAB</t>
  </si>
  <si>
    <t>20250514001</t>
  </si>
  <si>
    <t>PCN10H21020250530034131</t>
  </si>
  <si>
    <t>20250514001.1</t>
  </si>
  <si>
    <t>1 2520003014 LM339N
2 2520003214 LM339AN
3 2520089114 LM239N</t>
  </si>
  <si>
    <t>2025/05/21</t>
  </si>
  <si>
    <t>PCN10H21020250521052605</t>
  </si>
  <si>
    <t>20250514002.1</t>
  </si>
  <si>
    <t>1 2510731214 TPS65100PWPR</t>
  </si>
  <si>
    <t>2025-05-19</t>
  </si>
  <si>
    <t>20250514003</t>
  </si>
  <si>
    <t>Qualification of RFAB using qualified Process Technology, Die Revision and Datasheet update for select devices</t>
  </si>
  <si>
    <t>2025/12/31</t>
  </si>
  <si>
    <t>PCN10H21020251231120417</t>
  </si>
  <si>
    <t>20250514003.1</t>
  </si>
  <si>
    <t>1 2520004014 LM393P
2 2520012014 LM2903P
3 2520090114 LM293P</t>
  </si>
  <si>
    <t>20250508004</t>
  </si>
  <si>
    <t>Datasheet for OPAx323</t>
  </si>
  <si>
    <t>2025-05-21</t>
  </si>
  <si>
    <t>20250519001</t>
  </si>
  <si>
    <t>Qualification of additional Assembly sites for select QFN devices</t>
  </si>
  <si>
    <t>2025/05/29</t>
  </si>
  <si>
    <t>PCN10H21020250529091952</t>
  </si>
  <si>
    <t>20250519001.1</t>
  </si>
  <si>
    <t>1 2510086314 TPS60150DRVR
2 2510538514 TPS63030DSKR
3 2510689514 TLV62065DSGR
4 2540804908 TPS22953DSQR
5 2540811408 TPS22954DSQR</t>
  </si>
  <si>
    <t>20250520000</t>
  </si>
  <si>
    <t>Datasheet for SNx4HCT273, SNx4HC08, SNx4HCT244, SNx4HC157, SN74AUP2G08, SNx4HC373, SNx4HC244, SNx4AC32</t>
  </si>
  <si>
    <t>PCN10H21020250529091608</t>
  </si>
  <si>
    <t>20250520000.0</t>
  </si>
  <si>
    <t>1 2600036708 SN74HC08DR
2 2600147508 SN74AC32PWR</t>
  </si>
  <si>
    <t>2025-05-27</t>
  </si>
  <si>
    <t>20250527000</t>
  </si>
  <si>
    <t>2025-05-28</t>
  </si>
  <si>
    <t>20250528000</t>
  </si>
  <si>
    <t>PCN10H21020250530034631</t>
  </si>
  <si>
    <t>20250528000.1</t>
  </si>
  <si>
    <t>1 2500398214 TLV75525PDRVR
2 2500398814 TLV75533PDRVR
3 2500508114 TLV76701DRVR
4 2500626014 TLV75733PDRVR
5 2500626214 TLV75730PDRVR
6 2500675014 TPS74501PDRVR
7 2511501814 TPS3431SDRBR
8 2513017714 TPS61021ADSGR
9 2513102514 LMR38025FDRRR
10 2513102614 LMR38025SDRRR
11 2540600308 LM5108DRCR
12 25406003AZ LM5108DRCR
13 2540614208 UCC27282DRCR
14 2540754908 TPS2372-4RGWR
15 2540758208 TMP1075DSGR
16 2542052108 THS6222IRHFR
17 2611384408 MSPM0G3107SRHBR</t>
  </si>
  <si>
    <t>2025-05-30</t>
  </si>
  <si>
    <t>20250529001</t>
  </si>
  <si>
    <t>Qualification of RFAB using qualified Process Technology, CD-PR as additional wafer probe site, Die revision, Data Sheet update and TI Malaysia as an additional Assembly/Test options for select devices</t>
  </si>
  <si>
    <t>2025/09/25</t>
  </si>
  <si>
    <t>PCN10H21020250925104231</t>
  </si>
  <si>
    <t>20250529001.1</t>
  </si>
  <si>
    <t>1 2510575011 LM5574MTX/NOPB
2 25105750CL LM5574MTX/NOPB</t>
  </si>
  <si>
    <t>2025-06-02</t>
  </si>
  <si>
    <t>20250602001</t>
  </si>
  <si>
    <t>2025/06/05</t>
  </si>
  <si>
    <t>PCN10H21020250605120748</t>
  </si>
  <si>
    <t>20250602001.1</t>
  </si>
  <si>
    <t>1 2600257908 TMUX1219DCKR</t>
  </si>
  <si>
    <t>2025-06-03</t>
  </si>
  <si>
    <t>20250602000</t>
  </si>
  <si>
    <t>Datasheet for LMG3626</t>
  </si>
  <si>
    <t>PCN10H21020250605123410</t>
  </si>
  <si>
    <t>20250602000.0</t>
  </si>
  <si>
    <t>1 2540628708 LMG3626REQR
2 2540630208 SN3626REQR</t>
  </si>
  <si>
    <t>2025-06-04</t>
  </si>
  <si>
    <t>20250604003</t>
  </si>
  <si>
    <t>Qualification of RFAB using qualified Process Technology, Die Revision, additional Assembly/Test site (PHI), &amp; BOM options for select devices</t>
  </si>
  <si>
    <t>PCN10H21020250925105738</t>
  </si>
  <si>
    <t>20250604003.1</t>
  </si>
  <si>
    <t>1 2520080111 LM50CIM3X/NOPB</t>
  </si>
  <si>
    <t>2025-06-05</t>
  </si>
  <si>
    <t>20250319003</t>
  </si>
  <si>
    <t>PCN10H21020250612100805</t>
  </si>
  <si>
    <t>20250319003.1</t>
  </si>
  <si>
    <t>1 2500055114 REF02AU/2K5
2 2520042214 ISO124P
3 2520042314 ISO124U/1K
4 2540414008 INA169NA/3K
5 2540414208 INA139NA/3K</t>
  </si>
  <si>
    <t>Qualification of DFAB as an additional Fab site option for select JIBB devices</t>
  </si>
  <si>
    <t>2025-06-09</t>
  </si>
  <si>
    <t>20250608002</t>
  </si>
  <si>
    <t>Qualification of CDAT as an additional Assembly/Test site for the Select Devices</t>
  </si>
  <si>
    <t>20250608000</t>
  </si>
  <si>
    <t>Qualification of CDAT as an additional Assembly/Test site for select devices</t>
  </si>
  <si>
    <t>PCN10H21020251011164248</t>
  </si>
  <si>
    <t>20250608000.2</t>
  </si>
  <si>
    <t>1 2520184614M OPA333AQDBVRQ1</t>
  </si>
  <si>
    <t>2025/09/29</t>
  </si>
  <si>
    <t>PCN10H21020250929162728</t>
  </si>
  <si>
    <t>20250608002.2</t>
  </si>
  <si>
    <t>1 2540821408 TPS22919QDCKRQ1
2 2600085508M SN74LVC1G08QDCKRQ1
3 2600157808M SN74LVC1G86QDCKRQ1
4 2600235108M SN74LVC1G79QDCKRQ1</t>
  </si>
  <si>
    <t>20250608001</t>
  </si>
  <si>
    <t>20250608003</t>
  </si>
  <si>
    <t>PCN10H21020250929153442</t>
  </si>
  <si>
    <t>20250608003.2</t>
  </si>
  <si>
    <t>1 2520298914M OPA320AQDBVRQ1</t>
  </si>
  <si>
    <t>2025-06-11</t>
  </si>
  <si>
    <t>20250610001</t>
  </si>
  <si>
    <t>Qualification of RFAB as an additional Fab site option, Die Revision &amp; BOM options for select devices</t>
  </si>
  <si>
    <t>PCN10H21020251231173954</t>
  </si>
  <si>
    <t>20250610001.1</t>
  </si>
  <si>
    <t>1 2600141308 SN74CB3T3245PWR</t>
  </si>
  <si>
    <t>2025-06-14</t>
  </si>
  <si>
    <t>20250612000</t>
  </si>
  <si>
    <t>Qualification of RFAB as an additional Fab site option, Die Revision, Datasheet &amp; TI CDAT as additional Assembly site option for select devices</t>
  </si>
  <si>
    <t>PCN10H21020251231174625</t>
  </si>
  <si>
    <t>20250612000.1</t>
  </si>
  <si>
    <t>1 2600195308 TS5A3157DCKR
2 26001953VK TS5A3157DCKR
3 2600195608 SN74LVC1G3157DBVR
4 2600204108 SN74LVC1G3157DCKR</t>
  </si>
  <si>
    <t>2026/01/02</t>
  </si>
  <si>
    <t>PCN10H21020260102101543</t>
  </si>
  <si>
    <t>20250612000.2</t>
  </si>
  <si>
    <t>1 2600195208M 1P1G3157QDCKRQ1</t>
  </si>
  <si>
    <t>2025-06-18</t>
  </si>
  <si>
    <t>20250618008</t>
  </si>
  <si>
    <t>Qualification of FFAB using qualified Process Technology, Die Revision, Datasheet, and additional Assembly Site (TIEMA) &amp; BOM options for select devices</t>
  </si>
  <si>
    <t>20250618000</t>
  </si>
  <si>
    <t>20250618002</t>
  </si>
  <si>
    <t>Qualification of RFAB using qualified Process Technology, Die Revision, Datasheet, and TFME BOM options for select devices</t>
  </si>
  <si>
    <t>2025-06-19</t>
  </si>
  <si>
    <t>20250618007</t>
  </si>
  <si>
    <t>Qualification of DFAB as an additional Fab site option for select EPIC1S2 devices</t>
  </si>
  <si>
    <t>20250618004</t>
  </si>
  <si>
    <t>Qualification of DFAB as an additional Fab site option for select JI devices</t>
  </si>
  <si>
    <t>2025/06/24</t>
  </si>
  <si>
    <t>PCN10H21020250624044547</t>
  </si>
  <si>
    <t>20250618004.1</t>
  </si>
  <si>
    <t>1 203537030303 TPD2E007DCKR</t>
  </si>
  <si>
    <t>20250618003</t>
  </si>
  <si>
    <t>20250616001</t>
  </si>
  <si>
    <t>Qualification of RFAB using qualified Process Technology, Die revision and TI Malaysia, TI CDAT as an additional Assembly site options for select devices</t>
  </si>
  <si>
    <t>20250618009</t>
  </si>
  <si>
    <t>Qualification of RFAB using qualified Process Technology, Die revision, CD-PR &amp; TIEM-PR as Probe site  and TI Philippines as an additional Assembly/Test option for select devices</t>
  </si>
  <si>
    <t>20250618006</t>
  </si>
  <si>
    <t>Qualification of RFAB using qualified Process Technology, Die Revision, Datasheet and additional Assembly site (CDAT) and BOM options for select devices</t>
  </si>
  <si>
    <t>20250618011</t>
  </si>
  <si>
    <t>Qualification of TI Philippines (PHI) as an additional Assembly/Test site for the Select Devices</t>
  </si>
  <si>
    <t>20250618005</t>
  </si>
  <si>
    <t>Qualification of DFAB as an additional Fab site option for select JI2 devices</t>
  </si>
  <si>
    <t>2025-06-20</t>
  </si>
  <si>
    <t>20250618012</t>
  </si>
  <si>
    <t>Adding CLARK-PR as additional wafer probe test site and TI Clark as an additional Assembly/Test site for the Select Devices</t>
  </si>
  <si>
    <t>2026/01/30</t>
  </si>
  <si>
    <t>PCN10H21020260130165513</t>
  </si>
  <si>
    <t>20250618012.2</t>
  </si>
  <si>
    <t>2025-06-26</t>
  </si>
  <si>
    <t>20250625003</t>
  </si>
  <si>
    <t>PCN10H21020250703094710</t>
  </si>
  <si>
    <t>20250625003.0</t>
  </si>
  <si>
    <t>1 2611362808 F280039CSPZ
2 2611377608 F280037SPMR</t>
  </si>
  <si>
    <t>2025-07-01</t>
  </si>
  <si>
    <t>20250630000</t>
  </si>
  <si>
    <t>20250630001</t>
  </si>
  <si>
    <t>20250625004</t>
  </si>
  <si>
    <t>Datasheet for SN74AVC1T45, SN74AVCH1T45</t>
  </si>
  <si>
    <t>2026/04/01</t>
  </si>
  <si>
    <t>PCN10H21020260401101106</t>
  </si>
  <si>
    <t>20250630000.2</t>
  </si>
  <si>
    <t>1 2510155314M UCC28070QPWRQ1
2 2520121314M TLC2272AQPWRQ1
3 2520121414M TLC2274AQPWRQ1
4 2540464308M TXB0104QPWRQ1
5 2540485008M TRS3232EQPWRQ1
6 2600116608M SN74LVC244AQPWRQ1
7 26001166DEM SN74LVC244AQPWRQ1
8 2600276008M TS3A27518EIPWRQ1
9 26002760GL9M TS3A27518EIPWRQ1
10 26002760GLM TS3A27518EIPWRQ1</t>
  </si>
  <si>
    <t>PCN10H21020250703095221</t>
  </si>
  <si>
    <t>20250630000.1</t>
  </si>
  <si>
    <t>1 2610944808 MSP430FR5849IDAR</t>
  </si>
  <si>
    <t>2025-07-02</t>
  </si>
  <si>
    <t>20250701000</t>
  </si>
  <si>
    <t>2025/07/04</t>
  </si>
  <si>
    <t>PCN10H21020250704102324</t>
  </si>
  <si>
    <t>20250701000.1</t>
  </si>
  <si>
    <t>1 2540605608 UCC27714DR
2 2611300808 MSP430G2230QDREP</t>
  </si>
  <si>
    <t>20250702000</t>
  </si>
  <si>
    <t>Qualification of RFAB using qualified Process Technology, Die Revision, Datasheet, Assembly/Test site (PHI) and BOM options for select devices</t>
  </si>
  <si>
    <t>2025-07-10</t>
  </si>
  <si>
    <t>20250710000</t>
  </si>
  <si>
    <t>Qualification of RFAB as an additional Fab site option, Die Revision, Datasheet, BOM options &amp;  additional Assembly site option (CDAT, MLA, TFME) for select devices</t>
  </si>
  <si>
    <t>2026/01/07</t>
  </si>
  <si>
    <t>PCN10H21020260107170305</t>
  </si>
  <si>
    <t>20250710000.1</t>
  </si>
  <si>
    <t>1 2600097108 SN74LVC112APWR</t>
  </si>
  <si>
    <t>2025-07-11</t>
  </si>
  <si>
    <t>20250709002</t>
  </si>
  <si>
    <t>Qualification of RFAB as an additional Fab site option, Die Revision, Datasheet &amp; TI Chengdu, TI Philippines as additional Assembly &amp; Test site options for select devices</t>
  </si>
  <si>
    <t>20250703000</t>
  </si>
  <si>
    <t>Datasheet for INA226</t>
  </si>
  <si>
    <t>20250710001</t>
  </si>
  <si>
    <t>Qualification of RFAB as an additional Fab site option, Die Revision, Datasheet &amp; BOM options for select devices</t>
  </si>
  <si>
    <t>2025/07/18</t>
  </si>
  <si>
    <t>PCN10H21020250718110110</t>
  </si>
  <si>
    <t>20250703000.0</t>
  </si>
  <si>
    <t>2025-07-14</t>
  </si>
  <si>
    <t>20250709000</t>
  </si>
  <si>
    <t>Datasheet for ISOUSB111</t>
  </si>
  <si>
    <t>2025/07/22</t>
  </si>
  <si>
    <t>PCN10H21020250722152922</t>
  </si>
  <si>
    <t>20250709000.0</t>
  </si>
  <si>
    <t>1 2540742308 ISOUSB111DWR
2 2542043508 ISOUSB111DWXR</t>
  </si>
  <si>
    <t>20250711000</t>
  </si>
  <si>
    <t>Datasheet for SN74LVC02A, SN74LVC112A, SN74LVC1G04, SN74LVC1G06, SN74LVC1G07, SN74LVC1G14, SN74LVC1G17, SN74LVC1G34</t>
  </si>
  <si>
    <t>2025-07-23</t>
  </si>
  <si>
    <t>20250722000</t>
  </si>
  <si>
    <t>Datasheet for LM3302, LM339B, LM2901B, LM339, LM239, LM139, LM2901</t>
  </si>
  <si>
    <t>2025/07/24</t>
  </si>
  <si>
    <t>PCN10H21020250724103020</t>
  </si>
  <si>
    <t>1 2520003114 LM339DR
2 2520003614 LM339ADR
3 2520003914 LM339PWR
4 2520050014 LM2901DR
5 2520050314 LM2901PWR
6 2520050714 LM2901AVQPWRG4
7 2520089014 LM239DR
8 2520089214 LM239PWR
9 2520204414 LM339APWR
10 2522045714 LM339BIPWR
11 2522052314 LM2901BIDR</t>
  </si>
  <si>
    <t>2025-07-25</t>
  </si>
  <si>
    <t>2025/12/22</t>
  </si>
  <si>
    <t>PCN10H21020251222104013</t>
  </si>
  <si>
    <t>20250226008.1</t>
  </si>
  <si>
    <t>2025-07-28</t>
  </si>
  <si>
    <t>20250728000</t>
  </si>
  <si>
    <t>2025-07-29</t>
  </si>
  <si>
    <t>20250729001</t>
  </si>
  <si>
    <t>Qualification of RFAB as an additional Fab site, CD-PR as additional wafer probe site, Die Revision, Datasheet update and TI Malaysia as additional Assembly/Test site options for select devices</t>
  </si>
  <si>
    <t>2025-07-30</t>
  </si>
  <si>
    <t>20250717000</t>
  </si>
  <si>
    <t>Datasheet for TMCS1133, TMCS1133-Q1, TMCS1127, TMCS1127-Q1, TMCS1123-Q1</t>
  </si>
  <si>
    <t>2025/08/12</t>
  </si>
  <si>
    <t>PCN10H21020250812114650</t>
  </si>
  <si>
    <t>20250717000.0</t>
  </si>
  <si>
    <t>20250730000</t>
  </si>
  <si>
    <t>Qualification of an additional assembly site using qualified BOM options for select devices</t>
  </si>
  <si>
    <t>2025-07-31</t>
  </si>
  <si>
    <t>20250730005</t>
  </si>
  <si>
    <t>20250730007</t>
  </si>
  <si>
    <t>Qualification of RFAB using qualified Process Technology, Die Revision, additional Assembly Site &amp; BOM options for select devices</t>
  </si>
  <si>
    <t>20250730004</t>
  </si>
  <si>
    <t>Qualification of RFAB using qualified Process Technology, Die Revision, Datasheet and BOM options for select devices</t>
  </si>
  <si>
    <t>20250730008</t>
  </si>
  <si>
    <t>Qualification of RFAB using qualified Process Technology, Die Revision, Datasheet, and alternate BOM qualification for select devices</t>
  </si>
  <si>
    <t>20250730010</t>
  </si>
  <si>
    <t>Qualification of RFAB using qualified Process Technology, Datasheet, and alternate BOM qualification for select devices</t>
  </si>
  <si>
    <t>2025/08/14</t>
  </si>
  <si>
    <t>PCN10H21020250814111300</t>
  </si>
  <si>
    <t>20250730010.1.A</t>
  </si>
  <si>
    <t>1 2500182814 LM317MDCYR
2 2500420414 LM317MKVURG3</t>
  </si>
  <si>
    <t>PCN10H21020250812163240</t>
  </si>
  <si>
    <t>1 2510761314M UCC2808AQDR-2Q1</t>
  </si>
  <si>
    <t>2025-08-01</t>
  </si>
  <si>
    <t>20250731001</t>
  </si>
  <si>
    <t>PCN10H21020250814122923</t>
  </si>
  <si>
    <t>20250731001.1</t>
  </si>
  <si>
    <t>1 2600113808 SN74LVC2G14DCKR
2 2600159208 SN74LVC1G32DCKR
3 26001592DL8 SN74LVC1G32DCKR
4 2600174208 SN74LVC1G07DCKR
5 26001742BS SN74LVC1G07DCKR
6 26001742DL8 SN74LVC1G07DCKR
7 2600189008 SN74LVC1G17DCKR</t>
  </si>
  <si>
    <t>2025-08-04</t>
  </si>
  <si>
    <t>20250801000</t>
  </si>
  <si>
    <t>Qualification of Clark-PR as additional wafer Probe site for select devices</t>
  </si>
  <si>
    <t>PCN10H21020260401143020</t>
  </si>
  <si>
    <t>20250801000.2A</t>
  </si>
  <si>
    <t>1 2512001114M TPS3840DL29DBVRQ1
2 25120011ZI9M TPS3840DL29DBVRQ1
3 2512003614 TPS3840DL30DBVRQ1
4 2512003614M TPS3840DL30DBVRQ1
5 2513048514M TPS62816QWRWYRQ1
6 25130485GL9M TPS62816QWRWYRQ1
7 25130485GLM TPS62816QWRWYRQ1
8 2540772608M UCC21750QDWRQ1
9 2540819708M TPS1HC100BQPWPRQ1</t>
  </si>
  <si>
    <t>2025-08-06</t>
  </si>
  <si>
    <t>20250806000</t>
  </si>
  <si>
    <t>Qualification of CLARK-PR  as additional wafer probe site &amp; TI Malaysia as additional Assembly &amp; Test site options for select devices</t>
  </si>
  <si>
    <t>2026/02/03</t>
  </si>
  <si>
    <t>PCN10H21020260203165323</t>
  </si>
  <si>
    <t>20250806000.2</t>
  </si>
  <si>
    <t>1 2510668514M TPS40210QDGQRQ1</t>
  </si>
  <si>
    <t>2026/02/25</t>
  </si>
  <si>
    <t>PCN10H21020260225153651</t>
  </si>
  <si>
    <t>20250806000.2A</t>
  </si>
  <si>
    <t>2025-08-07</t>
  </si>
  <si>
    <t>20250807000</t>
  </si>
  <si>
    <t>2026/02/04</t>
  </si>
  <si>
    <t>PCN10H21020260204165113</t>
  </si>
  <si>
    <t>20250807000.1</t>
  </si>
  <si>
    <t>1 2520065914 TLC27L9CDR
2 2520250314 TLC27L9IDR
3 2520250514 TLC27L2IDR</t>
  </si>
  <si>
    <t>20250806001</t>
  </si>
  <si>
    <t>Qualification of additional Fab site (DFAB) and additional Assembly/Test site (FMX) options for select JI devices</t>
  </si>
  <si>
    <t>2025-08-11</t>
  </si>
  <si>
    <t>20250805001</t>
  </si>
  <si>
    <t>Qualification of RFAB using qualified Process Technology, Die Revision, Datasheet and additional Assembly site and BOM options for select devices</t>
  </si>
  <si>
    <t>2025-08-19</t>
  </si>
  <si>
    <t>20250818000</t>
  </si>
  <si>
    <t>Qualification of new BOM &amp; Hybrid wafer saw for select package devices</t>
  </si>
  <si>
    <t>2025/08/20</t>
  </si>
  <si>
    <t>PCN10H21020250820122611</t>
  </si>
  <si>
    <t>20250818000.1</t>
  </si>
  <si>
    <t>1 2511302114 LM74502DDFR</t>
  </si>
  <si>
    <t>2026/04/06</t>
  </si>
  <si>
    <t>PCN10H21020260406123152</t>
  </si>
  <si>
    <t>20250818000.2</t>
  </si>
  <si>
    <t>1 2600522108M SN3257QDYYRQ1</t>
  </si>
  <si>
    <t>2025-08-20</t>
  </si>
  <si>
    <t>20250819001</t>
  </si>
  <si>
    <t>2025/08/29</t>
  </si>
  <si>
    <t>PCN10H21020250829161602</t>
  </si>
  <si>
    <t>20250819001.1</t>
  </si>
  <si>
    <t>1 2500198311 LM5005MHX/NOPB
2 2510443211 LM5025BMTCX/NOPB
3 2510464311 LM5026MTX/NOPB
4 2510464511 LM5035BMHX/NOPB
5 2510575111 LM5576MHX/NOPB
6 2510575211 LM5575MHX/NOPB
7 2510657314 LM5118MHX/NOPB
8 2510706614 LM5122MHX/NOPB
9 2510708014 LM5066PMHX/NOPB
10 25107080CL LM5066PMHX/NOPB
11 2510734914 LM25116MHX/NOPB
12 2510735714 LM5010AMHX/NOPB
13 2510744714 LM25118MHX/NOPB
14 2510752114 LM5116MHX/NOPB
15 2510760814 LM5088MHX-2/NOPB
16 2510791314 LM5000-3MTCX/NOPB
17 2510846114 LM5066IPMHX/NOPB
18 2513078114 LM25576MHX/NOPB
19 2520017111 LMV324MTX/NOPB
20 2530300708 DS90LV049TMTX/NOPB
21 2540314204 ADC78H90CIMTX/NOPB
22 2540361104 LM96000CIMTX/NOPB
23 2540469908 ADC128D818CIMTX/NOPB</t>
  </si>
  <si>
    <t>2025-08-22</t>
  </si>
  <si>
    <t>20250821002</t>
  </si>
  <si>
    <t>Datasheet for TXS0102, TXS0102-Q1</t>
  </si>
  <si>
    <t>2025/08/28</t>
  </si>
  <si>
    <t>PCN10H21020250828093059</t>
  </si>
  <si>
    <t>20250821002.0</t>
  </si>
  <si>
    <t>1 2540541408 TXS0102DCUR
2 2540541408M TXS0102QDCURQ1
3 2540718808 TXS0102YZPR
4 2540721808 TXS0102DCTR</t>
  </si>
  <si>
    <t>2025/09/18</t>
  </si>
  <si>
    <t>PCN10H21020250918093734</t>
  </si>
  <si>
    <t>20250821002.A</t>
  </si>
  <si>
    <t>2026/03/30</t>
  </si>
  <si>
    <t>PCN10H21020260330113213</t>
  </si>
  <si>
    <t>2025-08-25</t>
  </si>
  <si>
    <t>20250822000</t>
  </si>
  <si>
    <t>Device Topside Marking Change for select Devices</t>
  </si>
  <si>
    <t>PCN10H21020250829160536</t>
  </si>
  <si>
    <t>20250822000.0</t>
  </si>
  <si>
    <t>1 2520297914 OPA211AIDGKR
2 2540377186 ADS7817E/2K5
3 2540760008 TMP1075DGKR</t>
  </si>
  <si>
    <t>2025-08-28</t>
  </si>
  <si>
    <t>20250827001</t>
  </si>
  <si>
    <t>Qualification of RFAB using qualified Process Technology, Die Revision, additional Assembly site and BOM options for select devices</t>
  </si>
  <si>
    <t>2025-08-29</t>
  </si>
  <si>
    <t>20250829000</t>
  </si>
  <si>
    <t>Datasheet for DACx1416</t>
  </si>
  <si>
    <t>2025-09-04</t>
  </si>
  <si>
    <t>20250903001</t>
  </si>
  <si>
    <t>2025/09/05</t>
  </si>
  <si>
    <t>PCN10H21020250905122222</t>
  </si>
  <si>
    <t>20250903001.1</t>
  </si>
  <si>
    <t>1 2513077014 TPS563257DRLR
2 2513085614 TPS563252DRLR</t>
  </si>
  <si>
    <t>2025-09-10</t>
  </si>
  <si>
    <t>20250910001</t>
  </si>
  <si>
    <t>Qualification of RFAB using qualified Process Technology, Datasheet, Die Revision, and additional Assembly site for select devices</t>
  </si>
  <si>
    <t>2025-09-11</t>
  </si>
  <si>
    <t>20250910002</t>
  </si>
  <si>
    <t>Qualification of RFAB using qualified Process Technology, Datasheet, Die Revision, additional Assembly site and options for select devices</t>
  </si>
  <si>
    <t>2025-09-18</t>
  </si>
  <si>
    <t>20250918000</t>
  </si>
  <si>
    <t>Qualification of TIEM-PR as additional wafer Probe site for select devices</t>
  </si>
  <si>
    <t>2026/03/26</t>
  </si>
  <si>
    <t>PCN10H21020260326151749</t>
  </si>
  <si>
    <t>20250918000.2A</t>
  </si>
  <si>
    <t>1 2600366608 SN74AHC1G08QDBVRQ1
2 2600366608M SN74AHC1G08QDBVRQ1</t>
  </si>
  <si>
    <t>2025-09-20</t>
  </si>
  <si>
    <t>20250919000</t>
  </si>
  <si>
    <t>2025/09/26</t>
  </si>
  <si>
    <t>PCN10H21020250926113837</t>
  </si>
  <si>
    <t>20250919000.1</t>
  </si>
  <si>
    <t>1 2500235014 LP2985-33DBVR
2 2500235514 LP2985A-33DBVR
3 2500235614 LP2985A-50DBVR
4 2500270814 LP2981A-50DBVR
5 2500436014 LP2985-50DBVR
6 2500469014 LP2981-50DBVR
7 2510330714 TPS3808G01DBVR
8 2510330814 TPS3808G18DBVR
9 2510592114 TPS3808G33DBVR
10 2510786814 TPS560430XFDBVR
11 2510786914 TPS560430X3FDBVR
12 2510786914 TPS560430X3FDBVR
13 2512002314 TPS3813K33DBVR
14 2513026114 TLV61046ADBVR
15 2513088814 LMR54410DBVR
16 2513091014 LMR51610XDBVR
17 2520170214 TL331IDBVR
18 2520269014 TL331KDBVR
19 2540479908 TPD4E001DBVR
20 2600195608 SN74LVC1G3157DBVR</t>
  </si>
  <si>
    <t>2025-09-23</t>
  </si>
  <si>
    <t>20250922000</t>
  </si>
  <si>
    <t>Qualification of TIEM as an additional Assembly &amp; Test site  for select devices</t>
  </si>
  <si>
    <t>PCN10H21020250925171718</t>
  </si>
  <si>
    <t>20250922000.1</t>
  </si>
  <si>
    <t>1 2540595508 ISO1540DR
2 2540614608 UCC5350SBDR
3 2540720108 ISO1541DR
4 2540774008 UCC5350MCDR
5 2540775308 UCC5310MCDR</t>
  </si>
  <si>
    <t>2025-09-24</t>
  </si>
  <si>
    <t>20250923000</t>
  </si>
  <si>
    <t>PCN10H21020250926124545</t>
  </si>
  <si>
    <t>20250923000.1</t>
  </si>
  <si>
    <t>1 2510455714 TPS5430DDAR
2 2510879514 DRV8872DDAR
3 25108795BS DRV8872DDAR</t>
  </si>
  <si>
    <t>20250924000</t>
  </si>
  <si>
    <t>Qualification of RFAB using qualified Process Technology, Datasheet, Die Revision, additional Assembly/Test site options for select devices</t>
  </si>
  <si>
    <t>2025-09-25</t>
  </si>
  <si>
    <t>20250925000</t>
  </si>
  <si>
    <t>Qualification of TI Philippines as an additional Assembly/Test site for select devices</t>
  </si>
  <si>
    <t>2025-09-30</t>
  </si>
  <si>
    <t>20250930000</t>
  </si>
  <si>
    <t>Qualification of TI Clark as an additional Wafer Probe site and Assembly/Test site for select devices</t>
  </si>
  <si>
    <t>2026/04/02</t>
  </si>
  <si>
    <t>PCN10H21020260402174343</t>
  </si>
  <si>
    <t>20250930000.2</t>
  </si>
  <si>
    <t>1 2540624508M UCC27282QDRCRQ1</t>
  </si>
  <si>
    <t>2025-10-04</t>
  </si>
  <si>
    <t>20251003000</t>
  </si>
  <si>
    <t>Qualification of additional Assembly sites for select SOIC devices</t>
  </si>
  <si>
    <t>2025-10-08</t>
  </si>
  <si>
    <t>20251008002</t>
  </si>
  <si>
    <t>Qualification of RFAB using qualified Process Technology, Design, Datasheet and additional Assembly BOM options for select devices</t>
  </si>
  <si>
    <t>2025-10-09</t>
  </si>
  <si>
    <t>20251009000</t>
  </si>
  <si>
    <t>Datasheet for TMS320F2837HD</t>
  </si>
  <si>
    <t>PCN10H21020251011120006</t>
  </si>
  <si>
    <t>20251009000.0</t>
  </si>
  <si>
    <t>1 2633036208 TMS320F2837HDPTPT</t>
  </si>
  <si>
    <t>2025/10/17</t>
  </si>
  <si>
    <t>PCN10H21020251017152021</t>
  </si>
  <si>
    <t>2025-10-13</t>
  </si>
  <si>
    <t>20251013000</t>
  </si>
  <si>
    <t>2026/02/26</t>
  </si>
  <si>
    <t>PCN10H21020260226174607</t>
  </si>
  <si>
    <t>20251013000.2</t>
  </si>
  <si>
    <t>1 2522016114M ALM2403QPWPRQ1</t>
  </si>
  <si>
    <t>2025-10-15</t>
  </si>
  <si>
    <t>20251014000</t>
  </si>
  <si>
    <t>2025/10/22</t>
  </si>
  <si>
    <t>PCN10H21020251022101810</t>
  </si>
  <si>
    <t>20251014000.1</t>
  </si>
  <si>
    <t>1 203907301103 TPD4E05U06DQAR
2 203907304803 ESD351DPYR
3 203907308203 TPD1E1B04DPYR
4 2500365214 TPS51206DSQR
5 2500489914 TPS7A1111PDRVR
6 2500499514 LP5912-1.8DRVR
7 2500508214 TLV76750DRVR
8 2500555714 TLV73311PDQNR
9 2500652414 LP5907SNX-4.5/NOPB
10 2500665614 TPS7A20105PDQNR
11 2500671214 TLV73318PDQNR
12 2500713314 TPS7B8150DRVR
13 2500713714 TPS7A8901RTJR
14 2510474914 TPS3850H01DRCR
15 2511001614 BQ29209DRBR
16 2512006114 TPS3850H33DRCR
17 2513075014 LM5146RGYR
18 2522043714 LM393LVDSGR
19 2522061914 OPA2387DSGR
20 2530275408 TDES954RGZR
21 2540558508 INA3221AIRGVR
22 2540603808 UCC27614DSGR
23 2540603808 UCC27614DSGR
24 2540701208 TUSB211RWBR
25 2540791208 TPS23731RMTR
26 2542034508 TUSB320LAIRWBR
27 2542041008 TUSB320IRWBR
28 2600265208 SN74LV164ARGYR
29 2600280708 TXU0104BQAR
30 2626014708 CC1190RGVR
31 2626063808 CC2650F128RSMR
32 26260638DL8 CC2650F128RSMR
33 2626065808 CC2640R2FRSMR
34 26260658CL CC2640R2FRSMR
35 2626070908 CC1312R1F3RGZR
36 2626085608 CC2642R1FRGZR</t>
  </si>
  <si>
    <t>20251014001</t>
  </si>
  <si>
    <t>2025-10-18</t>
  </si>
  <si>
    <t>20251016000</t>
  </si>
  <si>
    <t>Qualify TIEM and CDAT as an additional Assembly site for select devices</t>
  </si>
  <si>
    <t>20251017001</t>
  </si>
  <si>
    <t>Qualification of RFAB as an additional Fab site, Die Revision and CDAT as additional Assembly site option for select devices</t>
  </si>
  <si>
    <t>2025/10/30</t>
  </si>
  <si>
    <t>PCN10H21020251030101225</t>
  </si>
  <si>
    <t>20251017001.1</t>
  </si>
  <si>
    <t>1 2600354608 SN74LVC244ARGYR</t>
  </si>
  <si>
    <t>20251017000</t>
  </si>
  <si>
    <t>Qualification of RFAB as an additional Fab site, Die Revision &amp; BOM option for select devices</t>
  </si>
  <si>
    <t>PCN10H21020251030101724</t>
  </si>
  <si>
    <t>20251017000.1</t>
  </si>
  <si>
    <t>1 2600062908 SN74LVC541APWR
2 2600116608 SN74LVC244APWR
3 2600219708 SN74LVC540APWR</t>
  </si>
  <si>
    <t>PCN10H21020251030105908</t>
  </si>
  <si>
    <t>20251016000.1</t>
  </si>
  <si>
    <t>1 2520003914 LM339PWR
2 2520050314 LM2901PWR
3 2520089214 LM239PWR
4 2520201814 TLV2374IPWR
5 2520204414 LM339APWR
6 2522001014 TLV9064IPWR
7 2540122708 ULN2003AIPWR
8 2540435908 TCA9546APWR
9 2600050908 SN74LV164APWR
10 26000509DL8 SN74LV164APWR
11 2600081808 SN74LVC00APWR
12 2600091908 SN74LVC14APWR
13 2600092208 SN74LVC08APWR
14 2600093608 SN74LV4052APWR
15 2600103808 SN74LVC125APWR
16 2600133008 SN74LV4051APWR
17 2600133108 CD74HC4051PWR
18 26001331GU CD74HC4051PWR
19 2600374408 AM26C31IPWR</t>
  </si>
  <si>
    <t>20251015000</t>
  </si>
  <si>
    <t>Qualification of MLA as an additional Assembly/Test site for select devices</t>
  </si>
  <si>
    <t>PCN10H21020251030100710</t>
  </si>
  <si>
    <t>20251015000.1</t>
  </si>
  <si>
    <t>1 2541509108 UCC5390ECDWVR</t>
  </si>
  <si>
    <t>Qualify MLA as an additional Assembly site for select devices</t>
  </si>
  <si>
    <t>2025-10-23</t>
  </si>
  <si>
    <t>20251015004</t>
  </si>
  <si>
    <t>Datasheet for TMCS1101-Q1, TMCS1101, TMCS1100-Q1, TMCS1100, INA700, INA20x-Q1, DRV425</t>
  </si>
  <si>
    <t>20251022002</t>
  </si>
  <si>
    <t>20251022001</t>
  </si>
  <si>
    <t>20251015003</t>
  </si>
  <si>
    <t>Datasheet for MSPM0G310x, MSPM0G150x, MSPM0G110x, MSPM0G350x, MSPM0G310x-Q1, MSPM0G350x-Q1</t>
  </si>
  <si>
    <t>2025/11/05</t>
  </si>
  <si>
    <t>PCN10H21020251105175009</t>
  </si>
  <si>
    <t>20251015003.0</t>
  </si>
  <si>
    <t>1 2611382808 MSPM0G1107TPTR
2 2611383108 MSPM0G1506SPTR
3 2611384408 MSPM0G3107SRHBR
4 2611392508 MSPM0G1507SPTR
5 2611396008 MSPM0G3506SRHBR</t>
  </si>
  <si>
    <t>2025/12/08</t>
  </si>
  <si>
    <t>PCN10H21020251208151850</t>
  </si>
  <si>
    <t>20251015004.0</t>
  </si>
  <si>
    <t>1 2542078008 INA700AYWFR</t>
  </si>
  <si>
    <t>2025-10-28</t>
  </si>
  <si>
    <t>20251027001</t>
  </si>
  <si>
    <t>2025/11/12</t>
  </si>
  <si>
    <t>PCN10H21020251112120940</t>
  </si>
  <si>
    <t>20251027001.0</t>
  </si>
  <si>
    <t>1 2540517308 ISO7221BDR
2 2540517608 ISO7240CDWR
3 2540523608 ISO7220ADR
4 2540523908 ISO7242CDWR
5 2540540208 ISO7240CFDWR
6 2540540408M ISO7241CQDWRQ1
7 2540540908 ISO7220BDR
8 2540553308 ISO7231CDWR
9 2540553408 ISO7221CDR
10 2540559208M ISO7221CQDRQ1
11 2540574608M ISO7231CQDWRQ1</t>
  </si>
  <si>
    <t>2025-10-29</t>
  </si>
  <si>
    <t>20251021000</t>
  </si>
  <si>
    <t>Datasheet for TXS0101, TXB0108, and LSF0002</t>
  </si>
  <si>
    <t>PCN10H21020251105104332</t>
  </si>
  <si>
    <t>20251021000.0</t>
  </si>
  <si>
    <t>1 2540541008 TXS0101DBVR
2 25405410RK TXS0101DBVR
3 2540703608 TXB0108DQSR
4 2540787708 TXS0101DCKR
5 25407877RK TXS0101DCKR</t>
  </si>
  <si>
    <t>20251028001</t>
  </si>
  <si>
    <t>2025-10-30</t>
  </si>
  <si>
    <t>20251029001</t>
  </si>
  <si>
    <t>Datasheet for TXU0204-Q1 and TXU0304-Q1</t>
  </si>
  <si>
    <t>2025/11/10</t>
  </si>
  <si>
    <t>PCN10H21020251110100504</t>
  </si>
  <si>
    <t>20251029001.0</t>
  </si>
  <si>
    <t>1 2542020208M TXU0304QPWRQ1</t>
  </si>
  <si>
    <t>20251029000</t>
  </si>
  <si>
    <t>Datasheet for CDCE6214-Q1</t>
  </si>
  <si>
    <t>2025-10-31</t>
  </si>
  <si>
    <t>20251029002</t>
  </si>
  <si>
    <t>Datasheet for REF31xx-Q1</t>
  </si>
  <si>
    <t>PCN10H21020251110101705</t>
  </si>
  <si>
    <t>20251029002.0</t>
  </si>
  <si>
    <t>1 2500620514M REF3130AQDBZRQ1</t>
  </si>
  <si>
    <t>2025-11-03</t>
  </si>
  <si>
    <t>20251103000</t>
  </si>
  <si>
    <t>Qualify MLA as an additional Assembly/Test site for select devices</t>
  </si>
  <si>
    <t>20251102000</t>
  </si>
  <si>
    <t>2025/11/13</t>
  </si>
  <si>
    <t>PCN10H21020251113112635</t>
  </si>
  <si>
    <t>20251102000.0</t>
  </si>
  <si>
    <t>1 2611313508 F280049PMSR
2 26113135GU F280049PMSR
3 2611317208 F280049PZSR</t>
  </si>
  <si>
    <t>2025-11-04</t>
  </si>
  <si>
    <t>20251104003</t>
  </si>
  <si>
    <t>Qualification of RFAB using qualified Process Technology, Die Change, new assembly sites (MLA &amp; MEX) and BOM updates</t>
  </si>
  <si>
    <t>20251103001</t>
  </si>
  <si>
    <t>PCN10H21020251112150404</t>
  </si>
  <si>
    <t>20251103001.1</t>
  </si>
  <si>
    <t>1 2540521108 INA208AIDGSR</t>
  </si>
  <si>
    <t>20251104001</t>
  </si>
  <si>
    <t>Datasheet for SN2011029</t>
  </si>
  <si>
    <t>2025/11/24</t>
  </si>
  <si>
    <t>PCN10H21020251124124854</t>
  </si>
  <si>
    <t>20251104001.0</t>
  </si>
  <si>
    <t>1 2522020714M SN2011029QDWVRQ1</t>
  </si>
  <si>
    <t>2025-11-05</t>
  </si>
  <si>
    <t>20251031003</t>
  </si>
  <si>
    <t>Qualification of MIHO using qualified Process Technology, additional Assembly site and BOM options for select devices</t>
  </si>
  <si>
    <t>2025-11-06</t>
  </si>
  <si>
    <t>20251104000</t>
  </si>
  <si>
    <t>Qualification of RFAB using qualified Process Technology, Die Revision, Datasheet, and additional Assembly Site (CDAT &amp; TIEMA) &amp; BOM options for select devices</t>
  </si>
  <si>
    <t>PCN10H21020251113114646</t>
  </si>
  <si>
    <t>20251104000.1</t>
  </si>
  <si>
    <t>1 2600005908 SN74LVC1G06DCKR
2 2600135808 SN74LVC1G04DCKR
3 2600174208 SN74LVC1G07DCKR
4 26001742BS SN74LVC1G07DCKR
5 26001742DL8 SN74LVC1G07DCKR
6 2600189008 SN74LVC1G17DCKR
7 2600194108 SN74LVC1G34DCKR
8 2600210008 SN74LVC1G14DCKR</t>
  </si>
  <si>
    <t>20251105000</t>
  </si>
  <si>
    <t>PCN10H21020251113120308</t>
  </si>
  <si>
    <t>20251105000.1</t>
  </si>
  <si>
    <t>1 2520116414 OPA2244UA/2K5</t>
  </si>
  <si>
    <t>2025-11-10</t>
  </si>
  <si>
    <t>20251103004</t>
  </si>
  <si>
    <t>2025-11-11</t>
  </si>
  <si>
    <t>20251109000</t>
  </si>
  <si>
    <t>Qualification of CFAB using qualified Process Technology for select devices</t>
  </si>
  <si>
    <t>20251111000</t>
  </si>
  <si>
    <t>Adding TIEM-PR as additional wafer probe test site and  Qualify MLA as an additional Assembly/Test site for select devices</t>
  </si>
  <si>
    <t>2026/06/02</t>
  </si>
  <si>
    <t>PCN10H21020260602024122</t>
  </si>
  <si>
    <t>20251111000.2</t>
  </si>
  <si>
    <t>1 2600272508M SN74LVC2T45QDCURQ1</t>
  </si>
  <si>
    <t>20251111002</t>
  </si>
  <si>
    <t>Qualification of TI Clark as an additional Assembly site and Firmware Change for select devices</t>
  </si>
  <si>
    <t>2025-11-12</t>
  </si>
  <si>
    <t>20251107002</t>
  </si>
  <si>
    <t>Datasheet for TCAN1162x-Q1 and TCAN1162-Q1</t>
  </si>
  <si>
    <t>20251111003</t>
  </si>
  <si>
    <t>2025-11-14</t>
  </si>
  <si>
    <t>20251114001</t>
  </si>
  <si>
    <t>Qualification of additional Probe, Test, and Assembly sites for select devices</t>
  </si>
  <si>
    <t>20251112000</t>
  </si>
  <si>
    <t>Qualification of MLA additional Assembly/Test site for select devices</t>
  </si>
  <si>
    <t>2025-11-17</t>
  </si>
  <si>
    <t>20251112005</t>
  </si>
  <si>
    <t>Adding TIEM-PR as additional wafer probe test site</t>
  </si>
  <si>
    <t>2026/06/24</t>
  </si>
  <si>
    <t>PCN10H21020260624102357</t>
  </si>
  <si>
    <t>20251112005.2</t>
  </si>
  <si>
    <t>1 2601000808M SN74HCS02QPWRQ1</t>
  </si>
  <si>
    <t>2025-11-19</t>
  </si>
  <si>
    <t>20251118001</t>
  </si>
  <si>
    <t>Qualify UTL as an additional Assembly/Test site for select devices</t>
  </si>
  <si>
    <t>PCN10H21020251124122700</t>
  </si>
  <si>
    <t>20251118001.1</t>
  </si>
  <si>
    <t>1 2600174608 SN74LVC1G07DRYR</t>
  </si>
  <si>
    <t>2025/11/25</t>
  </si>
  <si>
    <t>PCN10H21020251125155204</t>
  </si>
  <si>
    <t>20251118001.1A</t>
  </si>
  <si>
    <t>2025-11-20</t>
  </si>
  <si>
    <t>PCN10H21020251124123925</t>
  </si>
  <si>
    <t>20251111000.1</t>
  </si>
  <si>
    <t>1 2540478308 PCA9306DCUR
2 2540730508 LSF0102DCUR</t>
  </si>
  <si>
    <t>20251119000</t>
  </si>
  <si>
    <t>2025-11-21</t>
  </si>
  <si>
    <t>20251118002</t>
  </si>
  <si>
    <t>Qualification of SMFAB wafer fab site for select devices</t>
  </si>
  <si>
    <t>PCN10H21020251124172939</t>
  </si>
  <si>
    <t>20251118002.1</t>
  </si>
  <si>
    <t>1 2520304514 TLV9064IDR</t>
  </si>
  <si>
    <t>2025-11-26</t>
  </si>
  <si>
    <t>20251126000</t>
  </si>
  <si>
    <t>Qualification of TI Philippines as Additional Assembly/Test site for select devices</t>
  </si>
  <si>
    <t>PCN10H21020260326142510</t>
  </si>
  <si>
    <t>20251126000.1</t>
  </si>
  <si>
    <t>1 2520267314 OPA365AIDBVR</t>
  </si>
  <si>
    <t>2025-12-01</t>
  </si>
  <si>
    <t>20251201000</t>
  </si>
  <si>
    <t>Datasheet for TPS5331x</t>
  </si>
  <si>
    <t>PCN10H21020251208155136</t>
  </si>
  <si>
    <t>20251201000.1</t>
  </si>
  <si>
    <t>1 2510689714 TPS53318DQPR
2 2510689814 TPS53319DQPR
3 25106898DL8 TPS53319DQPR</t>
  </si>
  <si>
    <t>2025-12-03</t>
  </si>
  <si>
    <t>20251126001</t>
  </si>
  <si>
    <t>Qualification of RFAB using qualified Process Technology, additional Assembly sites and BOM options for select devices</t>
  </si>
  <si>
    <t>2025-12-04</t>
  </si>
  <si>
    <t>20251203002</t>
  </si>
  <si>
    <t>Qualification of RFAB as an additional Fab site option, Die Revision and TI Philippines as additional Assembly site option for select devices</t>
  </si>
  <si>
    <t>2025-12-10</t>
  </si>
  <si>
    <t>20251209000</t>
  </si>
  <si>
    <t>Qualification of RFAB as an additional Fab site option, Die Revision, TI CDAT as an additional Assembly site and BOM options for select devices</t>
  </si>
  <si>
    <t>2025-12-11</t>
  </si>
  <si>
    <t>20251211002</t>
  </si>
  <si>
    <t>Qualification of RFAB as an additional Fab site, Die change, Probe site (CD-PR), Datasheet change and BOM option for select devices</t>
  </si>
  <si>
    <t>20251210002</t>
  </si>
  <si>
    <t>Datasheet for TL071, TL081</t>
  </si>
  <si>
    <t>2025-12-12</t>
  </si>
  <si>
    <t>20251210001</t>
  </si>
  <si>
    <t>20251211001</t>
  </si>
  <si>
    <t>2025-12-15</t>
  </si>
  <si>
    <t>20251212002</t>
  </si>
  <si>
    <t>Adding TIEM-PR as additional wafer Probe Test site for select devices</t>
  </si>
  <si>
    <t>2025-12-16</t>
  </si>
  <si>
    <t>20251215002</t>
  </si>
  <si>
    <t>Datasheet for LMK05318, LMK05318B-Q1, LMK5B12204, and LMK05318B</t>
  </si>
  <si>
    <t>20251212001</t>
  </si>
  <si>
    <t>Qualification of RFAB using qualified Process Technology, additional Assembly site, Die Revision for select devices</t>
  </si>
  <si>
    <t>20251215001</t>
  </si>
  <si>
    <t>Qualification of CLARK-PR as additional Wafer Probe test site and TI Clark as an additional Assembly/Test site for select devices</t>
  </si>
  <si>
    <t>2026/06/12</t>
  </si>
  <si>
    <t>PCN10H21020260612150538</t>
  </si>
  <si>
    <t>20251215001.2</t>
  </si>
  <si>
    <t>1 2500508314M TLV76701QWDRBRQ1
2 2500508714M TLV76733QWDRBRQ1
3 2500508814M TLV76750QWDRBRQ1</t>
  </si>
  <si>
    <t>PCN10H21020251229142149</t>
  </si>
  <si>
    <t>20251215002.0</t>
  </si>
  <si>
    <t>1 2510328414 LMK05318BRGZR
2 25103284RK LMK05318BRGZR</t>
  </si>
  <si>
    <t>2025-12-17</t>
  </si>
  <si>
    <t>20251217001</t>
  </si>
  <si>
    <t>20251216003</t>
  </si>
  <si>
    <t>2025-12-18</t>
  </si>
  <si>
    <t>20251217002</t>
  </si>
  <si>
    <t>2025-12-19</t>
  </si>
  <si>
    <t>20251217003</t>
  </si>
  <si>
    <t>Datasheet for AM62x</t>
  </si>
  <si>
    <t>PCN10H21020251229143027</t>
  </si>
  <si>
    <t>20251217003.0</t>
  </si>
  <si>
    <t>20251218004</t>
  </si>
  <si>
    <t>PCN10H21020260326123739</t>
  </si>
  <si>
    <t>20251218004.1</t>
  </si>
  <si>
    <t>1 2540600608 UCC27211ADRMR</t>
  </si>
  <si>
    <t>2025-12-20</t>
  </si>
  <si>
    <t>20251218002</t>
  </si>
  <si>
    <t>Qualify TI Melaka as an Assembly /Test site and add TIEMA-PR as additional Wafer Probe site for select devices</t>
  </si>
  <si>
    <t>2026/07/02</t>
  </si>
  <si>
    <t>PCN10H21020260702165549</t>
  </si>
  <si>
    <t>20251218002.1</t>
  </si>
  <si>
    <t>1 2600113808 SN74LVC2G14DCKR
2 2600159208 SN74LVC1G32DCKR
3 26001592DL8 SN74LVC1G32DCKR
4 2600204108 SN74LVC1G3157DCKR
5 2600259708 SN74LV1T08DCKR
6 2600370808 SN74LV1T125DCKR
7 2601000408 SN74LV1T02DCKR</t>
  </si>
  <si>
    <t>20251218005</t>
  </si>
  <si>
    <t>2025-12-22</t>
  </si>
  <si>
    <t>20251219000</t>
  </si>
  <si>
    <t>20251210000</t>
  </si>
  <si>
    <t>Qualification of RFAB using qualified Process Technology, Datasheet, Die revision, additional Assembly site and BOM options for select devices</t>
  </si>
  <si>
    <t>20251218007</t>
  </si>
  <si>
    <t>2026-01-08</t>
  </si>
  <si>
    <t>20260107001</t>
  </si>
  <si>
    <t>2026/07/03</t>
  </si>
  <si>
    <t>PCN10H21020260703125549</t>
  </si>
  <si>
    <t>20260107001.0</t>
  </si>
  <si>
    <t>1 2626062608 WL1831MODGBMOCR</t>
  </si>
  <si>
    <t>2026-01-12</t>
  </si>
  <si>
    <t>20260108000</t>
  </si>
  <si>
    <t>Datasheet for TPS1HC100-Q1</t>
  </si>
  <si>
    <t>20260112000</t>
  </si>
  <si>
    <t>2026/07/23</t>
  </si>
  <si>
    <t>PCN10H21020260723210250</t>
  </si>
  <si>
    <t>20260112000.2</t>
  </si>
  <si>
    <t>1 2513055514M TPS628501QDRLRQ1</t>
  </si>
  <si>
    <t>2026-01-13</t>
  </si>
  <si>
    <t>20260112004</t>
  </si>
  <si>
    <t>Datasheet for AWR6443, AWR6843, IWR6843AOP, IWR6843, IWR6443, AWR6843AOP</t>
  </si>
  <si>
    <t>2026-01-14</t>
  </si>
  <si>
    <t>20251208002</t>
  </si>
  <si>
    <t>Datasheet for DLP651NE and DLP650TE</t>
  </si>
  <si>
    <t>20260113001</t>
  </si>
  <si>
    <t>Datasheet for TPS3435-Q1</t>
  </si>
  <si>
    <t>2026-01-16</t>
  </si>
  <si>
    <t>20251009001</t>
  </si>
  <si>
    <t>Qualification of RFAB using qualified Process Technology, Datasheet, Die Revision, additional Assembly changes for select devices</t>
  </si>
  <si>
    <t>20260116001</t>
  </si>
  <si>
    <t>Mold Process &amp; Topside marking change for select devices</t>
  </si>
  <si>
    <t>2026/01/23</t>
  </si>
  <si>
    <t>PCN10H21020260123101816</t>
  </si>
  <si>
    <t>20260116001.0</t>
  </si>
  <si>
    <t>1 2610965708M TMS320F28075PTPQ
2 2610965908M TMS320F28377SPTPQ
3 2611305108M TMS320F28377DPTPQ</t>
  </si>
  <si>
    <t>20260116000</t>
  </si>
  <si>
    <t>Qualification of additional BOM materials for select devices</t>
  </si>
  <si>
    <t>2026-01-27</t>
  </si>
  <si>
    <t>20260126000</t>
  </si>
  <si>
    <t>Qualification of TI Melaka probe (TIEM-PR) as additional wafer Probe site for select devices</t>
  </si>
  <si>
    <t>PCN10H21020260408092745</t>
  </si>
  <si>
    <t>20260126000.2</t>
  </si>
  <si>
    <t>1 2500671114M TLV73333PQDRVRQ1
2 25006711BSM TLV73333PQDRVRQ1</t>
  </si>
  <si>
    <t>2026-01-29</t>
  </si>
  <si>
    <t>20260128000</t>
  </si>
  <si>
    <t>2026-01-30</t>
  </si>
  <si>
    <t>20260129000</t>
  </si>
  <si>
    <t>Qualification of additional Assembly sites for select VSSOP devices</t>
  </si>
  <si>
    <t>PCN10H21020260226124130</t>
  </si>
  <si>
    <t>20260129000.1</t>
  </si>
  <si>
    <t>1 2600187208 SN74LVC2G241DCUR</t>
  </si>
  <si>
    <t>2026-02-02</t>
  </si>
  <si>
    <t>20260202000</t>
  </si>
  <si>
    <t>PCN10H21020260226161210</t>
  </si>
  <si>
    <t>20260202000.1</t>
  </si>
  <si>
    <t>1 2520261914 OPA348AIDBVR</t>
  </si>
  <si>
    <t>2026-02-05</t>
  </si>
  <si>
    <t>20260204000</t>
  </si>
  <si>
    <t>Qualification of RFAB wafer fab site for select devices</t>
  </si>
  <si>
    <t>2026-02-06</t>
  </si>
  <si>
    <t>20260206001</t>
  </si>
  <si>
    <t>PCN10H21020260226152656</t>
  </si>
  <si>
    <t>20260206001.1</t>
  </si>
  <si>
    <t>1 2510710214 UCC28711DR
2 2510766014 UCC28740DR
3 25107660BS UCC28740DR</t>
  </si>
  <si>
    <t>20260115003</t>
  </si>
  <si>
    <t>Datasheet for LP2985-N</t>
  </si>
  <si>
    <t>2026-02-09</t>
  </si>
  <si>
    <t>20260206004</t>
  </si>
  <si>
    <t>Qualification of RFAB as an additional Fab site option, Die Revision and BOM options for select devices</t>
  </si>
  <si>
    <t>2026-02-10</t>
  </si>
  <si>
    <t>20260115002</t>
  </si>
  <si>
    <t>Datasheet for TLV902x and TLV903x</t>
  </si>
  <si>
    <t>2026-02-12</t>
  </si>
  <si>
    <t>20260212000</t>
  </si>
  <si>
    <t>Datasheet for LP2981-N</t>
  </si>
  <si>
    <t>2026-02-13</t>
  </si>
  <si>
    <t>20260211000</t>
  </si>
  <si>
    <t>Qualification of RFAB using qualified Process Technology, Datasheet, Die revision, additional Assembly site, Test, and BOM options for select devices</t>
  </si>
  <si>
    <t>20260212001</t>
  </si>
  <si>
    <t>Datasheet for LP2982</t>
  </si>
  <si>
    <t>20260209003</t>
  </si>
  <si>
    <t>20260206007</t>
  </si>
  <si>
    <t>20260212002</t>
  </si>
  <si>
    <t>Datasheet for LM51772 and LM51770x</t>
  </si>
  <si>
    <t>2026-02-19</t>
  </si>
  <si>
    <t>20260218004</t>
  </si>
  <si>
    <t>Datasheet for TPS7B4253-Q1, TPS7B4254-Q1, TPS7B86-Q1, TPS7B87-Q1</t>
  </si>
  <si>
    <t>2026-02-20</t>
  </si>
  <si>
    <t>20260219000</t>
  </si>
  <si>
    <t>Qualification of TI CDAT as an additional Assembly site for the Select Devices</t>
  </si>
  <si>
    <t>20260217004</t>
  </si>
  <si>
    <t>Design change for select devices</t>
  </si>
  <si>
    <t>20260218001</t>
  </si>
  <si>
    <t>2026/03/10</t>
  </si>
  <si>
    <t>PCN10H21020260310114425</t>
  </si>
  <si>
    <t>20260219000.1</t>
  </si>
  <si>
    <t>1 2542035608 TUSB216IRWBR</t>
  </si>
  <si>
    <t>2026-02-23</t>
  </si>
  <si>
    <t>20260220002</t>
  </si>
  <si>
    <t>2026-02-24</t>
  </si>
  <si>
    <t>20260220001</t>
  </si>
  <si>
    <t>2026-02-25</t>
  </si>
  <si>
    <t>20260223007</t>
  </si>
  <si>
    <t>PCN10H21020260310122508</t>
  </si>
  <si>
    <t>20260223007.1</t>
  </si>
  <si>
    <t>1 2510334414 TPS65910AA1RSLR
2 2510334814 TPS65910A3A1RSLR
3 2520259614 OPA4316IPWR
4 2520285014 OPA2172IDR
5 2520285114 OPA4172IDR
6 2520285814 OPA2192ID
7 2520285814 OPA2192IDR
8 2520292614 OPA2187IDR
9 2520295014 OPA4197IDR
10 2522006214 OPA2197IDR
11 2522012514 OPA2210IDR
12 2540447208 ADS1262IPWR
13 2540917808 ADS1219IPWR
14 2542018508 ISOW1412DFMR
15 2542018708 ISOW1412BDFMR
16 2542018808 ISOW1044DFMR
17 2542081108 ISOW7721DFMR
18 2542088308 ISOW7744DFMR</t>
  </si>
  <si>
    <t>20260223006</t>
  </si>
  <si>
    <t>Qualification of DMOS6 using qualified Process Technology, Design and Datasheet for select devices</t>
  </si>
  <si>
    <t>2026-02-26</t>
  </si>
  <si>
    <t>20260223008</t>
  </si>
  <si>
    <t>20260223009</t>
  </si>
  <si>
    <t>2026/03/16</t>
  </si>
  <si>
    <t>PCN10H21020260316175803</t>
  </si>
  <si>
    <t>20260223008.1</t>
  </si>
  <si>
    <t>1 2541511108 TPSI3050DWZR</t>
  </si>
  <si>
    <t>2026/03/18</t>
  </si>
  <si>
    <t>PCN10H21020260318142734</t>
  </si>
  <si>
    <t>20260223009.1</t>
  </si>
  <si>
    <t>1 2540908708 ADS8914BRGER</t>
  </si>
  <si>
    <t>2026-02-27</t>
  </si>
  <si>
    <t>20260227000</t>
  </si>
  <si>
    <t>Qualify TIEM as an additional Assembly/Test site for select devices</t>
  </si>
  <si>
    <t>2026-03-02</t>
  </si>
  <si>
    <t>20260227001</t>
  </si>
  <si>
    <t>Qualification of TI Malaysia (MLA) as an additional Assembly Site for select devices</t>
  </si>
  <si>
    <t>PCN10H21020260407164005</t>
  </si>
  <si>
    <t>20260227001.2</t>
  </si>
  <si>
    <t>1 2522015114M AMC3330QDWERQ1
2 2522048314M AMC3301QDWERQ1
3 2522052014M AMC3311QDWERQ1</t>
  </si>
  <si>
    <t>2026/03/20</t>
  </si>
  <si>
    <t>PCN10H21020260320170253</t>
  </si>
  <si>
    <t>20260227001.1</t>
  </si>
  <si>
    <t>1 2522018114 AMC3302DWER
2 2522032614 AMC3330DWER</t>
  </si>
  <si>
    <t>2026-03-03</t>
  </si>
  <si>
    <t>20260226000</t>
  </si>
  <si>
    <t>Datasheet for TL4050-Q1</t>
  </si>
  <si>
    <t>2026-03-04</t>
  </si>
  <si>
    <t>20260303000</t>
  </si>
  <si>
    <t>PCN10H21020260703150229</t>
  </si>
  <si>
    <t>20260303000.1</t>
  </si>
  <si>
    <t>1 2520278614 OPA564AIDWPR</t>
  </si>
  <si>
    <t>2026-03-06</t>
  </si>
  <si>
    <t>20260305003</t>
  </si>
  <si>
    <t>Datasheet for TPS3851 and TPS3851-Q1</t>
  </si>
  <si>
    <t>2026/05/25</t>
  </si>
  <si>
    <t>PCN10H21020260525185028</t>
  </si>
  <si>
    <t>20260305003.0</t>
  </si>
  <si>
    <t>1 2510474814 TPS3851G30EDRBR</t>
  </si>
  <si>
    <t>20260305001</t>
  </si>
  <si>
    <t>Datasheet for LM4041-N LM4041-N-Q1</t>
  </si>
  <si>
    <t>PCN10H21020260525184516</t>
  </si>
  <si>
    <t>20260305001.0</t>
  </si>
  <si>
    <t>2026-03-10</t>
  </si>
  <si>
    <t>20260309000</t>
  </si>
  <si>
    <t>Qualification of additional Assembly sites for select QFN package devices</t>
  </si>
  <si>
    <t>PCN10H21020260320164640</t>
  </si>
  <si>
    <t>20260309000.1</t>
  </si>
  <si>
    <t>1 2510843214 TPS259824ONRGER
2 2510847114 TPS259807ONRGER</t>
  </si>
  <si>
    <t>20260306001</t>
  </si>
  <si>
    <t>Datasheet for TMCS1126-Q1</t>
  </si>
  <si>
    <t>20260309001</t>
  </si>
  <si>
    <t>2026/05/13</t>
  </si>
  <si>
    <t>PCN10H21020260513102646</t>
  </si>
  <si>
    <t>20260306001.0</t>
  </si>
  <si>
    <t>1 2542062408M TMCS1126A8AQDVGRQ1
2 2542067208M TMCS1126B9AQDVGRQ1</t>
  </si>
  <si>
    <t>2026-03-12</t>
  </si>
  <si>
    <t>20260311000</t>
  </si>
  <si>
    <t>Qualification of RFAB using qualified Process Technology, Die Change, Probe site (CD-PR), Datasheet changes, and BOM updates</t>
  </si>
  <si>
    <t>2026/05/26</t>
  </si>
  <si>
    <t>PCN10H21020260526191104</t>
  </si>
  <si>
    <t>20260311000.1</t>
  </si>
  <si>
    <t>1 2510364714 LM3481MMX/NOPB</t>
  </si>
  <si>
    <t>2026-03-13</t>
  </si>
  <si>
    <t>20260312002</t>
  </si>
  <si>
    <t>20260313004</t>
  </si>
  <si>
    <t>UCC5880-Q1, UCC5881-Q1 and UCC5882-Q1 Design Change</t>
  </si>
  <si>
    <t>20260312000</t>
  </si>
  <si>
    <t>Datasheet for TPS1685x</t>
  </si>
  <si>
    <t>2026-03-14</t>
  </si>
  <si>
    <t>20260313000</t>
  </si>
  <si>
    <t>Qualification of additional Assembly/Test site option (CDAT, TIEM) for select package devices</t>
  </si>
  <si>
    <t>2026-03-16</t>
  </si>
  <si>
    <t>20260316004</t>
  </si>
  <si>
    <t>Qualification of RFAB as an additional Fab site and TIEM as an additional Assembly/Test site options for select devices</t>
  </si>
  <si>
    <t>2026-03-17</t>
  </si>
  <si>
    <t>20260313003</t>
  </si>
  <si>
    <t>Datasheet for SN74LVC1G17, SN74LVC1G04, SN74LVC1G14, SN74LVC1G06, SN74LVC1G34, and SN74LVC1G07</t>
  </si>
  <si>
    <t>2026-03-18</t>
  </si>
  <si>
    <t>20260317000</t>
  </si>
  <si>
    <t>MC3x063A and MC33063A-Q1 Design Change</t>
  </si>
  <si>
    <t>2026-03-19</t>
  </si>
  <si>
    <t>20260318000</t>
  </si>
  <si>
    <t>Qualification of additional Substrate Core Material for select devices</t>
  </si>
  <si>
    <t>2026-03-20</t>
  </si>
  <si>
    <t>20260320000</t>
  </si>
  <si>
    <t>20260317001</t>
  </si>
  <si>
    <t>2026-03-26</t>
  </si>
  <si>
    <t>20260325004</t>
  </si>
  <si>
    <t>Datasheet for TLV181x and TLV182x</t>
  </si>
  <si>
    <t>2026-03-27</t>
  </si>
  <si>
    <t>20260325001</t>
  </si>
  <si>
    <t>Datasheet for LM2674, LM2675, LM2676, and LM2678</t>
  </si>
  <si>
    <t>2026-03-30</t>
  </si>
  <si>
    <t>20260326003</t>
  </si>
  <si>
    <t>NE555 Timers Design Change</t>
  </si>
  <si>
    <t>2026-03-31</t>
  </si>
  <si>
    <t>20260327000</t>
  </si>
  <si>
    <t>PCN10H21020260402101108</t>
  </si>
  <si>
    <t>20260327000.0</t>
  </si>
  <si>
    <t>1 2520291014 AMC1301DWVR
2 2520293814 AMC1311DWVR
3 2520300414 AMC1311BDWVR
4 2522014514 SN201811022DWVR
5 2522022114 ISO224BDWVR
6 2522042114 AMC1351DWVR
7 2522052114 AMC1350DWVR
8 2540588508 UCC23513DWYR
9 2540611108 ISO5852SDWR
10 2540613308 ISO5452DWR
11 2540620708 SN5452DWR
12 2540715608 UCC21520DWR
13 2540723208 UCC21521ADWR
14 2540723308 UCC21520ADWR
15 2540727108 ISO1410DWR
16 2540728208 UCC21540ADWKR
17 2540767308 UCC21540DWR
18 2540769108 ISO1430DWR
19 2540772608 UCC21750DWR
20 2540784408 UCC23513BDWYR
21 2540785308 UCC23511DWYR
22 2540789808 ISO1452DWR
23 2540900308 AMC1305M25DWR
24 2540903808 AMC1305L25DWR
25 2540906108 AMC1305F25DWR
26 2540912608 AMC1303E2520DWVR
27 2540912708 AMC1303E0520DWVR
28 2540912808 AMC1304L05DWR
29 2540914208 AMC1306M25DWV
30 2540914208 AMC1306M25DWVR
31 2541509108 UCC5390ECDWVR</t>
  </si>
  <si>
    <t>20260330003</t>
  </si>
  <si>
    <t>Datasheet for TCA9617B</t>
  </si>
  <si>
    <t>2026-04-02</t>
  </si>
  <si>
    <t>20260331003</t>
  </si>
  <si>
    <t>Qualification of TI Philippines (PHI) as an additional Assembly &amp; Test site for select package devices</t>
  </si>
  <si>
    <t>20260331002</t>
  </si>
  <si>
    <t>Qualifying a Design change, Fab process and FMX as an additional Assembly site option for select devices</t>
  </si>
  <si>
    <t>20260330000</t>
  </si>
  <si>
    <t>Nx556DR and NE556N Design Change</t>
  </si>
  <si>
    <t>2026-04-03</t>
  </si>
  <si>
    <t>20260401002</t>
  </si>
  <si>
    <t>2026/04/09</t>
  </si>
  <si>
    <t>PCN10H21020260409170156</t>
  </si>
  <si>
    <t>20260401002.1</t>
  </si>
  <si>
    <t>1 2500489514 TPS7A9201DSKR</t>
  </si>
  <si>
    <t>2026-04-06</t>
  </si>
  <si>
    <t>20260401001</t>
  </si>
  <si>
    <t>Datasheet for SN74LVC1G3157-Q1</t>
  </si>
  <si>
    <t>2026/05/15</t>
  </si>
  <si>
    <t>PCN10H21020260515093436</t>
  </si>
  <si>
    <t>20260401001.0</t>
  </si>
  <si>
    <t>2026-04-07</t>
  </si>
  <si>
    <t>20260401003</t>
  </si>
  <si>
    <t>Datasheet for LP5907</t>
  </si>
  <si>
    <t>20260402000</t>
  </si>
  <si>
    <t>TLC556x Design Change</t>
  </si>
  <si>
    <t>2026-04-10</t>
  </si>
  <si>
    <t>20260409005</t>
  </si>
  <si>
    <t>Qualification of RFAB using qualified Process Technology, BOM, Die Revision and Datasheet for select devices</t>
  </si>
  <si>
    <t>PCN10H21020260602202554</t>
  </si>
  <si>
    <t>20260409005.1</t>
  </si>
  <si>
    <t>1 2600267308 SN74AVC4T774PWR</t>
  </si>
  <si>
    <t>2026-04-13</t>
  </si>
  <si>
    <t>20260409003</t>
  </si>
  <si>
    <t>2026-04-14</t>
  </si>
  <si>
    <t>20260414000</t>
  </si>
  <si>
    <t>Qualification of MIHO using qualified Process Technology and additional Assembly site for select devices</t>
  </si>
  <si>
    <t>PCN10H21020260602213920</t>
  </si>
  <si>
    <t>20260414000.1</t>
  </si>
  <si>
    <t>1 203907304703 ESD321DPYR</t>
  </si>
  <si>
    <t>2026-04-15</t>
  </si>
  <si>
    <t>20260415000</t>
  </si>
  <si>
    <t>2026/04/20</t>
  </si>
  <si>
    <t>PCN10H21020260420095351</t>
  </si>
  <si>
    <t>20260415000.1</t>
  </si>
  <si>
    <t>1 2510990814 UCC24612-1DBVR
2 2510990914 UCC24612-2DBVR</t>
  </si>
  <si>
    <t>20260415001</t>
  </si>
  <si>
    <t>Qualification of TI Mexico as additional Assembly/Test site for Select Devices</t>
  </si>
  <si>
    <t>PCN10H21020260723210957</t>
  </si>
  <si>
    <t>20260415001.2</t>
  </si>
  <si>
    <t>1 2540776408M TLIN1021DRQ1</t>
  </si>
  <si>
    <t>2026-04-16</t>
  </si>
  <si>
    <t>20260416000</t>
  </si>
  <si>
    <t>Qualification of TI Melaka probe (TIEM-PR) as additional wafer Probe Test site for select devices</t>
  </si>
  <si>
    <t>20260414002</t>
  </si>
  <si>
    <t>Qualification of MIHO using qualified Process Technology and  additional Assembly site   for select devices</t>
  </si>
  <si>
    <t>2026-04-17</t>
  </si>
  <si>
    <t>20260416003</t>
  </si>
  <si>
    <t>Qualify TIEM as an additional Assembly site for select devices</t>
  </si>
  <si>
    <t>2026/04/23</t>
  </si>
  <si>
    <t>PCN10H21020260423101300</t>
  </si>
  <si>
    <t>20260416003.1</t>
  </si>
  <si>
    <t>1 2626063808 CC2650F128RSMR
2 2626065808 CC2640R2FRSMR
3 26260658CL CC2640R2FRSMR
4 2626070908 CC1312R1F3RGZR
5 2626085608 CC2642R1FRGZR
6 2626103908 CC2652R74T0RGZR</t>
  </si>
  <si>
    <t>20260415003</t>
  </si>
  <si>
    <t>Qualification of DMOS6 using qualified Process Technology, Assembly site, Design, and Datasheet for select devices</t>
  </si>
  <si>
    <t>2026-04-21</t>
  </si>
  <si>
    <t>20260421001</t>
  </si>
  <si>
    <t>Datasheet for OPAx328</t>
  </si>
  <si>
    <t>2026-04-22</t>
  </si>
  <si>
    <t>20260422005</t>
  </si>
  <si>
    <t>Device Marking update for Select Devices</t>
  </si>
  <si>
    <t>20260422003</t>
  </si>
  <si>
    <t>Datasheet for SN74HCS151, SN74HCS151-Q1, SNx4AC86, CD4049UB and CD4050B</t>
  </si>
  <si>
    <t>2026/04/24</t>
  </si>
  <si>
    <t>PCN10H21020260424172315</t>
  </si>
  <si>
    <t>20260422005.0</t>
  </si>
  <si>
    <t>1 203907308203 TPD1E1B04DPYR</t>
  </si>
  <si>
    <t>2026-04-23</t>
  </si>
  <si>
    <t>20260421000</t>
  </si>
  <si>
    <t>2026-04-27</t>
  </si>
  <si>
    <t>20260425000</t>
  </si>
  <si>
    <t>2026-04-28</t>
  </si>
  <si>
    <t>20260427001</t>
  </si>
  <si>
    <t>Datasheet for TPS5410-Q1, TPS5420-Q1, TPS5430-Q1, TPS543x, and TPS5420</t>
  </si>
  <si>
    <t>20260427009</t>
  </si>
  <si>
    <t>20260427003</t>
  </si>
  <si>
    <t>Datasheet for TLE208x, TLE208xA and TLE207x,TLE207xA</t>
  </si>
  <si>
    <t>2026-04-29</t>
  </si>
  <si>
    <t>20260428000</t>
  </si>
  <si>
    <t>Datasheet for LOG114, INA146, INAx126, and INA122</t>
  </si>
  <si>
    <t>2026-04-30</t>
  </si>
  <si>
    <t>20260429000</t>
  </si>
  <si>
    <t>Datasheet for TPS4811Q1</t>
  </si>
  <si>
    <t>2026-05-01</t>
  </si>
  <si>
    <t>20260429001</t>
  </si>
  <si>
    <t>Datasheet for NE5532x, SA5532x</t>
  </si>
  <si>
    <t>20260429003</t>
  </si>
  <si>
    <t>Datasheet for INA148, XTR105, XTR11x, and XTR117</t>
  </si>
  <si>
    <t>20260427008</t>
  </si>
  <si>
    <t>20260429004</t>
  </si>
  <si>
    <t>Datasheet for INA132 and XTR106</t>
  </si>
  <si>
    <t>20260429002</t>
  </si>
  <si>
    <t>Qualification of TIPI as additional Assembly/Test site for select devices</t>
  </si>
  <si>
    <t>2026/05/08</t>
  </si>
  <si>
    <t>PCN10H21020260508100406</t>
  </si>
  <si>
    <t>20260429002.1</t>
  </si>
  <si>
    <t>1 203907302503 TPD2E2U06DRLR
2 2540479508 TPD2E001DRLR</t>
  </si>
  <si>
    <t>2026-05-04</t>
  </si>
  <si>
    <t>20260413005</t>
  </si>
  <si>
    <t>Qualification of MIHO wafer fab site for select devices</t>
  </si>
  <si>
    <t>2026-05-05</t>
  </si>
  <si>
    <t>20260501000</t>
  </si>
  <si>
    <t>Datasheet for INA12x, INA2128, INA141, and INA117</t>
  </si>
  <si>
    <t>20260504006</t>
  </si>
  <si>
    <t>Datasheet for TPS4H160-Q1</t>
  </si>
  <si>
    <t>2026-05-08</t>
  </si>
  <si>
    <t>20260507000</t>
  </si>
  <si>
    <t>PCN10H21020260513101148</t>
  </si>
  <si>
    <t>20260507000.1</t>
  </si>
  <si>
    <t>1 2540473004 LM20BIM7X/NOPB</t>
  </si>
  <si>
    <t>2026-05-11</t>
  </si>
  <si>
    <t>20260506001</t>
  </si>
  <si>
    <t>Datasheet for SN74CB3T3245</t>
  </si>
  <si>
    <t>2026-05-12</t>
  </si>
  <si>
    <t>20260511001</t>
  </si>
  <si>
    <t>Qualification of additional Assembly sites for select QFN/SON package devices</t>
  </si>
  <si>
    <t>2026/05/18</t>
  </si>
  <si>
    <t>PCN10H21020260518101403</t>
  </si>
  <si>
    <t>20260511001.1</t>
  </si>
  <si>
    <t>1 2500489914 TPS7A1111PDRVR
2 2500713314 TPS7B8150DRVR
3 2500713714 TPS7A8901RTJR
4 2510737014 TPS62130ARGTR
5 2510739814 TLV62130ARGTR
6 2510842214 TPS259261DRCR
7 2510881014 DRV8837DSGR
8 2540600608 UCC27211ADRMR
9 2540603808 UCC27614DSGR
10 2540603808 UCC27614DSGR
11 2540805008 TPS2373-4RGWR
12 25408050VK TPS2373-4RGWR
13 2540810308 TPS259571DSGR
14 2540813908 TPS259541DSGR</t>
  </si>
  <si>
    <t>2026-05-18</t>
  </si>
  <si>
    <t>20260515000</t>
  </si>
  <si>
    <t>Qualification of DFAB for select EPIC1ZS devices</t>
  </si>
  <si>
    <t>20260514000</t>
  </si>
  <si>
    <t>Qualification of RFAB as additional Fab Site, Die Revision, BOM Changes, TI ChengDu as additional Assembly Site and Datasheet update for select devices</t>
  </si>
  <si>
    <t>2026-05-19</t>
  </si>
  <si>
    <t>20260518000</t>
  </si>
  <si>
    <t>20260518001</t>
  </si>
  <si>
    <t>2026/05/21</t>
  </si>
  <si>
    <t>PCN10H21020260521113832</t>
  </si>
  <si>
    <t>20260518001.1</t>
  </si>
  <si>
    <t>1 2500368114 TPS70102PWPR
2 2510400314 TPS40057PWPR
3 2510569114 TPS54386PWPR
4 2510746014 TPS55340PWPR
5 2510790014 LM5176PWPR</t>
  </si>
  <si>
    <t>PCN10H21020260525124401</t>
  </si>
  <si>
    <t>2026-05-20</t>
  </si>
  <si>
    <t>20260520000</t>
  </si>
  <si>
    <t>Datasheet for REF32xx</t>
  </si>
  <si>
    <t>2026-05-22</t>
  </si>
  <si>
    <t>20260522000</t>
  </si>
  <si>
    <t>Qualification of MLA and PHI as an additional Test site for select devices</t>
  </si>
  <si>
    <t>2026-05-27</t>
  </si>
  <si>
    <t>20260522001</t>
  </si>
  <si>
    <t>Qualification of RFAB as an additional Fab site and TI Chengdu as additional Assembly/Test site options for select devices</t>
  </si>
  <si>
    <t>2026-05-28</t>
  </si>
  <si>
    <t>20260526000</t>
  </si>
  <si>
    <t>2026-06-01</t>
  </si>
  <si>
    <t>20260529001</t>
  </si>
  <si>
    <t>Datasheet for TPS25980, TPS25983, and TPS25982</t>
  </si>
  <si>
    <t>20260529004</t>
  </si>
  <si>
    <t>Datasheet for LMR436x0-Q1, LMR43606-Q1, LM614xxT-Q1, and LM6x4xx-Q1</t>
  </si>
  <si>
    <t>20260529005</t>
  </si>
  <si>
    <t>Datasheet for LMR38015-Q1, LMR38025-Q1, LM5164-Q1</t>
  </si>
  <si>
    <t>2026-06-03</t>
  </si>
  <si>
    <t>20260602001</t>
  </si>
  <si>
    <t>Datasheet for SN74LVC8T245-Q1, SN74LVC8T245, SN74LVCH8T245, SN74LVCC3245A, SN74LVC4245A, and SN74LVCC4245A</t>
  </si>
  <si>
    <t>20260602000</t>
  </si>
  <si>
    <t>Datasheet for TMCS1123, TMCS1126, and TMCS1133</t>
  </si>
  <si>
    <t>20260603000</t>
  </si>
  <si>
    <t>Design Change - PLL Enhancement to  improve device performance in operation</t>
  </si>
  <si>
    <t>2026-06-05</t>
  </si>
  <si>
    <t>20260604000</t>
  </si>
  <si>
    <t>2026-06-09</t>
  </si>
  <si>
    <t>20260605001</t>
  </si>
  <si>
    <t>Qualification of RFAB site for select devices</t>
  </si>
  <si>
    <t>2026-06-10</t>
  </si>
  <si>
    <t>20260608001</t>
  </si>
  <si>
    <t>Datasheet for SN74AC3G97, SN74AC3G97-Q1, SN74AHCT125-Q1, SN74LV8T273-Q1, SN74LV273A-Q1, SN74AHC273-Q1, and SNx4HC244</t>
  </si>
  <si>
    <t>2026-06-11</t>
  </si>
  <si>
    <t>20260610000</t>
  </si>
  <si>
    <t>Qualify 0.8mil Cu wire diameter for select devices</t>
  </si>
  <si>
    <t>2026/06/16</t>
  </si>
  <si>
    <t>PCN10H21020260616112926</t>
  </si>
  <si>
    <t>20260610000.1</t>
  </si>
  <si>
    <t>1 2600093008 CD74HC4052PWR
2 2600093908 CD4052BPWR
3 2600133108 CD74HC4051PWR
4 26001331GU CD74HC4051PWR
5 2600256108 CD4051BPWR
6 2600270208 CD74HC4053PWR
7 2600275608 TMUX1208PWR
8 2600511008 TMUX1574PWR
9 2600512908 TMUX1112PWR
10 2600522708 TMUX4053PWR</t>
  </si>
  <si>
    <t>2026-06-12</t>
  </si>
  <si>
    <t>20260611001</t>
  </si>
  <si>
    <t>PCN10H21020260616114153</t>
  </si>
  <si>
    <t>20260611001.1</t>
  </si>
  <si>
    <t>1 203907304703 ESD321DPYR
2 203907304803 ESD351DPYR
3 203907308203 TPD1E1B04DPYR</t>
  </si>
  <si>
    <t>2026-06-15</t>
  </si>
  <si>
    <t>20260609002</t>
  </si>
  <si>
    <t>Qualification of AIZU/RFAB as an additional Fab site and TI Chengdu as additional Assembly/Test site options for select devices</t>
  </si>
  <si>
    <t>20260520001</t>
  </si>
  <si>
    <t>Datasheet for LM317M, LM317MQ, TL720M05-Q1, and TLV1117</t>
  </si>
  <si>
    <t>2026-06-16</t>
  </si>
  <si>
    <t>20260612001</t>
  </si>
  <si>
    <t>Datasheet for TMCS1133-Q1, TMCS1126-Q1, and TMCS1123-Q1</t>
  </si>
  <si>
    <t>20260612002</t>
  </si>
  <si>
    <t>Qualification of TI CDAT as an additional Assembly/Test site for select devices</t>
  </si>
  <si>
    <t>2026-06-17</t>
  </si>
  <si>
    <t>20260615001</t>
  </si>
  <si>
    <t>Qualification of TI Malaysia (MLA) as an additional Assembly/Test Site for select devices</t>
  </si>
  <si>
    <t>20260615000</t>
  </si>
  <si>
    <t>Qualification of RFAB as additional Fab Site, Die Revision, BOM Changes, additional Assembly Site and Datasheet update for select devices</t>
  </si>
  <si>
    <t>2026-06-18</t>
  </si>
  <si>
    <t>20260617001</t>
  </si>
  <si>
    <t>Qualification of RFAB as an additional Fab site, Die Revision and CDAT as additional Assembly/Test site option for select devices</t>
  </si>
  <si>
    <t>2026-06-19</t>
  </si>
  <si>
    <t>20260611002</t>
  </si>
  <si>
    <t>Datasheet for TL05x, TL3472, TLC27xx</t>
  </si>
  <si>
    <t>20260618000</t>
  </si>
  <si>
    <t>Qualification of RFAB as an additional Fab site and CDAT as an additional Assembly site options for select devices</t>
  </si>
  <si>
    <t>20260618002</t>
  </si>
  <si>
    <t>Add Cu as Alternative Bond Wire metal for selected devices</t>
  </si>
  <si>
    <t>2026/06/23</t>
  </si>
  <si>
    <t>PCN10H21020260623165134</t>
  </si>
  <si>
    <t>1 2500615114 TPS7A8101DRBR</t>
  </si>
  <si>
    <t>20260617000</t>
  </si>
  <si>
    <t>Datasheet for TPS1H000-Q1 and TPS1H200A-Q1</t>
  </si>
  <si>
    <t>2026-06-22</t>
  </si>
  <si>
    <t>2026-06-30</t>
  </si>
  <si>
    <t>20260630001</t>
  </si>
  <si>
    <t>Qualification of RFAB as an additional Fab site and TI Clark as additional Assembly site option for select devices</t>
  </si>
  <si>
    <t>2026-07-01</t>
  </si>
  <si>
    <t>20260630000</t>
  </si>
  <si>
    <t>Qualification of TI Clark as an additional Probe test site &amp; Assembly/Test site for select devices</t>
  </si>
  <si>
    <t>PCN10H21020260703152411</t>
  </si>
  <si>
    <t>20260630000.1</t>
  </si>
  <si>
    <t>1 2513102514 LMR38025FDRRR
2 2513102614 LMR38025SDRRR</t>
  </si>
  <si>
    <t>20260629004</t>
  </si>
  <si>
    <t>Qualification of RFAB using qualified Process Technology, Design, Datasheet, Test site, and BOM options for select devices</t>
  </si>
  <si>
    <t>0000181793</t>
  </si>
  <si>
    <t>2026-07-02</t>
  </si>
  <si>
    <t>20260702000</t>
  </si>
  <si>
    <t>Qualification of FFAB using qualified Process Technology, Die Revision, Datasheet and FMX as an additional Assembly site option for select devices</t>
  </si>
  <si>
    <t>2026-07-06</t>
  </si>
  <si>
    <t>20260702001</t>
  </si>
  <si>
    <t>2026/07/13</t>
  </si>
  <si>
    <t>PCN10H21020260712234420</t>
  </si>
  <si>
    <t>20260702001.1</t>
  </si>
  <si>
    <t>1 2620327408  DP83822IRHBR
2 2620327508 DP83822HRHBR</t>
  </si>
  <si>
    <t>2026-07-08</t>
  </si>
  <si>
    <t>20260702002</t>
  </si>
  <si>
    <t>Qualification of RFAB using qualified Process Technology and design change for select devices</t>
  </si>
  <si>
    <t>20260707000</t>
  </si>
  <si>
    <t>Datasheet for TUSB4041I and TUSB4041I-Q1</t>
  </si>
  <si>
    <t>2026-07-10</t>
  </si>
  <si>
    <t>20260709000</t>
  </si>
  <si>
    <t>Qualification of RFAB as an additional Fab site, Die Revision, Datasheet and BOM options for select devices</t>
  </si>
  <si>
    <t>2026-07-15</t>
  </si>
  <si>
    <t>20260715001</t>
  </si>
  <si>
    <t>Qualification of additional Assembly sites for select VSSOP device</t>
  </si>
  <si>
    <t>2026/07/20</t>
  </si>
  <si>
    <t>PCN10H21020260720020039</t>
  </si>
  <si>
    <t>20260715001.1</t>
  </si>
  <si>
    <t>1 2600140408  SN74LVC2G74DCUR
2 2600167708  SN74LVC1G123DCUR
3 26001677BS  SN74LVC1G123DCUR
4 2600191708  SN74LVC3G17DCUR
5 2600194008 SN74LVC3G34DCUR
6 2600263008  SN74LVC2G32DCUR
7 2600366508  SN74LVC2G08DCUR</t>
  </si>
  <si>
    <t>2026-07-16</t>
  </si>
  <si>
    <t>20260715002</t>
  </si>
  <si>
    <t>Qualification of TI Clark as an additional wafer Probe Test site and Assembly/Test site for select devices</t>
  </si>
  <si>
    <t>PCN10H21020260720014450</t>
  </si>
  <si>
    <t>20260715002.1</t>
  </si>
  <si>
    <t>1 2513004114  LM51551DSSR
2 2513009414 LM5155DSSR</t>
  </si>
  <si>
    <t>20260713002</t>
  </si>
  <si>
    <t>Qualifying a Design change, Data sheet update, TI Clark as an additional wafer Probe Test site and Assembly/Test site option for select devices</t>
  </si>
  <si>
    <t>20260707002</t>
  </si>
  <si>
    <t>Datasheet for LMP860x and LMP860x-Q1</t>
  </si>
  <si>
    <t>2026-07-17</t>
  </si>
  <si>
    <t>20260710000</t>
  </si>
  <si>
    <t>Datasheet for LM613x and LM614x</t>
  </si>
  <si>
    <t>2026-07-22</t>
  </si>
  <si>
    <t>20260721000</t>
  </si>
  <si>
    <t>Qualification of additional Assembly sites for select package device</t>
  </si>
  <si>
    <t>2026-08-05</t>
  </si>
  <si>
    <t>20260803000</t>
  </si>
  <si>
    <t>20260803001</t>
  </si>
  <si>
    <t>MSL Update for Select Device</t>
  </si>
  <si>
    <t>20260805000</t>
  </si>
  <si>
    <t>2026-08-06</t>
  </si>
  <si>
    <t>20260717000</t>
  </si>
  <si>
    <t>Qualification of RFAB as an additional Fab site option, Design change, BOM change Datasheet update, TI CDAT and TI CLARK-AT as an additional Assembly/Test site options for select devices</t>
  </si>
  <si>
    <t>2026-08-07</t>
  </si>
  <si>
    <t>20260730000</t>
  </si>
  <si>
    <t>Datasheet for SN74LVC240A, SNx4LVC541A, SN74LVC540A, SN74LVC244A, SN74LVCZ240A, SN74LVCZ244A</t>
  </si>
  <si>
    <t>20260806004</t>
  </si>
  <si>
    <t>Qualification of RFAB as an additional Fab site option, Die Revision, Datasheet, BOM update and MLA, CDAT, FMX as an additional Assembly site options for select devices</t>
  </si>
  <si>
    <t>20260806001</t>
  </si>
  <si>
    <t>Qualification of RFAB as an additional Fab site option, Die Revision, Datasheet, BOM update and MLA, CDAT as an additional Assembly site options for select devices</t>
  </si>
  <si>
    <t>20260807002</t>
  </si>
  <si>
    <t>2026/08/12</t>
  </si>
  <si>
    <t>PCN10H21020260812101738</t>
  </si>
  <si>
    <t>20260807002.1</t>
  </si>
  <si>
    <t>1 2610234208 TMS320LF2406APZA
2 2610234308 TMS320LF2407APGEA
3 2610234508 TMS320LF2401AVFAR
4 2610847808 TMS320LF2407APGES
5 2641331700 TMS320LF2401AVFA
6 2641332200 TMS320LF2401AVFA
7 2641332400 TMS320LF2401AVFA
8 2641332500 TMS320LF2401AVFA</t>
  </si>
  <si>
    <t>20260730001</t>
  </si>
  <si>
    <r>
      <t>20230914000.1</t>
    </r>
    <r>
      <rPr>
        <sz val="11"/>
        <color theme="1"/>
        <rFont val="新細明體"/>
        <family val="2"/>
      </rPr>
      <t>（</t>
    </r>
    <r>
      <rPr>
        <sz val="11"/>
        <color theme="1"/>
        <rFont val="Calibri"/>
        <family val="2"/>
      </rPr>
      <t>Group1</t>
    </r>
    <r>
      <rPr>
        <sz val="11"/>
        <color theme="1"/>
        <rFont val="新細明體"/>
        <family val="2"/>
      </rPr>
      <t>）</t>
    </r>
  </si>
  <si>
    <r>
      <t>20230914000.1</t>
    </r>
    <r>
      <rPr>
        <sz val="11"/>
        <color theme="1"/>
        <rFont val="新細明體"/>
        <family val="2"/>
      </rPr>
      <t>（</t>
    </r>
    <r>
      <rPr>
        <sz val="11"/>
        <color theme="1"/>
        <rFont val="Calibri"/>
        <family val="2"/>
      </rPr>
      <t>Group2</t>
    </r>
    <r>
      <rPr>
        <sz val="11"/>
        <color theme="1"/>
        <rFont val="新細明體"/>
        <family val="2"/>
      </rPr>
      <t>）</t>
    </r>
  </si>
  <si>
    <r>
      <t>20240723008.2</t>
    </r>
    <r>
      <rPr>
        <sz val="11"/>
        <color theme="1"/>
        <rFont val="新細明體"/>
        <family val="2"/>
      </rPr>
      <t>（</t>
    </r>
    <r>
      <rPr>
        <sz val="11"/>
        <color theme="1"/>
        <rFont val="Calibri"/>
        <family val="2"/>
      </rPr>
      <t>1</t>
    </r>
    <r>
      <rPr>
        <sz val="11"/>
        <color theme="1"/>
        <rFont val="新細明體"/>
        <family val="2"/>
      </rPr>
      <t>）</t>
    </r>
  </si>
  <si>
    <t>Delta Form Status</t>
    <phoneticPr fontId="4" type="noConversion"/>
  </si>
  <si>
    <t>TI Change Type</t>
    <phoneticPr fontId="4" type="noConversion"/>
  </si>
  <si>
    <t>Risk Level</t>
    <phoneticPr fontId="4" type="noConversion"/>
  </si>
  <si>
    <t>TI PCN Number</t>
    <phoneticPr fontId="4" type="noConversion"/>
  </si>
  <si>
    <t>with delta match by part (include partly match)</t>
    <phoneticPr fontId="7" type="noConversion"/>
  </si>
  <si>
    <t>without delta match by part (include partly match)</t>
    <phoneticPr fontId="7" type="noConversion"/>
  </si>
  <si>
    <t>Combined</t>
    <phoneticPr fontId="7" type="noConversion"/>
  </si>
  <si>
    <t>Fully matched</t>
  </si>
  <si>
    <t>Partly matched</t>
  </si>
  <si>
    <t>None matched</t>
  </si>
  <si>
    <t>Not uploaded</t>
    <phoneticPr fontId="4" type="noConversion"/>
  </si>
  <si>
    <t>Partly uploaded</t>
    <phoneticPr fontId="4" type="noConversion"/>
  </si>
  <si>
    <t>All uploaded</t>
    <phoneticPr fontId="4" type="noConversion"/>
  </si>
  <si>
    <t>Status</t>
    <phoneticPr fontId="4" type="noConversion"/>
  </si>
  <si>
    <t>Action</t>
    <phoneticPr fontId="4" type="noConversion"/>
  </si>
  <si>
    <t>Number</t>
  </si>
  <si>
    <t>Description</t>
  </si>
  <si>
    <t>RA</t>
  </si>
  <si>
    <t>Minor not uploaded</t>
  </si>
  <si>
    <t>Major not uploaded with RA on hand -&gt; Can upload now</t>
  </si>
  <si>
    <t>RA No.</t>
  </si>
  <si>
    <t>PCN Number</t>
  </si>
  <si>
    <t>Related TI Vendor Part Number(s)</t>
  </si>
  <si>
    <t>Part Count</t>
  </si>
  <si>
    <t>PCN Change Type</t>
  </si>
  <si>
    <t>Notification Date</t>
  </si>
  <si>
    <t>RA Workbook Filename</t>
  </si>
  <si>
    <t>20230508000</t>
  </si>
  <si>
    <t>UCC27537DBVR</t>
  </si>
  <si>
    <t>2023-05-08</t>
  </si>
  <si>
    <t>PCN_20230508000__MPN_UCC27537DBVR.xlsx</t>
  </si>
  <si>
    <t>OP07CDR</t>
  </si>
  <si>
    <t>PCN_20231031008__MPN_OP07CDR.xlsx</t>
  </si>
  <si>
    <t>TPL5010DDCR; TPL5010DDCT</t>
  </si>
  <si>
    <t>PCN_20240227005__MPN_TPL5010DDCR+TPL5010DDCT.xlsx</t>
  </si>
  <si>
    <t>DAC7760IPWPR; DAC8760IPWPR</t>
  </si>
  <si>
    <t>PCN_20240312001__MPN_DAC7760IPWPR+DAC8760IPWPR.xlsx</t>
  </si>
  <si>
    <t>TPS23751PWP</t>
  </si>
  <si>
    <t>PCN_20240312001__MPN_TPS23751PWP.xlsx</t>
  </si>
  <si>
    <t>TPS23754PWP</t>
  </si>
  <si>
    <t>PCN_20240312001__MPN_TPS23754PWP.xlsx</t>
  </si>
  <si>
    <t>TPS23756PWPR</t>
  </si>
  <si>
    <t>PCN_20240312001__MPN_TPS23756PWPR.xlsx</t>
  </si>
  <si>
    <t>TPS51116PWP</t>
  </si>
  <si>
    <t>PCN_20240312001__MPN_TPS51116PWP.xlsx</t>
  </si>
  <si>
    <t>TPS51116PWPR</t>
  </si>
  <si>
    <t>PCN_20240312001__MPN_TPS51116PWPR.xlsx</t>
  </si>
  <si>
    <t>UCD7100PWPR; UCD7201PWPR</t>
  </si>
  <si>
    <t>PCN_20240312001__MPN_UCD7100PWPR+UCD7201PWPR.xlsx</t>
  </si>
  <si>
    <t>INA300AIDSQR</t>
  </si>
  <si>
    <t>PCN_20240319000__MPN_INA300AIDSQR.xlsx</t>
  </si>
  <si>
    <t>SN3138064RGCR</t>
  </si>
  <si>
    <t>PCN_20240320000__MPN_SN3138064RGCR.xlsx</t>
  </si>
  <si>
    <t>SN3138RGCR</t>
  </si>
  <si>
    <t>PCN_20240320000__MPN_SN3138RGCR.xlsx</t>
  </si>
  <si>
    <t>TDES954RGZR; TDES954RGZT</t>
  </si>
  <si>
    <t>PCN_20240320000__MPN_TDES954RGZR+TDES954RGZT.xlsx</t>
  </si>
  <si>
    <t>TPS51206DSQR</t>
  </si>
  <si>
    <t>PCN_20240320000__MPN_TPS51206DSQR.xlsx</t>
  </si>
  <si>
    <t>TPS6521855RSLR</t>
  </si>
  <si>
    <t>PCN_20240320000__MPN_TPS6521855RSLR.xlsx</t>
  </si>
  <si>
    <t>UCD3138064ARGCR</t>
  </si>
  <si>
    <t>PCN_20240320000__MPN_UCD3138064ARGCR.xlsx</t>
  </si>
  <si>
    <t>UCD3138064RMHR</t>
  </si>
  <si>
    <t>PCN_20240320000__MPN_UCD3138064RMHR.xlsx</t>
  </si>
  <si>
    <t>UCD3138064RMHT</t>
  </si>
  <si>
    <t>PCN_20240320000__MPN_UCD3138064RMHT.xlsx</t>
  </si>
  <si>
    <t>UCD3138ARGCR</t>
  </si>
  <si>
    <t>PCN_20240320000__MPN_UCD3138ARGCR.xlsx</t>
  </si>
  <si>
    <t>UCD3138ARGCT</t>
  </si>
  <si>
    <t>PCN_20240320000__MPN_UCD3138ARGCT.xlsx</t>
  </si>
  <si>
    <t>UCD3138RMHR</t>
  </si>
  <si>
    <t>PCN_20240320000__MPN_UCD3138RMHR.xlsx</t>
  </si>
  <si>
    <t>UCC5350MCQDWVRQ1</t>
  </si>
  <si>
    <t>PCN_20240325002__MPN_UCC5350MCQDWVRQ1.xlsx</t>
  </si>
  <si>
    <t>INA190A3IDCKR; INA199A1DCKR</t>
  </si>
  <si>
    <t>PCN_20240326001__MPN_INA190A3IDCKR+INA199A1DCKR.xlsx</t>
  </si>
  <si>
    <t>INA199B1DCKR; INA199B3DCKR; INA199B3DCKT; INA210BIDCKR; INA211BIDCKR; INA211BIDCKT; INA212AIDCKR; INA213BIDCKR; INA214BIDCKR; INA214BIDCKT</t>
  </si>
  <si>
    <t>PCN_20240326001__MPN_INA199B1DCKR+INA199B3DCKR+INA199B3DCKT+INA210BIDCKR+INA211BIDCKR+INA211BIDCKT+INA212AIDCKR+INA213BIDCKR+INA214BIDCKR+INA214BIDCKT.xlsx</t>
  </si>
  <si>
    <t>INA215AIDCKR</t>
  </si>
  <si>
    <t>PCN_20240326001__MPN_INA215AIDCKR.xlsx</t>
  </si>
  <si>
    <t>TMP126NDCKR</t>
  </si>
  <si>
    <t>PCN_20240326001__MPN_TMP126NDCKR.xlsx</t>
  </si>
  <si>
    <t>UCC21222QDRQ1</t>
  </si>
  <si>
    <t>PCN_20240405000__MPN_UCC21222QDRQ1.xlsx</t>
  </si>
  <si>
    <t>UCC23511DWYR; UCC23511QDWYQ1; UCC23511QDWYRQ1; UCC23513BDWYR; UCC23513DWYR; UCC23513QDWYRQ1</t>
  </si>
  <si>
    <t>PCN_20240412000__MPN_UCC23511DWYR+UCC23511QDWYQ1+UCC23511QDWYRQ1+UCC23513BDWYR+UCC23513DWYR+UCC23513QDWYRQ1.xlsx</t>
  </si>
  <si>
    <t>DRV5056A2QDBZR</t>
  </si>
  <si>
    <t>PCN_20240502001__MPN_DRV5056A2QDBZR.xlsx</t>
  </si>
  <si>
    <t>SN1710027DRLR; TMP112AIDRLR</t>
  </si>
  <si>
    <t>PCN_20240508001__MPN_SN1710027DRLR+TMP112AIDRLR.xlsx</t>
  </si>
  <si>
    <t>INA225AQDGKRQ1</t>
  </si>
  <si>
    <t>PCN_20240510000__MPN_INA225AQDGKRQ1.xlsx</t>
  </si>
  <si>
    <t>PCN_20240605000__MPN_SN3138064RGCR.xlsx</t>
  </si>
  <si>
    <t>PCN_20240605000__MPN_SN3138RGCR.xlsx</t>
  </si>
  <si>
    <t>UCC5310MCDR</t>
  </si>
  <si>
    <t>PCN_20240605000__MPN_UCC5310MCDR.xlsx</t>
  </si>
  <si>
    <t>UCC5350MCDR</t>
  </si>
  <si>
    <t>PCN_20240605000__MPN_UCC5350MCDR.xlsx</t>
  </si>
  <si>
    <t>UCC5350SBDR</t>
  </si>
  <si>
    <t>PCN_20240605000__MPN_UCC5350SBDR.xlsx</t>
  </si>
  <si>
    <t>PCN_20240605000__MPN_UCD3138064ARGCR.xlsx</t>
  </si>
  <si>
    <t>PCN_20240605000__MPN_UCD3138064RMHR.xlsx</t>
  </si>
  <si>
    <t>PCN_20240605000__MPN_UCD3138064RMHT.xlsx</t>
  </si>
  <si>
    <t>PCN_20240605000__MPN_UCD3138ARGCR.xlsx</t>
  </si>
  <si>
    <t>PCN_20240605000__MPN_UCD3138ARGCT.xlsx</t>
  </si>
  <si>
    <t>UCD3138RHAR</t>
  </si>
  <si>
    <t>PCN_20240605000__MPN_UCD3138RHAR.xlsx</t>
  </si>
  <si>
    <t>UCD3138RHAT</t>
  </si>
  <si>
    <t>PCN_20240605000__MPN_UCD3138RHAT.xlsx</t>
  </si>
  <si>
    <t>PCN_20240605000__MPN_UCD3138RMHR.xlsx</t>
  </si>
  <si>
    <t>AMC1301QDWVRQ1; AMC1302QDWVRQ1; AMC1311BQDWVRQ1; AMC1311QDWVRQ1; SN2011028QDWVRQ1; SN2011029QDWVRQ1</t>
  </si>
  <si>
    <t>PCN_20240610001__MPN_AMC1301QDWVRQ1+AMC1302QDWVRQ1+AMC1311BQDWVRQ1+AMC1311QDWVRQ1+SN2011028QDWVRQ1+SN2011029QDWVRQ1.xlsx</t>
  </si>
  <si>
    <t>UCC21520QDWRQ1</t>
  </si>
  <si>
    <t>PCN_20240618001__MPN_UCC21520QDWRQ1.xlsx</t>
  </si>
  <si>
    <t>LMG3410R050RWHR; LMG3410R050RWHT; LMG3411R050RWHR; LMG3411R070RWHR; LMG3411R150RWHR</t>
  </si>
  <si>
    <t>PCN_20240626000__MPN_LMG3410R050RWHR+LMG3410R050RWHT+LMG3411R050RWHR+LMG3411R070RWHR+LMG3411R150RWHR.xlsx</t>
  </si>
  <si>
    <t>UCC27524A1QDGNRQ1; UCC27524ADGNR; UCC27524AQDGNRQ1; UCC27524AQDRQ1; UCC27524DGNR; UCC27524DR</t>
  </si>
  <si>
    <t>PCN_20240626001__MPN_UCC27524A1QDGNRQ1+UCC27524ADGNR+UCC27524AQDGNRQ1+UCC27524AQDRQ1+UCC27524DGNR+UCC27524DR.xlsx</t>
  </si>
  <si>
    <t>AMC1200BDWVR; AMC1200TDWVRQ1</t>
  </si>
  <si>
    <t>PCN_20240628000__MPN_AMC1200BDWVR+AMC1200TDWVRQ1.xlsx</t>
  </si>
  <si>
    <t>TPS28226DRBR</t>
  </si>
  <si>
    <t>PCN_20240628000__MPN_TPS28226DRBR.xlsx</t>
  </si>
  <si>
    <t>DS110DF410SQ/NOPB; LMK03328RHSR; LMK04832NKDR</t>
  </si>
  <si>
    <t>PCN_20240628007__MPN_DS110DF410SQ-NOPB+LMK03328RHSR+LMK04832NKDR.xlsx</t>
  </si>
  <si>
    <t>LM5035BSQ/NOPB</t>
  </si>
  <si>
    <t>PCN_20240628007__MPN_LM5035BSQ-NOPB.xlsx</t>
  </si>
  <si>
    <t>LM5035BSQX/NOPB</t>
  </si>
  <si>
    <t>PCN_20240628007__MPN_LM5035BSQX-NOPB.xlsx</t>
  </si>
  <si>
    <t>LM5035CSQ/NOPB</t>
  </si>
  <si>
    <t>PCN_20240628007__MPN_LM5035CSQ-NOPB.xlsx</t>
  </si>
  <si>
    <t>LM5035CSQX/NOPB</t>
  </si>
  <si>
    <t>PCN_20240628007__MPN_LM5035CSQX-NOPB.xlsx</t>
  </si>
  <si>
    <t>LM5100ASD/NOPB; LM5101ASD/NOPB; LM5101ASDX/NOPB; LM5106SD/NOPB; LM5106SDX/NOPB; LM5112SD/NOPB; LM5112SDX/NOPB</t>
  </si>
  <si>
    <t>PCN_20240628007__MPN_LM5100ASD-NOPB+LM5101ASD-NOPB+LM5101ASDX-NOPB+LM5106SD-NOPB+LM5106SDX-NOPB+LM5112SD-NOPB+LM5112SDX-NOPB.xlsx</t>
  </si>
  <si>
    <t>LP5521YQ/NOPB</t>
  </si>
  <si>
    <t>PCN_20240628007__MPN_LP5521YQ-NOPB.xlsx</t>
  </si>
  <si>
    <t>LP5521YQX/NOPB</t>
  </si>
  <si>
    <t>PCN_20240628007__MPN_LP5521YQX-NOPB.xlsx</t>
  </si>
  <si>
    <t>UCC27200ADDAR; UCC27200ADRMR; UCC27200DR; UCC27201ADDAR; UCC27201ADRCR; UCC27201ADRMR; UCC27201AQDDARQ1; UCC27201DR; UCC27211ADRMR; UCC27211AQDDARQ1; UCC27211DDAR; UCC27211DPRR</t>
  </si>
  <si>
    <t>PCN_20240723008__MPN_UCC27200ADDAR+UCC27200ADRMR+UCC27200DR+UCC27201ADDAR+UCC27201ADRCR+UCC27201ADRMR+UCC27201AQDDARQ1+UCC27201DR+UCC27211ADRMR+UCC27211AQDDARQ1+UCC27211DDAR+UCC27211DPRR.xlsx</t>
  </si>
  <si>
    <t>BQ771803DPJR</t>
  </si>
  <si>
    <t>PCN_20240724001__MPN_BQ771803DPJR.xlsx</t>
  </si>
  <si>
    <t>SN75LVCP601RTJR; SN75LVCP601RTJT</t>
  </si>
  <si>
    <t>PCN_20240724001__MPN_SN75LVCP601RTJR+SN75LVCP601RTJT.xlsx</t>
  </si>
  <si>
    <t>TPS53626RSMR</t>
  </si>
  <si>
    <t>PCN_20240724001__MPN_TPS53626RSMR.xlsx</t>
  </si>
  <si>
    <t>CD4541BE; CD4541BM96</t>
  </si>
  <si>
    <t>PCN_20240806003__MPN_CD4541BE+CD4541BM96.xlsx</t>
  </si>
  <si>
    <t>F280023PTQR; F280039CPZQ1; F28384DPTPQR; TMS320F28075PTPQ; TMS320F28075PZPQ; TMS320F28377DPTPQ; TMS320F28377SPTPQ</t>
  </si>
  <si>
    <t>PCN_20240813001__MPN_F280023PTQR+F280039CPZQ1+F28384DPTPQR+TMS320F28075PTPQ+TMS320F28075PZPQ+TMS320F28377DPTPQ+TMS320F28377SPTPQ.xlsx</t>
  </si>
  <si>
    <t>UC2842AD8TR</t>
  </si>
  <si>
    <t>PCN_20241015002__MPN_UC2842AD8TR.xlsx</t>
  </si>
  <si>
    <t>UC2842AN</t>
  </si>
  <si>
    <t>PCN_20241015002__MPN_UC2842AN.xlsx</t>
  </si>
  <si>
    <t>UC2842AQD8R</t>
  </si>
  <si>
    <t>PCN_20241015002__MPN_UC2842AQD8R.xlsx</t>
  </si>
  <si>
    <t>UC2843AQD8RQ1</t>
  </si>
  <si>
    <t>PCN_20241015002__MPN_UC2843AQD8RQ1.xlsx</t>
  </si>
  <si>
    <t>UC2843DTR</t>
  </si>
  <si>
    <t>PCN_20241015002__MPN_UC2843DTR.xlsx</t>
  </si>
  <si>
    <t>UC2844AN</t>
  </si>
  <si>
    <t>PCN_20241015002__MPN_UC2844AN.xlsx</t>
  </si>
  <si>
    <t>UC2844AQD8R</t>
  </si>
  <si>
    <t>PCN_20241015002__MPN_UC2844AQD8R.xlsx</t>
  </si>
  <si>
    <t>UC2844N</t>
  </si>
  <si>
    <t>PCN_20241015002__MPN_UC2844N.xlsx</t>
  </si>
  <si>
    <t>UC2845AQD8R</t>
  </si>
  <si>
    <t>PCN_20241015002__MPN_UC2845AQD8R.xlsx</t>
  </si>
  <si>
    <t>UC2845DTR</t>
  </si>
  <si>
    <t>PCN_20241015002__MPN_UC2845DTR.xlsx</t>
  </si>
  <si>
    <t>UC2845N</t>
  </si>
  <si>
    <t>PCN_20241015002__MPN_UC2845N.xlsx</t>
  </si>
  <si>
    <t>UC3842ADTR</t>
  </si>
  <si>
    <t>PCN_20241015002__MPN_UC3842ADTR.xlsx</t>
  </si>
  <si>
    <t>UC3842AN</t>
  </si>
  <si>
    <t>PCN_20241015002__MPN_UC3842AN.xlsx</t>
  </si>
  <si>
    <t>UC3843AN</t>
  </si>
  <si>
    <t>PCN_20241015002__MPN_UC3843AN.xlsx</t>
  </si>
  <si>
    <t>UC3844N</t>
  </si>
  <si>
    <t>PCN_20241015002__MPN_UC3844N.xlsx</t>
  </si>
  <si>
    <t>UC3845AD8TR</t>
  </si>
  <si>
    <t>PCN_20241015002__MPN_UC3845AD8TR.xlsx</t>
  </si>
  <si>
    <t>UC3845ADTR</t>
  </si>
  <si>
    <t>PCN_20241015002__MPN_UC3845ADTR.xlsx</t>
  </si>
  <si>
    <t>UC3845AN</t>
  </si>
  <si>
    <t>PCN_20241015002__MPN_UC3845AN.xlsx</t>
  </si>
  <si>
    <t>UC3845N</t>
  </si>
  <si>
    <t>PCN_20241015002__MPN_UC3845N.xlsx</t>
  </si>
  <si>
    <t>UC2842ADTR</t>
  </si>
  <si>
    <t>PCN_20241015003__MPN_UC2842ADTR.xlsx</t>
  </si>
  <si>
    <t>UC2843AD8TR</t>
  </si>
  <si>
    <t>PCN_20241015003__MPN_UC2843AD8TR.xlsx</t>
  </si>
  <si>
    <t>UC2843ADTR</t>
  </si>
  <si>
    <t>PCN_20241015003__MPN_UC2843ADTR.xlsx</t>
  </si>
  <si>
    <t>UC2843D8TR</t>
  </si>
  <si>
    <t>PCN_20241015003__MPN_UC2843D8TR.xlsx</t>
  </si>
  <si>
    <t>UC2844AD8TR</t>
  </si>
  <si>
    <t>PCN_20241015003__MPN_UC2844AD8TR.xlsx</t>
  </si>
  <si>
    <t>UC2844ADTR</t>
  </si>
  <si>
    <t>PCN_20241015003__MPN_UC2844ADTR.xlsx</t>
  </si>
  <si>
    <t>UC2845AD8TR</t>
  </si>
  <si>
    <t>PCN_20241015003__MPN_UC2845AD8TR.xlsx</t>
  </si>
  <si>
    <t>UC3842AD8TR</t>
  </si>
  <si>
    <t>PCN_20241015003__MPN_UC3842AD8TR.xlsx</t>
  </si>
  <si>
    <t>UC3843AD8TR</t>
  </si>
  <si>
    <t>PCN_20241015003__MPN_UC3843AD8TR.xlsx</t>
  </si>
  <si>
    <t>UC3843ADTR</t>
  </si>
  <si>
    <t>PCN_20241015003__MPN_UC3843ADTR.xlsx</t>
  </si>
  <si>
    <t>UCC27614DSGR; UCC27624DR; UCC27624QDRQ1</t>
  </si>
  <si>
    <t>PCN_20241106000__MPN_UCC27614DSGR+UCC27624DR+UCC27624QDRQ1.xlsx</t>
  </si>
  <si>
    <t>UCC21220ADR; UCC21220DR; UCC21222DR</t>
  </si>
  <si>
    <t>PCN_20241112000__MPN_UCC21220ADR+UCC21220DR+UCC21222DR.xlsx</t>
  </si>
  <si>
    <t>UCC21520ADWR; UCC21520DWR</t>
  </si>
  <si>
    <t>PCN_20241112000__MPN_UCC21520ADWR+UCC21520DWR.xlsx</t>
  </si>
  <si>
    <t>UCC21530DWKR</t>
  </si>
  <si>
    <t>PCN_20241112000__MPN_UCC21530DWKR.xlsx</t>
  </si>
  <si>
    <t>UCC21540ADWKR; UCC21540DWR</t>
  </si>
  <si>
    <t>PCN_20241112000__MPN_UCC21540ADWKR+UCC21540DWR.xlsx</t>
  </si>
  <si>
    <t>PCN_20241209000__MPN_UCC21220ADR+UCC21220DR+UCC21222DR.xlsx</t>
  </si>
  <si>
    <t>PCN_20241209000__MPN_UCC21520ADWR+UCC21520DWR.xlsx</t>
  </si>
  <si>
    <t>PCN_20241209000__MPN_UCC21530DWKR.xlsx</t>
  </si>
  <si>
    <t>PCN_20241209000__MPN_UCC21540ADWKR+UCC21540DWR.xlsx</t>
  </si>
  <si>
    <t>AMC1200SDUBR</t>
  </si>
  <si>
    <t>PCN_20241218007__MPN_AMC1200SDUBR.xlsx</t>
  </si>
  <si>
    <t>UCC5350MCQDRQ1</t>
  </si>
  <si>
    <t>PCN_20241219001__MPN_UCC5350MCQDRQ1.xlsx</t>
  </si>
  <si>
    <t>F2800152QPHPRQ1; F2800154QPHPRQ1; F2800157QPNQ1</t>
  </si>
  <si>
    <t>PCN_20250110000__MPN_F2800152QPHPRQ1+F2800154QPHPRQ1+F2800157QPNQ1.xlsx</t>
  </si>
  <si>
    <t>BQ76200PWR; BQ7692006PWR</t>
  </si>
  <si>
    <t>PCN_20250124001__MPN_BQ76200PWR+BQ7692006PWR.xlsx</t>
  </si>
  <si>
    <t>UCC28950QPWRQ1</t>
  </si>
  <si>
    <t>PCN_20250124001__MPN_UCC28950QPWRQ1.xlsx</t>
  </si>
  <si>
    <t>TLC6C598PWR</t>
  </si>
  <si>
    <t>PCN_20250130000__MPN_TLC6C598PWR.xlsx</t>
  </si>
  <si>
    <t>UCC28951PWR</t>
  </si>
  <si>
    <t>PCN_20250130000__MPN_UCC28951PWR.xlsx</t>
  </si>
  <si>
    <t>UCC28951QPWRQ1</t>
  </si>
  <si>
    <t>PCN_20250130000__MPN_UCC28951QPWRQ1.xlsx</t>
  </si>
  <si>
    <t>INA230AIRGTR</t>
  </si>
  <si>
    <t>PCN_20250204002__MPN_INA230AIRGTR.xlsx</t>
  </si>
  <si>
    <t>LP5562TME/NOPB</t>
  </si>
  <si>
    <t>PCN_20250213002__MPN_LP5562TME-NOPB.xlsx</t>
  </si>
  <si>
    <t>LM60BIM3X/NOPB</t>
  </si>
  <si>
    <t>PCN_20250226003__MPN_LM60BIM3X-NOPB.xlsx</t>
  </si>
  <si>
    <t>INA226AIDGSR; INA226AQDGSRQ1</t>
  </si>
  <si>
    <t>PCN_20250226008__MPN_INA226AIDGSR+INA226AQDGSRQ1.xlsx</t>
  </si>
  <si>
    <t>TLC6C5724QDAPRQ1</t>
  </si>
  <si>
    <t>PCN_20250303003__MPN_TLC6C5724QDAPRQ1.xlsx</t>
  </si>
  <si>
    <t>UCC2803QDRQ1</t>
  </si>
  <si>
    <t>PCN_20250319001__MPN_UCC2803QDRQ1.xlsx</t>
  </si>
  <si>
    <t>UCC2804QDRQ1</t>
  </si>
  <si>
    <t>PCN_20250319001__MPN_UCC2804QDRQ1.xlsx</t>
  </si>
  <si>
    <t>UCC2813QDR-4Q1</t>
  </si>
  <si>
    <t>PCN_20250319001__MPN_UCC2813QDR-4Q1.xlsx</t>
  </si>
  <si>
    <t>UCC2813QDR-5Q1</t>
  </si>
  <si>
    <t>PCN_20250319001__MPN_UCC2813QDR-5Q1.xlsx</t>
  </si>
  <si>
    <t>INA138NA/3K; INA139NA/3K; INA168QDBVRQ1; INA169NA/3K</t>
  </si>
  <si>
    <t>PCN_20250319003__MPN_INA138NA-3K+INA139NA-3K+INA168QDBVRQ1+INA169NA-3K.xlsx</t>
  </si>
  <si>
    <t>UCC27528QDRQ1</t>
  </si>
  <si>
    <t>PCN_20250325001__MPN_UCC27528QDRQ1.xlsx</t>
  </si>
  <si>
    <t>F280040PMQR; F280041PMS; F280041PZQR; F280041PZS; F280041PZSR; F280048PMQR; F280049CPMSR; F280049PMS; F280049PMSR; F280049PZQR; F280049PZS; F280049PZSR</t>
  </si>
  <si>
    <t>PCN_20250404000__MPN_F280040PMQR+F280041PMS+F280041PZQR+F280041PZS+F280041PZSR+F280048PMQR+F280049CPMSR+F280049PMS+F280049PMSR+F280049PZQR+F280049PZS+F280049PZSR.xlsx</t>
  </si>
  <si>
    <t>UCC21550BQDWRQ1</t>
  </si>
  <si>
    <t>PCN_20250417001__MPN_UCC21550BQDWRQ1.xlsx</t>
  </si>
  <si>
    <t>PCN_20250417003__MPN_UCC21550BQDWRQ1.xlsx</t>
  </si>
  <si>
    <t>UCC2801DTR</t>
  </si>
  <si>
    <t>PCN_20250430002__MPN_UCC2801DTR.xlsx</t>
  </si>
  <si>
    <t>UCC2813DTR-1</t>
  </si>
  <si>
    <t>PCN_20250430002__MPN_UCC2813DTR-1.xlsx</t>
  </si>
  <si>
    <t>UCC2813DTR-5</t>
  </si>
  <si>
    <t>PCN_20250430002__MPN_UCC2813DTR-5.xlsx</t>
  </si>
  <si>
    <t>UCC3804DTR</t>
  </si>
  <si>
    <t>PCN_20250430002__MPN_UCC3804DTR.xlsx</t>
  </si>
  <si>
    <t>TPS65100PWPR</t>
  </si>
  <si>
    <t>PCN_20250514002__MPN_TPS65100PWPR.xlsx</t>
  </si>
  <si>
    <t>TPS65145PWPR</t>
  </si>
  <si>
    <t>PCN_20250514002__MPN_TPS65145PWPR.xlsx</t>
  </si>
  <si>
    <t>LM2903P; LM293P; LM393AP; LM393P</t>
  </si>
  <si>
    <t>PCN_20250514003__MPN_LM2903P+LM293P+LM393AP+LM393P.xlsx</t>
  </si>
  <si>
    <t>LM50CIM3X/NOPB</t>
  </si>
  <si>
    <t>PCN_20250604003__MPN_LM50CIM3X-NOPB.xlsx</t>
  </si>
  <si>
    <t>TMP102AQDRLRQ1; TMP112AQDRLRQ1</t>
  </si>
  <si>
    <t>PCN_20250618009__MPN_TMP102AQDRLRQ1+TMP112AQDRLRQ1.xlsx</t>
  </si>
  <si>
    <t>ADS8684IDBTR</t>
  </si>
  <si>
    <t>PCN_20250630000__MPN_ADS8684IDBTR.xlsx</t>
  </si>
  <si>
    <t>UCC28070QPWRQ1</t>
  </si>
  <si>
    <t>PCN_20250630000__MPN_UCC28070QPWRQ1.xlsx</t>
  </si>
  <si>
    <t>UCC27714DR</t>
  </si>
  <si>
    <t>PCN_20250701000__MPN_UCC27714DR.xlsx</t>
  </si>
  <si>
    <t>UCC256403DDBR</t>
  </si>
  <si>
    <t>PCN_20250728000__MPN_UCC256403DDBR.xlsx</t>
  </si>
  <si>
    <t>UCC256404ADDBR</t>
  </si>
  <si>
    <t>PCN_20250728000__MPN_UCC256404ADDBR.xlsx</t>
  </si>
  <si>
    <t>UCC2808ADTR-2</t>
  </si>
  <si>
    <t>PCN_20250730005__MPN_UCC2808ADTR-2.xlsx</t>
  </si>
  <si>
    <t>UCC2808APWTR-2</t>
  </si>
  <si>
    <t>PCN_20250730005__MPN_UCC2808APWTR-2.xlsx</t>
  </si>
  <si>
    <t>UCC2808DTR-2</t>
  </si>
  <si>
    <t>PCN_20250730005__MPN_UCC2808DTR-2.xlsx</t>
  </si>
  <si>
    <t>UCC3808ADTR-1</t>
  </si>
  <si>
    <t>PCN_20250730005__MPN_UCC3808ADTR-1.xlsx</t>
  </si>
  <si>
    <t>UCC3808ADTR-2</t>
  </si>
  <si>
    <t>PCN_20250730005__MPN_UCC3808ADTR-2.xlsx</t>
  </si>
  <si>
    <t>UCC2808AQDR-2Q1</t>
  </si>
  <si>
    <t>PCN_20250730008__MPN_UCC2808AQDR-2Q1.xlsx</t>
  </si>
  <si>
    <t>ADC78H90CIMT/NOPB; ADC78H90CIMTX/NOPB; LMP90100MHE/NOPB</t>
  </si>
  <si>
    <t>PCN_20250819001__MPN_ADC78H90CIMT-NOPB+ADC78H90CIMTX-NOPB+LMP90100MHE-NOPB.xlsx</t>
  </si>
  <si>
    <t>LM3429MHX/NOPB</t>
  </si>
  <si>
    <t>PCN_20250819001__MPN_LM3429MHX-NOPB.xlsx</t>
  </si>
  <si>
    <t>LM5025AMTCX/NOPB</t>
  </si>
  <si>
    <t>PCN_20250819001__MPN_LM5025AMTCX-NOPB.xlsx</t>
  </si>
  <si>
    <t>LM5025BMTCX/NOPB</t>
  </si>
  <si>
    <t>PCN_20250819001__MPN_LM5025BMTCX-NOPB.xlsx</t>
  </si>
  <si>
    <t>LM5026MTX/NOPB</t>
  </si>
  <si>
    <t>PCN_20250819001__MPN_LM5026MTX-NOPB.xlsx</t>
  </si>
  <si>
    <t>LM5034MTCX/NOPB</t>
  </si>
  <si>
    <t>PCN_20250819001__MPN_LM5034MTCX-NOPB.xlsx</t>
  </si>
  <si>
    <t>LM5035BMHX/NOPB</t>
  </si>
  <si>
    <t>PCN_20250819001__MPN_LM5035BMHX-NOPB.xlsx</t>
  </si>
  <si>
    <t>LM5045MHX/NOPB</t>
  </si>
  <si>
    <t>PCN_20250819001__MPN_LM5045MHX-NOPB.xlsx</t>
  </si>
  <si>
    <t>LM5046MHX/NOPB</t>
  </si>
  <si>
    <t>PCN_20250819001__MPN_LM5046MHX-NOPB.xlsx</t>
  </si>
  <si>
    <t>LM96000CIMTX/NOPB</t>
  </si>
  <si>
    <t>PCN_20250819001__MPN_LM96000CIMTX-NOPB.xlsx</t>
  </si>
  <si>
    <t>TPS92641PWPR/NOPB</t>
  </si>
  <si>
    <t>PCN_20250819001__MPN_TPS92641PWPR-NOPB.xlsx</t>
  </si>
  <si>
    <t>UCC28700QDBVRQ1</t>
  </si>
  <si>
    <t>PCN_20250925000__MPN_UCC28700QDBVRQ1.xlsx</t>
  </si>
  <si>
    <t>ADS7028IRTER; TDES954RGZR; TDES954RGZT</t>
  </si>
  <si>
    <t>PCN_20251014000__MPN_ADS7028IRTER+TDES954RGZR+TDES954RGZT.xlsx</t>
  </si>
  <si>
    <t>BQ40Z80RSMR; BQ40Z80RSMT; BQ29209DRBR; BQ76925RGER</t>
  </si>
  <si>
    <t>PCN_20251014000__MPN_BQ40Z80RSMR+BQ40Z80RSMT+BQ29209DRBR+BQ76925RGER.xlsx</t>
  </si>
  <si>
    <t>F2800137RHBR</t>
  </si>
  <si>
    <t>PCN_20251014000__MPN_F2800137RHBR.xlsx</t>
  </si>
  <si>
    <t>INA3221AIRGVR</t>
  </si>
  <si>
    <t>PCN_20251014000__MPN_INA3221AIRGVR.xlsx</t>
  </si>
  <si>
    <t>TMP116NAIDRVR</t>
  </si>
  <si>
    <t>PCN_20251014000__MPN_TMP116NAIDRVR.xlsx</t>
  </si>
  <si>
    <t>TPS23730RMTR</t>
  </si>
  <si>
    <t>PCN_20251014000__MPN_TPS23730RMTR.xlsx</t>
  </si>
  <si>
    <t>TPS23731RMTR</t>
  </si>
  <si>
    <t>PCN_20251014000__MPN_TPS23731RMTR.xlsx</t>
  </si>
  <si>
    <t>PCN_20251014000__MPN_TPS51206DSQR.xlsx</t>
  </si>
  <si>
    <t>UCC27611DRVR; UCC27611DRVT; UCC27614DSGR</t>
  </si>
  <si>
    <t>PCN_20251014000__MPN_UCC27611DRVR+UCC27611DRVT+UCC27614DSGR.xlsx</t>
  </si>
  <si>
    <t>INA186A3QDCKRQ1</t>
  </si>
  <si>
    <t>PCN_20251014001__MPN_INA186A3QDCKRQ1.xlsx</t>
  </si>
  <si>
    <t>PCN_20251015000__MPN_UCC5350MCQDWVRQ1.xlsx</t>
  </si>
  <si>
    <t>INA381A1QDGSRQ1</t>
  </si>
  <si>
    <t>PCN_20251103000__MPN_INA381A1QDGSRQ1.xlsx</t>
  </si>
  <si>
    <t>TMP411ADGKR; TMP411CDGKR</t>
  </si>
  <si>
    <t>PCN_20251104003__MPN_TMP411ADGKR+TMP411CDGKR.xlsx</t>
  </si>
  <si>
    <t>ADS1018QDGSRQ1</t>
  </si>
  <si>
    <t>PCN_20251112000__MPN_ADS1018QDGSRQ1.xlsx</t>
  </si>
  <si>
    <t>UCC28711DR</t>
  </si>
  <si>
    <t>PCN_20260206001__MPN_UCC28711DR.xlsx</t>
  </si>
  <si>
    <t>UCC28740D</t>
  </si>
  <si>
    <t>PCN_20260206001__MPN_UCC28740D.xlsx</t>
  </si>
  <si>
    <t>UCC28740DR</t>
  </si>
  <si>
    <t>PCN_20260206001__MPN_UCC28740DR.xlsx</t>
  </si>
  <si>
    <t>TLC555QDRQ1</t>
  </si>
  <si>
    <t>PCN_20260211000__MPN_TLC555QDRQ1.xlsx</t>
  </si>
  <si>
    <t>ADS1219IPWR; ADS1262IPWR; CDCE913PWR; DAC80004IPWR</t>
  </si>
  <si>
    <t>PCN_20260223007__MPN_ADS1219IPWR+ADS1262IPWR+CDCE913PWR+DAC80004IPWR.xlsx</t>
  </si>
  <si>
    <t>TPS65910A3A1RSLR</t>
  </si>
  <si>
    <t>PCN_20260223007__MPN_TPS65910A3A1RSLR.xlsx</t>
  </si>
  <si>
    <t>TPS65910AA1RSLR</t>
  </si>
  <si>
    <t>PCN_20260223007__MPN_TPS65910AA1RSLR.xlsx</t>
  </si>
  <si>
    <t>INA180A2QDBVRQ1</t>
  </si>
  <si>
    <t>PCN_20260223008__MPN_INA180A2QDBVRQ1.xlsx</t>
  </si>
  <si>
    <t>AMC3311QDWERQ1; AMC3330QDWERQ1</t>
  </si>
  <si>
    <t>PCN_20260227001__MPN_AMC3311QDWERQ1+AMC3330QDWERQ1.xlsx</t>
  </si>
  <si>
    <t>NE555P</t>
  </si>
  <si>
    <t>PCN_20260326003__MPN_NE555P.xlsx</t>
  </si>
  <si>
    <t>TLC556IDR</t>
  </si>
  <si>
    <t>PCN_20260402000__MPN_TLC556IDR.xlsx</t>
  </si>
  <si>
    <t>SN74AVC4T774PWR</t>
  </si>
  <si>
    <t>PCN_20260409005__MPN_SN74AVC4T774PWR.xlsx</t>
  </si>
  <si>
    <t>OPA2328DR; OPA328DBVR</t>
  </si>
  <si>
    <t>PCN_20260421001__MPN_OPAx328.xlsx</t>
  </si>
  <si>
    <t>RA corresponded PCN Number</t>
  </si>
  <si>
    <t>Rejected Major PCN</t>
  </si>
  <si>
    <t xml:space="preserve">Major PCN Not yet uploaded </t>
  </si>
  <si>
    <t>Status</t>
  </si>
  <si>
    <t>Owner</t>
  </si>
  <si>
    <t>Action</t>
  </si>
  <si>
    <t>AFFECTED_PNS</t>
  </si>
  <si>
    <t>TOTAL_PNS</t>
  </si>
  <si>
    <t>Definition</t>
  </si>
  <si>
    <t>TI</t>
  </si>
  <si>
    <t>Minor ready for upload</t>
  </si>
  <si>
    <t>MINOR PCN with at least one affected material pending upload</t>
  </si>
  <si>
    <t>Upload to Delta</t>
  </si>
  <si>
    <t>Major blocked by RA</t>
  </si>
  <si>
    <t>MAJOR PCN pending upload with NONE, PARTIAL, or UNKNOWN RA coverage</t>
  </si>
  <si>
    <t>Complete/Verify RA</t>
  </si>
  <si>
    <t>Major ready for upload</t>
  </si>
  <si>
    <t>MAJOR PCN pending upload with FULL material-level RA coverage</t>
  </si>
  <si>
    <t>Upload with RA</t>
  </si>
  <si>
    <t>Delta</t>
  </si>
  <si>
    <t>Minor pending approval</t>
  </si>
  <si>
    <t>All applicable materials uploaded; Delta status PROCESSING; expected TI risk MINOR</t>
  </si>
  <si>
    <t>Follow up with Delta</t>
  </si>
  <si>
    <t>Major pending approval</t>
  </si>
  <si>
    <t>All applicable materials uploaded; Delta status PROCESSING; expected TI risk MAJOR</t>
  </si>
  <si>
    <t>TI / Delta</t>
  </si>
  <si>
    <t>Rejected – resolution required</t>
  </si>
  <si>
    <t>At least one current Delta record is REJECT</t>
  </si>
  <si>
    <t>Investigate and correct</t>
  </si>
  <si>
    <t>Closed</t>
  </si>
  <si>
    <t>Completed</t>
  </si>
  <si>
    <t>No unuploaded, processing, or rejected materials remain; at least one COMPLETE record</t>
  </si>
  <si>
    <t>No action</t>
  </si>
  <si>
    <t>PCN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</si>
</sst>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name val="Calibri"/>
      <family val="2"/>
    </font>
    <font>
      <sz val="11"/>
      <color theme="1"/>
      <name val="Calibri"/>
      <family val="2"/>
    </font>
    <font>
      <sz val="11"/>
      <color theme="1"/>
      <name val="新細明體"/>
      <family val="2"/>
    </font>
    <font>
      <sz val="9"/>
      <name val="Calibri"/>
      <family val="3"/>
      <charset val="136"/>
      <scheme val="minor"/>
    </font>
    <font>
      <b/>
      <sz val="11"/>
      <color theme="0"/>
      <name val="Calibri"/>
      <family val="2"/>
    </font>
    <font>
      <sz val="11"/>
      <color theme="0"/>
      <name val="Calibri"/>
      <family val="2"/>
    </font>
    <font>
      <sz val="9"/>
      <name val="Calibri"/>
      <family val="2"/>
      <charset val="136"/>
      <scheme val="minor"/>
    </font>
    <font>
      <sz val="11"/>
      <name val="Calibri"/>
      <family val="2"/>
    </font>
    <font>
      <sz val="10"/>
      <color theme="1"/>
      <name val="Segoe UI"/>
      <family val="2"/>
    </font>
    <font>
      <b/>
      <sz val="10"/>
      <color rgb="FFFFFFFF"/>
      <name val="Arial"/>
      <family val="2"/>
    </font>
    <font>
      <sz val="11"/>
      <color theme="0"/>
      <name val="Calibri"/>
      <family val="2"/>
      <scheme val="minor"/>
    </font>
    <font>
      <b/>
      <sz val="11"/>
      <color rgb="FFFFFFFF"/>
      <name val="Calibri"/>
      <family val="2"/>
      <scheme val="minor"/>
    </font>
    <font>
      <b/>
      <sz val="11"/>
      <color theme="1"/>
      <name val="Carlito"/>
    </font>
    <font>
      <sz val="11"/>
      <color theme="1"/>
      <name val="Carlito"/>
    </font>
    <font>
      <b/>
      <sz val="11"/>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1F4E78"/>
        <bgColor rgb="FF003366"/>
      </patternFill>
    </fill>
    <fill>
      <patternFill patternType="solid">
        <fgColor rgb="FF7030A0"/>
        <bgColor indexed="64"/>
      </patternFill>
    </fill>
    <fill>
      <patternFill patternType="solid">
        <fgColor rgb="FF002060"/>
        <bgColor indexed="64"/>
      </patternFill>
    </fill>
  </fills>
  <borders count="12">
    <border>
      <left/>
      <right/>
      <top/>
      <bottom/>
      <diagonal/>
    </border>
    <border>
      <left/>
      <right/>
      <top/>
      <bottom style="medium">
        <color rgb="FF2F75B5"/>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9">
    <xf numFmtId="0" fontId="0" fillId="0" borderId="0" xfId="0"/>
    <xf numFmtId="0" fontId="2" fillId="0" borderId="0" xfId="0" applyFont="1"/>
    <xf numFmtId="0" fontId="1"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2" fillId="0" borderId="0" xfId="0" applyFont="1" applyAlignment="1">
      <alignment horizontal="left"/>
    </xf>
    <xf numFmtId="0" fontId="0" fillId="0" borderId="0" xfId="0" applyAlignment="1">
      <alignment horizontal="left"/>
    </xf>
    <xf numFmtId="0" fontId="2" fillId="0" borderId="2" xfId="0" applyFont="1" applyBorder="1"/>
    <xf numFmtId="0" fontId="2" fillId="0" borderId="2" xfId="0" applyFont="1" applyBorder="1" applyAlignment="1">
      <alignment horizontal="left"/>
    </xf>
    <xf numFmtId="0" fontId="0" fillId="0" borderId="2" xfId="0" applyBorder="1"/>
    <xf numFmtId="0" fontId="2" fillId="0" borderId="0" xfId="0" applyFont="1" applyAlignment="1">
      <alignment vertical="center"/>
    </xf>
    <xf numFmtId="0" fontId="2" fillId="6" borderId="0" xfId="0" applyFont="1" applyFill="1"/>
    <xf numFmtId="0" fontId="2" fillId="5" borderId="0" xfId="0" applyFont="1" applyFill="1"/>
    <xf numFmtId="0" fontId="6" fillId="3" borderId="0" xfId="0" applyFont="1" applyFill="1"/>
    <xf numFmtId="0" fontId="2" fillId="2" borderId="0" xfId="0" applyFont="1" applyFill="1" applyAlignment="1">
      <alignment vertical="center"/>
    </xf>
    <xf numFmtId="0" fontId="2" fillId="6" borderId="0" xfId="0" applyFont="1" applyFill="1" applyAlignment="1">
      <alignment vertical="center"/>
    </xf>
    <xf numFmtId="0" fontId="6" fillId="3" borderId="0" xfId="0" applyFont="1" applyFill="1" applyAlignment="1">
      <alignment vertical="center"/>
    </xf>
    <xf numFmtId="0" fontId="8" fillId="5" borderId="0" xfId="0" applyFont="1" applyFill="1" applyAlignment="1">
      <alignment vertical="center"/>
    </xf>
    <xf numFmtId="0" fontId="2" fillId="0" borderId="3" xfId="0" applyFont="1" applyBorder="1"/>
    <xf numFmtId="0" fontId="2" fillId="0" borderId="3" xfId="0" applyFont="1" applyBorder="1" applyAlignment="1">
      <alignment horizontal="right"/>
    </xf>
    <xf numFmtId="0" fontId="2" fillId="7" borderId="3" xfId="0" applyFont="1" applyFill="1" applyBorder="1"/>
    <xf numFmtId="0" fontId="2" fillId="7" borderId="3" xfId="0" applyFont="1" applyFill="1" applyBorder="1" applyAlignment="1">
      <alignment horizontal="right"/>
    </xf>
    <xf numFmtId="0" fontId="0" fillId="0" borderId="3" xfId="0" applyBorder="1"/>
    <xf numFmtId="0" fontId="10" fillId="8" borderId="0" xfId="0" applyFont="1" applyFill="1" applyAlignment="1">
      <alignment horizontal="center"/>
    </xf>
    <xf numFmtId="0" fontId="0" fillId="0" borderId="0" xfId="0" applyAlignment="1">
      <alignment horizontal="center"/>
    </xf>
    <xf numFmtId="49" fontId="0" fillId="0" borderId="0" xfId="0" applyNumberFormat="1" applyAlignment="1">
      <alignment horizontal="center"/>
    </xf>
    <xf numFmtId="0" fontId="0" fillId="0" borderId="0" xfId="0" applyAlignment="1">
      <alignment wrapText="1"/>
    </xf>
    <xf numFmtId="49" fontId="0" fillId="0" borderId="0" xfId="0" applyNumberFormat="1"/>
    <xf numFmtId="0" fontId="12" fillId="8" borderId="0" xfId="0" applyFont="1" applyFill="1" applyAlignment="1">
      <alignment horizontal="center"/>
    </xf>
    <xf numFmtId="0" fontId="0" fillId="0" borderId="0" xfId="0" applyAlignment="1">
      <alignment vertical="center"/>
    </xf>
    <xf numFmtId="0" fontId="0" fillId="2" borderId="0" xfId="0" applyFill="1"/>
    <xf numFmtId="0" fontId="11" fillId="9" borderId="0" xfId="0" applyFont="1" applyFill="1"/>
    <xf numFmtId="49" fontId="10" fillId="8" borderId="0" xfId="0" applyNumberFormat="1" applyFont="1" applyFill="1" applyAlignment="1">
      <alignment horizontal="center"/>
    </xf>
    <xf numFmtId="49" fontId="0" fillId="0" borderId="0" xfId="0" applyNumberFormat="1" applyAlignment="1">
      <alignment horizontal="left" wrapText="1"/>
    </xf>
    <xf numFmtId="0" fontId="11" fillId="10" borderId="0" xfId="0" applyFont="1" applyFill="1"/>
    <xf numFmtId="0" fontId="2" fillId="0" borderId="3" xfId="0" applyFont="1" applyBorder="1" applyAlignment="1">
      <alignment horizontal="left"/>
    </xf>
    <xf numFmtId="0" fontId="9" fillId="0" borderId="0" xfId="0" applyFont="1" applyAlignment="1">
      <alignment horizontal="left" vertical="center"/>
    </xf>
    <xf numFmtId="0" fontId="13" fillId="0" borderId="5" xfId="0" applyFont="1" applyBorder="1" applyAlignment="1">
      <alignment horizontal="left" vertical="center"/>
    </xf>
    <xf numFmtId="0" fontId="13" fillId="0" borderId="6" xfId="0" applyFont="1" applyBorder="1" applyAlignment="1">
      <alignment horizontal="left" vertical="center"/>
    </xf>
    <xf numFmtId="0" fontId="14" fillId="0" borderId="8" xfId="0" applyFont="1" applyBorder="1" applyAlignment="1">
      <alignment horizontal="left" vertical="center" wrapText="1"/>
    </xf>
    <xf numFmtId="0" fontId="14" fillId="0" borderId="3"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3" fillId="0" borderId="7" xfId="0" applyFont="1" applyBorder="1" applyAlignment="1">
      <alignment horizontal="left" vertical="center"/>
    </xf>
    <xf numFmtId="0" fontId="14" fillId="0" borderId="3" xfId="0" applyFont="1" applyBorder="1" applyAlignment="1">
      <alignment horizontal="left" vertical="center"/>
    </xf>
    <xf numFmtId="0" fontId="14" fillId="0" borderId="4" xfId="0" applyFont="1" applyBorder="1" applyAlignment="1">
      <alignment horizontal="left" vertical="center"/>
    </xf>
    <xf numFmtId="0" fontId="14" fillId="0" borderId="10" xfId="0" applyFont="1" applyBorder="1" applyAlignment="1">
      <alignment horizontal="left" vertical="center"/>
    </xf>
    <xf numFmtId="0" fontId="14" fillId="0" borderId="11" xfId="0" applyFont="1" applyBorder="1" applyAlignment="1">
      <alignment horizontal="left" vertical="center"/>
    </xf>
    <xf numFmtId="0" fontId="15" fillId="0" borderId="0" xfId="0" applyFont="1"/>
  </cellXfs>
  <cellStyles count="1">
    <cellStyle name="Normal" xfId="0" builtinId="0"/>
  </cellStyles>
  <dxfs count="58">
    <dxf>
      <fill>
        <patternFill>
          <bgColor rgb="FFFFC000"/>
        </patternFill>
      </fill>
    </dxf>
    <dxf>
      <fill>
        <patternFill>
          <bgColor rgb="FF92D050"/>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FFC000"/>
        </patternFill>
      </fill>
    </dxf>
    <dxf>
      <fill>
        <patternFill>
          <bgColor rgb="FF92D050"/>
        </patternFill>
      </fill>
    </dxf>
    <dxf>
      <font>
        <color theme="1"/>
      </font>
      <fill>
        <patternFill>
          <bgColor theme="0" tint="-0.24994659260841701"/>
        </patternFill>
      </fill>
    </dxf>
    <dxf>
      <font>
        <color theme="1"/>
      </font>
      <fill>
        <patternFill>
          <bgColor rgb="FFFF7C80"/>
        </patternFill>
      </fill>
    </dxf>
    <dxf>
      <font>
        <color theme="1"/>
      </font>
      <fill>
        <patternFill>
          <bgColor rgb="FFFFFF00"/>
        </patternFill>
      </fill>
    </dxf>
    <dxf>
      <font>
        <color theme="1"/>
      </font>
      <fill>
        <patternFill>
          <bgColor rgb="FF00FF00"/>
        </patternFill>
      </fill>
    </dxf>
    <dxf>
      <font>
        <color theme="0"/>
      </font>
      <fill>
        <patternFill>
          <bgColor rgb="FFFF0000"/>
        </patternFill>
      </fill>
    </dxf>
    <dxf>
      <fill>
        <patternFill>
          <bgColor theme="0" tint="-0.24994659260841701"/>
        </patternFill>
      </fill>
    </dxf>
    <dxf>
      <fill>
        <patternFill>
          <bgColor rgb="FFFF9999"/>
        </patternFill>
      </fill>
    </dxf>
    <dxf>
      <fill>
        <patternFill>
          <bgColor rgb="FFFFFF99"/>
        </patternFill>
      </fill>
    </dxf>
    <dxf>
      <font>
        <color theme="1"/>
      </font>
      <fill>
        <patternFill patternType="solid">
          <fgColor rgb="FFFCE4D6"/>
          <bgColor rgb="FFFF7C80"/>
        </patternFill>
      </fill>
    </dxf>
    <dxf>
      <font>
        <color theme="1"/>
      </font>
      <fill>
        <patternFill patternType="solid">
          <fgColor rgb="FFE2F0D9"/>
          <bgColor rgb="FF66FF66"/>
        </patternFill>
      </fill>
    </dxf>
    <dxf>
      <fill>
        <patternFill patternType="solid">
          <fgColor rgb="FFFFF2CC"/>
          <bgColor rgb="FFFFFF66"/>
        </patternFill>
      </fill>
    </dxf>
    <dxf>
      <font>
        <color theme="1"/>
      </font>
      <fill>
        <patternFill patternType="solid">
          <fgColor rgb="FFE2F0D9"/>
          <bgColor rgb="FF99FF99"/>
        </patternFill>
      </fill>
    </dxf>
    <dxf>
      <fill>
        <patternFill patternType="solid">
          <fgColor rgb="FFFFF2CC"/>
          <bgColor rgb="FFFFFF00"/>
        </patternFill>
      </fill>
    </dxf>
    <dxf>
      <font>
        <color theme="1"/>
      </font>
      <fill>
        <patternFill patternType="solid">
          <fgColor rgb="FFFCE4D6"/>
          <bgColor rgb="FFFF7C80"/>
        </patternFill>
      </fill>
    </dxf>
    <dxf>
      <font>
        <color theme="1"/>
      </font>
      <fill>
        <patternFill patternType="solid">
          <fgColor rgb="FFE2F0D9"/>
          <bgColor rgb="FF99FF99"/>
        </patternFill>
      </fill>
    </dxf>
    <dxf>
      <font>
        <color theme="0"/>
      </font>
      <fill>
        <patternFill>
          <bgColor rgb="FF00B0F0"/>
        </patternFill>
      </fill>
    </dxf>
    <dxf>
      <fill>
        <patternFill>
          <bgColor rgb="FFFF7C80"/>
        </patternFill>
      </fill>
    </dxf>
    <dxf>
      <fill>
        <patternFill>
          <bgColor rgb="FFFF0000"/>
        </patternFill>
      </fill>
    </dxf>
    <dxf>
      <fill>
        <patternFill>
          <bgColor rgb="FFFFFF00"/>
        </patternFill>
      </fill>
    </dxf>
    <dxf>
      <fill>
        <patternFill>
          <bgColor rgb="FFCCFFFF"/>
        </patternFill>
      </fill>
    </dxf>
    <dxf>
      <fill>
        <patternFill>
          <bgColor rgb="FFFF9999"/>
        </patternFill>
      </fill>
    </dxf>
    <dxf>
      <fill>
        <patternFill>
          <bgColor rgb="FF66CCFF"/>
        </patternFill>
      </fill>
    </dxf>
    <dxf>
      <fill>
        <patternFill>
          <bgColor rgb="FF99FF99"/>
        </patternFill>
      </fill>
    </dxf>
    <dxf>
      <fill>
        <patternFill>
          <bgColor rgb="FFFF9999"/>
        </patternFill>
      </fill>
    </dxf>
    <dxf>
      <fill>
        <patternFill>
          <bgColor rgb="FF66CCFF"/>
        </patternFill>
      </fill>
    </dxf>
    <dxf>
      <fill>
        <patternFill>
          <bgColor rgb="FF99FF66"/>
        </patternFill>
      </fill>
    </dxf>
    <dxf>
      <fill>
        <patternFill>
          <bgColor rgb="FF66FF99"/>
        </patternFill>
      </fill>
    </dxf>
    <dxf>
      <fill>
        <patternFill>
          <bgColor rgb="FF99FF99"/>
        </patternFill>
      </fill>
    </dxf>
    <dxf>
      <fill>
        <patternFill>
          <bgColor rgb="FFFFC000"/>
        </patternFill>
      </fill>
    </dxf>
    <dxf>
      <fill>
        <patternFill>
          <bgColor rgb="FF92D050"/>
        </patternFill>
      </fill>
    </dxf>
    <dxf>
      <font>
        <color theme="0"/>
      </font>
      <fill>
        <patternFill>
          <bgColor rgb="FFFF0000"/>
        </patternFill>
      </fill>
    </dxf>
    <dxf>
      <font>
        <strike val="0"/>
        <outline val="0"/>
        <shadow val="0"/>
        <u val="none"/>
        <vertAlign val="baseline"/>
        <sz val="11"/>
        <color theme="1"/>
        <name val="Carlito"/>
        <scheme val="none"/>
      </font>
      <numFmt numFmtId="0" formatCode="General"/>
      <fill>
        <patternFill patternType="none">
          <fgColor indexed="64"/>
          <bgColor auto="1"/>
        </patternFill>
      </fill>
      <alignment horizontal="left"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rlito"/>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rlito"/>
        <scheme val="none"/>
      </font>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rlito"/>
        <scheme val="none"/>
      </font>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rlito"/>
        <scheme val="none"/>
      </font>
      <fill>
        <patternFill patternType="none">
          <fgColor indexed="64"/>
          <bgColor auto="1"/>
        </patternFill>
      </fill>
      <alignment horizontal="lef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Carlito"/>
        <scheme val="none"/>
      </font>
      <fill>
        <patternFill patternType="none">
          <fgColor indexed="64"/>
          <bgColor auto="1"/>
        </patternFill>
      </fill>
      <alignment horizontal="left" vertical="center" textRotation="0" indent="0" justifyLastLine="0" shrinkToFit="0" readingOrder="0"/>
    </dxf>
    <dxf>
      <border>
        <bottom style="thin">
          <color indexed="64"/>
        </bottom>
      </border>
    </dxf>
    <dxf>
      <font>
        <b/>
        <strike val="0"/>
        <outline val="0"/>
        <shadow val="0"/>
        <u val="none"/>
        <vertAlign val="baseline"/>
        <sz val="11"/>
        <color theme="1"/>
        <name val="Carlito"/>
        <scheme val="none"/>
      </font>
      <fill>
        <patternFill patternType="none">
          <fgColor indexed="64"/>
          <bgColor auto="1"/>
        </patternFill>
      </fill>
      <alignment horizontal="left"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30" formatCode="@"/>
      <alignment horizontal="left"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rgb="FF003366"/>
          <bgColor rgb="FF1F4E78"/>
        </patternFill>
      </fill>
      <alignment horizontal="center" vertical="bottom" textRotation="0" wrapText="0" indent="0" justifyLastLine="0" shrinkToFit="0" readingOrder="0"/>
    </dxf>
  </dxfs>
  <tableStyles count="0" defaultTableStyle="TableStyleMedium9" defaultPivotStyle="PivotStyleLight16"/>
  <colors>
    <mruColors>
      <color rgb="FF00FF00"/>
      <color rgb="FF66CCFF"/>
      <color rgb="FFB70909"/>
      <color rgb="FF66FF66"/>
      <color rgb="FF99FF66"/>
      <color rgb="FFCCFFFF"/>
      <color rgb="FFFF9999"/>
      <color rgb="FFFFFF99"/>
      <color rgb="FFFFFF66"/>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593115-65C3-484C-AFFE-0148A467D03B}" name="Table1" displayName="Table1" ref="A1:I185" totalsRowShown="0" headerRowDxfId="57">
  <autoFilter ref="A1:I185" xr:uid="{93593115-65C3-484C-AFFE-0148A467D03B}"/>
  <tableColumns count="9">
    <tableColumn id="1" xr3:uid="{3067A551-4F1E-491D-AFDB-E56074CBA366}" name="RA No." dataDxfId="56"/>
    <tableColumn id="2" xr3:uid="{48ED951C-4C79-4F0C-B52F-CFE6FCD5FCDE}" name="PCN Number" dataDxfId="55"/>
    <tableColumn id="3" xr3:uid="{3318E2F2-9FC2-4792-AF06-98EA54EE239A}" name="Related TI Vendor Part Number(s)" dataDxfId="54"/>
    <tableColumn id="4" xr3:uid="{BB68D097-217A-4612-BD56-8E77AFA6D30F}" name="Part Count" dataDxfId="53"/>
    <tableColumn id="5" xr3:uid="{39077062-E9AB-4469-B184-B309161DA385}" name="PCN Type" dataDxfId="52"/>
    <tableColumn id="6" xr3:uid="{12FAB176-F10C-4351-A3CC-B75E391B727B}" name="PCN Change Type" dataDxfId="51"/>
    <tableColumn id="7" xr3:uid="{9CCA96B2-DD99-4696-B61D-0A15C4C4E82D}" name="Notification Date" dataDxfId="50"/>
    <tableColumn id="8" xr3:uid="{2B804CBD-DF9B-4E44-962B-99BD1FB4952F}" name="PCN Title" dataDxfId="49"/>
    <tableColumn id="9" xr3:uid="{05D8D1CE-BE0F-413B-A968-227C6B6C0924}" name="RA Workbook Filename" dataDxfId="4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305210-6B7C-0140-80CD-B47D8C430584}" name="RobertSnapshotTable" displayName="RobertSnapshotTable" ref="A1:E8" totalsRowShown="0" headerRowDxfId="47" dataDxfId="45" headerRowBorderDxfId="46" tableBorderDxfId="44" totalsRowBorderDxfId="43">
  <autoFilter ref="A1:E8" xr:uid="{D3305210-6B7C-0140-80CD-B47D8C430584}"/>
  <tableColumns count="5">
    <tableColumn id="1" xr3:uid="{2D3893BD-FB4E-E34C-8F2B-33E7082D238C}" name="Owner" dataDxfId="42"/>
    <tableColumn id="2" xr3:uid="{59443EC5-71A7-1E43-B278-12393A28D0FF}" name="Status" dataDxfId="41"/>
    <tableColumn id="3" xr3:uid="{FA2EDAAA-F9BA-524F-9685-E6F68284DC7C}" name="Definition" dataDxfId="40"/>
    <tableColumn id="5" xr3:uid="{D1C53AEA-4756-FC4B-AF8B-DAD437AF251B}" name="Action" dataDxfId="39"/>
    <tableColumn id="4" xr3:uid="{06AA38F2-B3C4-2149-85CF-4780BA723D09}" name="PCN count" dataDxfId="3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W1299"/>
  <sheetViews>
    <sheetView showGridLines="0" zoomScale="142" zoomScaleNormal="115" workbookViewId="0">
      <pane ySplit="1" topLeftCell="A362" activePane="bottomLeft" state="frozen"/>
      <selection pane="bottomLeft" activeCell="A277" sqref="A277"/>
    </sheetView>
  </sheetViews>
  <sheetFormatPr baseColWidth="10" defaultColWidth="8.83203125" defaultRowHeight="15"/>
  <cols>
    <col min="1" max="1" width="52.83203125" customWidth="1"/>
    <col min="2" max="2" width="11.83203125" customWidth="1"/>
    <col min="3" max="3" width="11.5" customWidth="1"/>
    <col min="4" max="4" width="16.6640625" customWidth="1"/>
    <col min="5" max="5" width="23.5" customWidth="1"/>
    <col min="6" max="6" width="17.1640625" customWidth="1"/>
    <col min="7" max="7" width="10.5" customWidth="1"/>
    <col min="8" max="8" width="19.33203125" style="6" customWidth="1"/>
    <col min="9" max="9" width="29.83203125" customWidth="1"/>
    <col min="10" max="10" width="30" customWidth="1"/>
    <col min="11" max="11" width="12.33203125" customWidth="1"/>
    <col min="12" max="12" width="16.5" customWidth="1"/>
    <col min="13" max="13" width="20.83203125" customWidth="1"/>
    <col min="14" max="14" width="39.1640625" customWidth="1"/>
    <col min="15" max="15" width="7.1640625" customWidth="1"/>
    <col min="16" max="16" width="18.1640625" customWidth="1"/>
    <col min="17" max="17" width="14" customWidth="1"/>
    <col min="18" max="18" width="15" customWidth="1"/>
    <col min="19" max="19" width="8.6640625" customWidth="1"/>
    <col min="20" max="20" width="77.5" customWidth="1"/>
  </cols>
  <sheetData>
    <row r="1" spans="1:23" ht="49.75" customHeight="1" thickBot="1">
      <c r="A1" s="3" t="s">
        <v>3849</v>
      </c>
      <c r="B1" s="2" t="s">
        <v>3859</v>
      </c>
      <c r="C1" s="2" t="s">
        <v>3848</v>
      </c>
      <c r="D1" s="4" t="s">
        <v>17</v>
      </c>
      <c r="E1" s="4" t="s">
        <v>3846</v>
      </c>
      <c r="F1" s="2" t="s">
        <v>3860</v>
      </c>
      <c r="G1" s="2" t="s">
        <v>3863</v>
      </c>
      <c r="H1" s="4" t="s">
        <v>15</v>
      </c>
      <c r="I1" s="3" t="s">
        <v>3847</v>
      </c>
      <c r="J1" s="4" t="s">
        <v>14</v>
      </c>
      <c r="K1" s="3" t="s">
        <v>6</v>
      </c>
      <c r="L1" s="3" t="s">
        <v>11</v>
      </c>
      <c r="M1" s="4" t="s">
        <v>16</v>
      </c>
      <c r="N1" s="3" t="s">
        <v>12</v>
      </c>
      <c r="O1" s="3" t="s">
        <v>7</v>
      </c>
      <c r="P1" s="3" t="s">
        <v>8</v>
      </c>
      <c r="Q1" s="3" t="s">
        <v>9</v>
      </c>
      <c r="R1" s="4" t="s">
        <v>13</v>
      </c>
      <c r="S1" s="4" t="s">
        <v>4235</v>
      </c>
      <c r="T1" s="4" t="s">
        <v>4234</v>
      </c>
      <c r="U1" t="s">
        <v>3853</v>
      </c>
      <c r="V1" t="s">
        <v>3854</v>
      </c>
      <c r="W1" t="s">
        <v>3855</v>
      </c>
    </row>
    <row r="2" spans="1:23">
      <c r="A2" s="1" t="s">
        <v>2506</v>
      </c>
      <c r="B2" s="1" t="str" cm="1">
        <f t="array" ref="B2">IF(A2="","",_xlfn.IFS(COUNTIF($U:$U,A2)&gt;0,"All uploaded",COUNTIF($V:$V,A2)&gt;0,"Partly uploaded",COUNTIF($W:$X,A2)&gt;0,"Not uploaded",TRUE,"Not classified"))</f>
        <v>All uploaded</v>
      </c>
      <c r="C2" s="1" t="str" cm="1">
        <f t="array" ref="C2">_xlfn.SWITCH(TRIM(I2),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 s="1" t="s">
        <v>0</v>
      </c>
      <c r="E2" s="1" t="s">
        <v>3</v>
      </c>
      <c r="F2" s="1" t="str" cm="1">
        <f t="array" ref="F2">_xlfn.LET(
_xlpm.status,UPPER(TRIM(B2&amp;"")),
_xlpm.risk,UPPER(TRIM(C2&amp;"")),
_xlpm.notify,UPPER(TRIM(D2&amp;"")),
_xlpm.form,UPPER(TRIM(E2&amp;"")),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2" s="1" t="str">
        <f>IF(AND(UPPER(TRIM(C2&amp;""))="MAJOR",OR(TRIM(D2&amp;"")="",UPPER(TRIM(E2&amp;""))="REJECT")),"Required","NA")</f>
        <v>NA</v>
      </c>
      <c r="H2" s="5">
        <v>20250225001</v>
      </c>
      <c r="I2" s="1" t="s">
        <v>22</v>
      </c>
      <c r="J2" s="1" t="s">
        <v>2508</v>
      </c>
      <c r="K2" s="1" t="s">
        <v>2503</v>
      </c>
      <c r="L2" s="1" t="s">
        <v>22</v>
      </c>
      <c r="M2" s="1" t="s">
        <v>77</v>
      </c>
      <c r="N2" s="1" t="s">
        <v>2507</v>
      </c>
      <c r="O2" s="1" t="s">
        <v>19</v>
      </c>
      <c r="P2" s="1" t="s">
        <v>18</v>
      </c>
      <c r="Q2" s="1" t="s">
        <v>20</v>
      </c>
      <c r="R2" s="1" t="s">
        <v>2456</v>
      </c>
      <c r="S2" s="1">
        <v>1</v>
      </c>
      <c r="T2" s="1" t="s">
        <v>2509</v>
      </c>
      <c r="U2" t="s">
        <v>205</v>
      </c>
      <c r="V2" t="s">
        <v>210</v>
      </c>
      <c r="W2" t="s">
        <v>124</v>
      </c>
    </row>
    <row r="3" spans="1:23">
      <c r="A3" s="1" t="s">
        <v>210</v>
      </c>
      <c r="B3" s="1" t="str" cm="1">
        <f t="array" ref="B3">IF(A3="","",_xlfn.IFS(COUNTIF($U:$U,A3)&gt;0,"All uploaded",COUNTIF($V:$V,A3)&gt;0,"Partly uploaded",COUNTIF($W:$X,A3)&gt;0,"Not uploaded",TRUE,"Not classified"))</f>
        <v>Partly uploaded</v>
      </c>
      <c r="C3" s="1" t="str" cm="1">
        <f t="array" ref="C3">_xlfn.SWITCH(TRIM(I3),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 s="1" t="s">
        <v>0</v>
      </c>
      <c r="E3" s="1" t="s">
        <v>4</v>
      </c>
      <c r="F3" s="1" t="str" cm="1">
        <f t="array" ref="F3">_xlfn.LET(
_xlpm.status,UPPER(TRIM(B3&amp;"")),
_xlpm.risk,UPPER(TRIM(C3&amp;"")),
_xlpm.notify,UPPER(TRIM(D3&amp;"")),
_xlpm.form,UPPER(TRIM(E3&amp;"")),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 s="1" t="str">
        <f t="shared" ref="G3:G66" si="0">IF(AND(UPPER(TRIM(C3&amp;""))="MAJOR",OR(TRIM(D3&amp;"")="",UPPER(TRIM(E3&amp;""))="REJECT")),"Required","NA")</f>
        <v>Required</v>
      </c>
      <c r="H3" s="5" t="s">
        <v>214</v>
      </c>
      <c r="I3" s="1" t="s">
        <v>54</v>
      </c>
      <c r="J3" s="1" t="s">
        <v>213</v>
      </c>
      <c r="K3" s="1" t="s">
        <v>196</v>
      </c>
      <c r="L3" s="1" t="s">
        <v>22</v>
      </c>
      <c r="M3" s="1" t="s">
        <v>80</v>
      </c>
      <c r="N3" s="1" t="s">
        <v>211</v>
      </c>
      <c r="O3" s="1" t="s">
        <v>19</v>
      </c>
      <c r="P3" s="1" t="s">
        <v>18</v>
      </c>
      <c r="Q3" s="1" t="s">
        <v>20</v>
      </c>
      <c r="R3" s="1" t="s">
        <v>212</v>
      </c>
      <c r="S3" s="1">
        <v>4</v>
      </c>
      <c r="T3" s="1" t="s">
        <v>215</v>
      </c>
      <c r="U3" t="s">
        <v>216</v>
      </c>
      <c r="V3" t="s">
        <v>158</v>
      </c>
      <c r="W3" t="s">
        <v>126</v>
      </c>
    </row>
    <row r="4" spans="1:23">
      <c r="A4" s="1" t="s">
        <v>158</v>
      </c>
      <c r="B4" s="1" t="str" cm="1">
        <f t="array" ref="B4">IF(A4="","",_xlfn.IFS(COUNTIF($U:$U,A4)&gt;0,"All uploaded",COUNTIF($V:$V,A4)&gt;0,"Partly uploaded",COUNTIF($W:$X,A4)&gt;0,"Not uploaded",TRUE,"Not classified"))</f>
        <v>Partly uploaded</v>
      </c>
      <c r="C4" s="1" t="str" cm="1">
        <f t="array" ref="C4">_xlfn.SWITCH(TRIM(I4),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 s="1" t="s">
        <v>0</v>
      </c>
      <c r="E4" s="1" t="s">
        <v>4</v>
      </c>
      <c r="F4" s="1" t="str" cm="1">
        <f t="array" ref="F4">_xlfn.LET(
_xlpm.status,UPPER(TRIM(B4&amp;"")),
_xlpm.risk,UPPER(TRIM(C4&amp;"")),
_xlpm.notify,UPPER(TRIM(D4&amp;"")),
_xlpm.form,UPPER(TRIM(E4&amp;"")),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 s="1" t="str">
        <f t="shared" si="0"/>
        <v>NA</v>
      </c>
      <c r="H4" s="5" t="s">
        <v>161</v>
      </c>
      <c r="I4" s="1" t="s">
        <v>29</v>
      </c>
      <c r="J4" s="1" t="s">
        <v>160</v>
      </c>
      <c r="K4" s="1" t="s">
        <v>157</v>
      </c>
      <c r="L4" s="1" t="s">
        <v>10</v>
      </c>
      <c r="M4" s="1" t="s">
        <v>28</v>
      </c>
      <c r="N4" s="1" t="s">
        <v>159</v>
      </c>
      <c r="O4" s="1" t="s">
        <v>19</v>
      </c>
      <c r="P4" s="1" t="s">
        <v>18</v>
      </c>
      <c r="Q4" s="1" t="s">
        <v>20</v>
      </c>
      <c r="R4" s="1" t="s">
        <v>151</v>
      </c>
      <c r="S4" s="1">
        <v>7</v>
      </c>
      <c r="T4" s="1" t="s">
        <v>162</v>
      </c>
      <c r="U4" t="s">
        <v>300</v>
      </c>
      <c r="V4" t="s">
        <v>166</v>
      </c>
      <c r="W4" t="s">
        <v>194</v>
      </c>
    </row>
    <row r="5" spans="1:23">
      <c r="A5" s="1" t="s">
        <v>158</v>
      </c>
      <c r="B5" s="1" t="str" cm="1">
        <f t="array" ref="B5">IF(A5="","",_xlfn.IFS(COUNTIF($U:$U,A5)&gt;0,"All uploaded",COUNTIF($V:$V,A5)&gt;0,"Partly uploaded",COUNTIF($W:$X,A5)&gt;0,"Not uploaded",TRUE,"Not classified"))</f>
        <v>Partly uploaded</v>
      </c>
      <c r="C5" s="1" t="str" cm="1">
        <f t="array" ref="C5">_xlfn.SWITCH(TRIM(I5),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 s="1" t="s">
        <v>1</v>
      </c>
      <c r="E5" s="1" t="s">
        <v>4</v>
      </c>
      <c r="F5" s="1" t="str" cm="1">
        <f t="array" ref="F5">_xlfn.LET(
_xlpm.status,UPPER(TRIM(B5&amp;"")),
_xlpm.risk,UPPER(TRIM(C5&amp;"")),
_xlpm.notify,UPPER(TRIM(D5&amp;"")),
_xlpm.form,UPPER(TRIM(E5&amp;"")),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 s="1" t="str">
        <f t="shared" si="0"/>
        <v>NA</v>
      </c>
      <c r="H5" s="5" t="s">
        <v>161</v>
      </c>
      <c r="I5" s="1" t="s">
        <v>29</v>
      </c>
      <c r="J5" s="1" t="s">
        <v>163</v>
      </c>
      <c r="K5" s="1" t="s">
        <v>157</v>
      </c>
      <c r="L5" s="1" t="s">
        <v>10</v>
      </c>
      <c r="M5" s="1" t="s">
        <v>75</v>
      </c>
      <c r="N5" s="1" t="s">
        <v>159</v>
      </c>
      <c r="O5" s="1" t="s">
        <v>19</v>
      </c>
      <c r="P5" s="1" t="s">
        <v>18</v>
      </c>
      <c r="Q5" s="1" t="s">
        <v>20</v>
      </c>
      <c r="R5" s="1" t="s">
        <v>91</v>
      </c>
      <c r="S5" s="1">
        <v>5</v>
      </c>
      <c r="T5" s="1" t="s">
        <v>164</v>
      </c>
      <c r="U5" t="s">
        <v>343</v>
      </c>
      <c r="V5" t="s">
        <v>197</v>
      </c>
      <c r="W5" t="s">
        <v>236</v>
      </c>
    </row>
    <row r="6" spans="1:23">
      <c r="A6" s="1" t="s">
        <v>166</v>
      </c>
      <c r="B6" s="1" t="str" cm="1">
        <f t="array" ref="B6">IF(A6="","",_xlfn.IFS(COUNTIF($U:$U,A6)&gt;0,"All uploaded",COUNTIF($V:$V,A6)&gt;0,"Partly uploaded",COUNTIF($W:$X,A6)&gt;0,"Not uploaded",TRUE,"Not classified"))</f>
        <v>Partly uploaded</v>
      </c>
      <c r="C6" s="1" t="str" cm="1">
        <f t="array" ref="C6">_xlfn.SWITCH(TRIM(I6),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 s="1" t="s">
        <v>0</v>
      </c>
      <c r="E6" s="1" t="s">
        <v>4</v>
      </c>
      <c r="F6" s="1" t="str" cm="1">
        <f t="array" ref="F6">_xlfn.LET(
_xlpm.status,UPPER(TRIM(B6&amp;"")),
_xlpm.risk,UPPER(TRIM(C6&amp;"")),
_xlpm.notify,UPPER(TRIM(D6&amp;"")),
_xlpm.form,UPPER(TRIM(E6&amp;"")),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6" s="1" t="str">
        <f t="shared" si="0"/>
        <v>NA</v>
      </c>
      <c r="H6" s="5" t="s">
        <v>186</v>
      </c>
      <c r="I6" s="1" t="s">
        <v>167</v>
      </c>
      <c r="J6" s="1" t="s">
        <v>185</v>
      </c>
      <c r="K6" s="1" t="s">
        <v>165</v>
      </c>
      <c r="L6" s="1" t="s">
        <v>25</v>
      </c>
      <c r="M6" s="1" t="s">
        <v>75</v>
      </c>
      <c r="N6" s="1" t="s">
        <v>168</v>
      </c>
      <c r="O6" s="1" t="s">
        <v>19</v>
      </c>
      <c r="P6" s="1" t="s">
        <v>18</v>
      </c>
      <c r="Q6" s="1" t="s">
        <v>20</v>
      </c>
      <c r="R6" s="1" t="s">
        <v>145</v>
      </c>
      <c r="S6" s="1">
        <v>11</v>
      </c>
      <c r="T6" s="1" t="s">
        <v>187</v>
      </c>
      <c r="U6" t="s">
        <v>328</v>
      </c>
      <c r="V6" t="s">
        <v>240</v>
      </c>
      <c r="W6" t="s">
        <v>222</v>
      </c>
    </row>
    <row r="7" spans="1:23">
      <c r="A7" s="1" t="s">
        <v>166</v>
      </c>
      <c r="B7" s="1" t="str" cm="1">
        <f t="array" ref="B7">IF(A7="","",_xlfn.IFS(COUNTIF($U:$U,A7)&gt;0,"All uploaded",COUNTIF($V:$V,A7)&gt;0,"Partly uploaded",COUNTIF($W:$X,A7)&gt;0,"Not uploaded",TRUE,"Not classified"))</f>
        <v>Partly uploaded</v>
      </c>
      <c r="C7" s="1" t="str" cm="1">
        <f t="array" ref="C7">_xlfn.SWITCH(TRIM(I7),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 s="1" t="s">
        <v>1</v>
      </c>
      <c r="E7" s="1" t="s">
        <v>4</v>
      </c>
      <c r="F7" s="1" t="str" cm="1">
        <f t="array" ref="F7">_xlfn.LET(
_xlpm.status,UPPER(TRIM(B7&amp;"")),
_xlpm.risk,UPPER(TRIM(C7&amp;"")),
_xlpm.notify,UPPER(TRIM(D7&amp;"")),
_xlpm.form,UPPER(TRIM(E7&amp;"")),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7" s="1" t="str">
        <f t="shared" si="0"/>
        <v>NA</v>
      </c>
      <c r="H7" s="5" t="s">
        <v>186</v>
      </c>
      <c r="I7" s="1" t="s">
        <v>167</v>
      </c>
      <c r="J7" s="1" t="s">
        <v>188</v>
      </c>
      <c r="K7" s="1" t="s">
        <v>165</v>
      </c>
      <c r="L7" s="1" t="s">
        <v>25</v>
      </c>
      <c r="M7" s="1" t="s">
        <v>77</v>
      </c>
      <c r="N7" s="1" t="s">
        <v>168</v>
      </c>
      <c r="O7" s="1" t="s">
        <v>19</v>
      </c>
      <c r="P7" s="1" t="s">
        <v>18</v>
      </c>
      <c r="Q7" s="1" t="s">
        <v>20</v>
      </c>
      <c r="R7" s="1" t="s">
        <v>112</v>
      </c>
      <c r="S7" s="1">
        <v>21</v>
      </c>
      <c r="T7" s="1" t="s">
        <v>189</v>
      </c>
      <c r="U7" t="s">
        <v>387</v>
      </c>
      <c r="V7" t="s">
        <v>225</v>
      </c>
      <c r="W7" t="s">
        <v>238</v>
      </c>
    </row>
    <row r="8" spans="1:23">
      <c r="A8" s="1" t="s">
        <v>166</v>
      </c>
      <c r="B8" s="1" t="str" cm="1">
        <f t="array" ref="B8">IF(A8="","",_xlfn.IFS(COUNTIF($U:$U,A8)&gt;0,"All uploaded",COUNTIF($V:$V,A8)&gt;0,"Partly uploaded",COUNTIF($W:$X,A8)&gt;0,"Not uploaded",TRUE,"Not classified"))</f>
        <v>Partly uploaded</v>
      </c>
      <c r="C8" s="1" t="str" cm="1">
        <f t="array" ref="C8">_xlfn.SWITCH(TRIM(I8),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 s="1" t="s">
        <v>0</v>
      </c>
      <c r="E8" s="1" t="s">
        <v>4</v>
      </c>
      <c r="F8" s="1" t="str" cm="1">
        <f t="array" ref="F8">_xlfn.LET(
_xlpm.status,UPPER(TRIM(B8&amp;"")),
_xlpm.risk,UPPER(TRIM(C8&amp;"")),
_xlpm.notify,UPPER(TRIM(D8&amp;"")),
_xlpm.form,UPPER(TRIM(E8&amp;"")),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8" s="1" t="str">
        <f t="shared" si="0"/>
        <v>NA</v>
      </c>
      <c r="H8" s="5" t="s">
        <v>171</v>
      </c>
      <c r="I8" s="1" t="s">
        <v>167</v>
      </c>
      <c r="J8" s="1" t="s">
        <v>170</v>
      </c>
      <c r="K8" s="1" t="s">
        <v>165</v>
      </c>
      <c r="L8" s="1" t="s">
        <v>25</v>
      </c>
      <c r="M8" s="1" t="s">
        <v>75</v>
      </c>
      <c r="N8" s="1" t="s">
        <v>168</v>
      </c>
      <c r="O8" s="1" t="s">
        <v>19</v>
      </c>
      <c r="P8" s="1" t="s">
        <v>18</v>
      </c>
      <c r="Q8" s="1" t="s">
        <v>20</v>
      </c>
      <c r="R8" s="1" t="s">
        <v>169</v>
      </c>
      <c r="S8" s="1">
        <v>10</v>
      </c>
      <c r="T8" s="1" t="s">
        <v>172</v>
      </c>
      <c r="U8" t="s">
        <v>396</v>
      </c>
      <c r="V8" t="s">
        <v>224</v>
      </c>
      <c r="W8" t="s">
        <v>231</v>
      </c>
    </row>
    <row r="9" spans="1:23">
      <c r="A9" s="1" t="s">
        <v>166</v>
      </c>
      <c r="B9" s="1" t="str" cm="1">
        <f t="array" ref="B9">IF(A9="","",_xlfn.IFS(COUNTIF($U:$U,A9)&gt;0,"All uploaded",COUNTIF($V:$V,A9)&gt;0,"Partly uploaded",COUNTIF($W:$X,A9)&gt;0,"Not uploaded",TRUE,"Not classified"))</f>
        <v>Partly uploaded</v>
      </c>
      <c r="C9" s="1" t="str" cm="1">
        <f t="array" ref="C9">_xlfn.SWITCH(TRIM(I9),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 s="1" t="s">
        <v>1</v>
      </c>
      <c r="E9" s="1" t="s">
        <v>4</v>
      </c>
      <c r="F9" s="1" t="str" cm="1">
        <f t="array" ref="F9">_xlfn.LET(
_xlpm.status,UPPER(TRIM(B9&amp;"")),
_xlpm.risk,UPPER(TRIM(C9&amp;"")),
_xlpm.notify,UPPER(TRIM(D9&amp;"")),
_xlpm.form,UPPER(TRIM(E9&amp;"")),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9" s="1" t="str">
        <f t="shared" si="0"/>
        <v>NA</v>
      </c>
      <c r="H9" s="5" t="s">
        <v>191</v>
      </c>
      <c r="I9" s="1" t="s">
        <v>167</v>
      </c>
      <c r="J9" s="1" t="s">
        <v>190</v>
      </c>
      <c r="K9" s="1" t="s">
        <v>165</v>
      </c>
      <c r="L9" s="1" t="s">
        <v>25</v>
      </c>
      <c r="M9" s="1" t="s">
        <v>75</v>
      </c>
      <c r="N9" s="1" t="s">
        <v>168</v>
      </c>
      <c r="O9" s="1" t="s">
        <v>19</v>
      </c>
      <c r="P9" s="1" t="s">
        <v>18</v>
      </c>
      <c r="Q9" s="1" t="s">
        <v>20</v>
      </c>
      <c r="R9" s="1" t="s">
        <v>96</v>
      </c>
      <c r="S9" s="1">
        <v>2</v>
      </c>
      <c r="T9" s="1" t="s">
        <v>192</v>
      </c>
      <c r="U9" t="s">
        <v>405</v>
      </c>
      <c r="V9" t="s">
        <v>258</v>
      </c>
      <c r="W9" t="s">
        <v>264</v>
      </c>
    </row>
    <row r="10" spans="1:23">
      <c r="A10" s="1" t="s">
        <v>166</v>
      </c>
      <c r="B10" s="1" t="str" cm="1">
        <f t="array" ref="B10">IF(A10="","",_xlfn.IFS(COUNTIF($U:$U,A10)&gt;0,"All uploaded",COUNTIF($V:$V,A10)&gt;0,"Partly uploaded",COUNTIF($W:$X,A10)&gt;0,"Not uploaded",TRUE,"Not classified"))</f>
        <v>Partly uploaded</v>
      </c>
      <c r="C10" s="1" t="str" cm="1">
        <f t="array" ref="C10">_xlfn.SWITCH(TRIM(I10),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 s="1" t="s">
        <v>1</v>
      </c>
      <c r="E10" s="1" t="s">
        <v>4</v>
      </c>
      <c r="F10" s="1" t="str" cm="1">
        <f t="array" ref="F10">_xlfn.LET(
_xlpm.status,UPPER(TRIM(B10&amp;"")),
_xlpm.risk,UPPER(TRIM(C10&amp;"")),
_xlpm.notify,UPPER(TRIM(D10&amp;"")),
_xlpm.form,UPPER(TRIM(E10&amp;"")),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0" s="1" t="str">
        <f t="shared" si="0"/>
        <v>NA</v>
      </c>
      <c r="H10" s="5" t="s">
        <v>183</v>
      </c>
      <c r="I10" s="1" t="s">
        <v>167</v>
      </c>
      <c r="J10" s="1" t="s">
        <v>182</v>
      </c>
      <c r="K10" s="1" t="s">
        <v>165</v>
      </c>
      <c r="L10" s="1" t="s">
        <v>25</v>
      </c>
      <c r="M10" s="1" t="s">
        <v>75</v>
      </c>
      <c r="N10" s="1" t="s">
        <v>168</v>
      </c>
      <c r="O10" s="1" t="s">
        <v>19</v>
      </c>
      <c r="P10" s="1" t="s">
        <v>18</v>
      </c>
      <c r="Q10" s="1" t="s">
        <v>20</v>
      </c>
      <c r="R10" s="1" t="s">
        <v>76</v>
      </c>
      <c r="S10" s="1">
        <v>7</v>
      </c>
      <c r="T10" s="1" t="s">
        <v>184</v>
      </c>
      <c r="U10" t="s">
        <v>456</v>
      </c>
      <c r="V10" t="s">
        <v>249</v>
      </c>
      <c r="W10" t="s">
        <v>263</v>
      </c>
    </row>
    <row r="11" spans="1:23">
      <c r="A11" s="1" t="s">
        <v>166</v>
      </c>
      <c r="B11" s="1" t="str" cm="1">
        <f t="array" ref="B11">IF(A11="","",_xlfn.IFS(COUNTIF($U:$U,A11)&gt;0,"All uploaded",COUNTIF($V:$V,A11)&gt;0,"Partly uploaded",COUNTIF($W:$X,A11)&gt;0,"Not uploaded",TRUE,"Not classified"))</f>
        <v>Partly uploaded</v>
      </c>
      <c r="C11" s="1" t="str" cm="1">
        <f t="array" ref="C11">_xlfn.SWITCH(TRIM(I11),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 s="1" t="s">
        <v>1</v>
      </c>
      <c r="E11" s="1" t="s">
        <v>2</v>
      </c>
      <c r="F11" s="1" t="str" cm="1">
        <f t="array" ref="F11">_xlfn.LET(
_xlpm.status,UPPER(TRIM(B11&amp;"")),
_xlpm.risk,UPPER(TRIM(C11&amp;"")),
_xlpm.notify,UPPER(TRIM(D11&amp;"")),
_xlpm.form,UPPER(TRIM(E11&amp;"")),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1" s="1" t="str">
        <f t="shared" si="0"/>
        <v>NA</v>
      </c>
      <c r="H11" s="5" t="s">
        <v>177</v>
      </c>
      <c r="I11" s="1" t="s">
        <v>167</v>
      </c>
      <c r="J11" s="1" t="s">
        <v>176</v>
      </c>
      <c r="K11" s="1" t="s">
        <v>165</v>
      </c>
      <c r="L11" s="1" t="s">
        <v>25</v>
      </c>
      <c r="M11" s="1" t="s">
        <v>75</v>
      </c>
      <c r="N11" s="1" t="s">
        <v>168</v>
      </c>
      <c r="O11" s="1" t="s">
        <v>19</v>
      </c>
      <c r="P11" s="1" t="s">
        <v>18</v>
      </c>
      <c r="Q11" s="1" t="s">
        <v>20</v>
      </c>
      <c r="R11" s="1" t="s">
        <v>76</v>
      </c>
      <c r="S11" s="1">
        <v>1</v>
      </c>
      <c r="T11" s="1" t="s">
        <v>108</v>
      </c>
      <c r="U11" t="s">
        <v>480</v>
      </c>
      <c r="V11" t="s">
        <v>266</v>
      </c>
      <c r="W11" t="s">
        <v>291</v>
      </c>
    </row>
    <row r="12" spans="1:23">
      <c r="A12" s="1" t="s">
        <v>166</v>
      </c>
      <c r="B12" s="1" t="str" cm="1">
        <f t="array" ref="B12">IF(A12="","",_xlfn.IFS(COUNTIF($U:$U,A12)&gt;0,"All uploaded",COUNTIF($V:$V,A12)&gt;0,"Partly uploaded",COUNTIF($W:$X,A12)&gt;0,"Not uploaded",TRUE,"Not classified"))</f>
        <v>Partly uploaded</v>
      </c>
      <c r="C12" s="1" t="str" cm="1">
        <f t="array" ref="C12">_xlfn.SWITCH(TRIM(I12),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 s="1" t="s">
        <v>1</v>
      </c>
      <c r="E12" s="1" t="s">
        <v>2</v>
      </c>
      <c r="F12" s="1" t="str" cm="1">
        <f t="array" ref="F12">_xlfn.LET(
_xlpm.status,UPPER(TRIM(B12&amp;"")),
_xlpm.risk,UPPER(TRIM(C12&amp;"")),
_xlpm.notify,UPPER(TRIM(D12&amp;"")),
_xlpm.form,UPPER(TRIM(E12&amp;"")),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2" s="1" t="str">
        <f t="shared" si="0"/>
        <v>NA</v>
      </c>
      <c r="H12" s="5" t="s">
        <v>180</v>
      </c>
      <c r="I12" s="1" t="s">
        <v>167</v>
      </c>
      <c r="J12" s="1" t="s">
        <v>179</v>
      </c>
      <c r="K12" s="1" t="s">
        <v>165</v>
      </c>
      <c r="L12" s="1" t="s">
        <v>25</v>
      </c>
      <c r="M12" s="1" t="s">
        <v>75</v>
      </c>
      <c r="N12" s="1" t="s">
        <v>168</v>
      </c>
      <c r="O12" s="1" t="s">
        <v>19</v>
      </c>
      <c r="P12" s="1" t="s">
        <v>18</v>
      </c>
      <c r="Q12" s="1" t="s">
        <v>20</v>
      </c>
      <c r="R12" s="1" t="s">
        <v>178</v>
      </c>
      <c r="S12" s="1">
        <v>1</v>
      </c>
      <c r="T12" s="1" t="s">
        <v>181</v>
      </c>
      <c r="U12" t="s">
        <v>527</v>
      </c>
      <c r="V12" t="s">
        <v>268</v>
      </c>
      <c r="W12" t="s">
        <v>298</v>
      </c>
    </row>
    <row r="13" spans="1:23">
      <c r="A13" s="1" t="s">
        <v>197</v>
      </c>
      <c r="B13" s="1" t="str" cm="1">
        <f t="array" ref="B13">IF(A13="","",_xlfn.IFS(COUNTIF($U:$U,A13)&gt;0,"All uploaded",COUNTIF($V:$V,A13)&gt;0,"Partly uploaded",COUNTIF($W:$X,A13)&gt;0,"Not uploaded",TRUE,"Not classified"))</f>
        <v>Partly uploaded</v>
      </c>
      <c r="C13" s="1" t="str" cm="1">
        <f t="array" ref="C13">_xlfn.SWITCH(TRIM(I13),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3" s="1" t="s">
        <v>1</v>
      </c>
      <c r="E13" s="1" t="s">
        <v>4</v>
      </c>
      <c r="F13" s="1" t="str" cm="1">
        <f t="array" ref="F13">_xlfn.LET(
_xlpm.status,UPPER(TRIM(B13&amp;"")),
_xlpm.risk,UPPER(TRIM(C13&amp;"")),
_xlpm.notify,UPPER(TRIM(D13&amp;"")),
_xlpm.form,UPPER(TRIM(E13&amp;"")),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3" s="1" t="str">
        <f t="shared" si="0"/>
        <v>Required</v>
      </c>
      <c r="H13" s="5" t="s">
        <v>201</v>
      </c>
      <c r="I13" s="1" t="s">
        <v>54</v>
      </c>
      <c r="J13" s="1" t="s">
        <v>200</v>
      </c>
      <c r="K13" s="1" t="s">
        <v>196</v>
      </c>
      <c r="L13" s="1" t="s">
        <v>22</v>
      </c>
      <c r="M13" s="1" t="s">
        <v>80</v>
      </c>
      <c r="N13" s="1" t="s">
        <v>198</v>
      </c>
      <c r="O13" s="1" t="s">
        <v>19</v>
      </c>
      <c r="P13" s="1" t="s">
        <v>18</v>
      </c>
      <c r="Q13" s="1" t="s">
        <v>20</v>
      </c>
      <c r="R13" s="1" t="s">
        <v>199</v>
      </c>
      <c r="S13" s="1">
        <v>7</v>
      </c>
      <c r="T13" s="1" t="s">
        <v>202</v>
      </c>
      <c r="U13" t="s">
        <v>563</v>
      </c>
      <c r="V13" t="s">
        <v>277</v>
      </c>
      <c r="W13" t="s">
        <v>323</v>
      </c>
    </row>
    <row r="14" spans="1:23">
      <c r="A14" s="1" t="s">
        <v>197</v>
      </c>
      <c r="B14" s="1" t="str" cm="1">
        <f t="array" ref="B14">IF(A14="","",_xlfn.IFS(COUNTIF($U:$U,A14)&gt;0,"All uploaded",COUNTIF($V:$V,A14)&gt;0,"Partly uploaded",COUNTIF($W:$X,A14)&gt;0,"Not uploaded",TRUE,"Not classified"))</f>
        <v>Partly uploaded</v>
      </c>
      <c r="C14" s="1" t="str" cm="1">
        <f t="array" ref="C14">_xlfn.SWITCH(TRIM(I14),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4" s="1" t="s">
        <v>0</v>
      </c>
      <c r="E14" s="1" t="s">
        <v>4</v>
      </c>
      <c r="F14" s="1" t="str" cm="1">
        <f t="array" ref="F14">_xlfn.LET(
_xlpm.status,UPPER(TRIM(B14&amp;"")),
_xlpm.risk,UPPER(TRIM(C14&amp;"")),
_xlpm.notify,UPPER(TRIM(D14&amp;"")),
_xlpm.form,UPPER(TRIM(E14&amp;"")),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4" s="1" t="str">
        <f t="shared" si="0"/>
        <v>Required</v>
      </c>
      <c r="H14" s="5" t="s">
        <v>201</v>
      </c>
      <c r="I14" s="1" t="s">
        <v>54</v>
      </c>
      <c r="J14" s="1" t="s">
        <v>204</v>
      </c>
      <c r="K14" s="1" t="s">
        <v>196</v>
      </c>
      <c r="L14" s="1" t="s">
        <v>22</v>
      </c>
      <c r="M14" s="1" t="s">
        <v>77</v>
      </c>
      <c r="N14" s="1" t="s">
        <v>198</v>
      </c>
      <c r="O14" s="1" t="s">
        <v>19</v>
      </c>
      <c r="P14" s="1" t="s">
        <v>18</v>
      </c>
      <c r="Q14" s="1" t="s">
        <v>20</v>
      </c>
      <c r="R14" s="1" t="s">
        <v>203</v>
      </c>
      <c r="S14" s="1">
        <v>7</v>
      </c>
      <c r="T14" s="1" t="s">
        <v>202</v>
      </c>
      <c r="U14" t="s">
        <v>579</v>
      </c>
      <c r="V14" t="s">
        <v>286</v>
      </c>
      <c r="W14" t="s">
        <v>321</v>
      </c>
    </row>
    <row r="15" spans="1:23">
      <c r="A15" s="1" t="s">
        <v>205</v>
      </c>
      <c r="B15" s="1" t="str" cm="1">
        <f t="array" ref="B15">IF(A15="","",_xlfn.IFS(COUNTIF($U:$U,A15)&gt;0,"All uploaded",COUNTIF($V:$V,A15)&gt;0,"Partly uploaded",COUNTIF($W:$X,A15)&gt;0,"Not uploaded",TRUE,"Not classified"))</f>
        <v>All uploaded</v>
      </c>
      <c r="C15" s="1" t="str" cm="1">
        <f t="array" ref="C15">_xlfn.SWITCH(TRIM(I15),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5" s="1" t="s">
        <v>0</v>
      </c>
      <c r="E15" s="1" t="s">
        <v>4</v>
      </c>
      <c r="F15" s="1" t="str" cm="1">
        <f t="array" ref="F15">_xlfn.LET(
_xlpm.status,UPPER(TRIM(B15&amp;"")),
_xlpm.risk,UPPER(TRIM(C15&amp;"")),
_xlpm.notify,UPPER(TRIM(D15&amp;"")),
_xlpm.form,UPPER(TRIM(E15&amp;"")),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5" s="1" t="str">
        <f t="shared" si="0"/>
        <v>Required</v>
      </c>
      <c r="H15" s="5" t="s">
        <v>208</v>
      </c>
      <c r="I15" s="1" t="s">
        <v>54</v>
      </c>
      <c r="J15" s="1" t="s">
        <v>207</v>
      </c>
      <c r="K15" s="1" t="s">
        <v>196</v>
      </c>
      <c r="L15" s="1" t="s">
        <v>22</v>
      </c>
      <c r="M15" s="1" t="s">
        <v>77</v>
      </c>
      <c r="N15" s="1" t="s">
        <v>206</v>
      </c>
      <c r="O15" s="1" t="s">
        <v>19</v>
      </c>
      <c r="P15" s="1" t="s">
        <v>18</v>
      </c>
      <c r="Q15" s="1" t="s">
        <v>20</v>
      </c>
      <c r="R15" s="1" t="s">
        <v>203</v>
      </c>
      <c r="S15" s="1">
        <v>4</v>
      </c>
      <c r="T15" s="1" t="s">
        <v>209</v>
      </c>
      <c r="U15" t="s">
        <v>586</v>
      </c>
      <c r="V15" t="s">
        <v>307</v>
      </c>
      <c r="W15" t="s">
        <v>341</v>
      </c>
    </row>
    <row r="16" spans="1:23">
      <c r="A16" s="1" t="s">
        <v>216</v>
      </c>
      <c r="B16" s="1" t="str" cm="1">
        <f t="array" ref="B16">IF(A16="","",_xlfn.IFS(COUNTIF($U:$U,A16)&gt;0,"All uploaded",COUNTIF($V:$V,A16)&gt;0,"Partly uploaded",COUNTIF($W:$X,A16)&gt;0,"Not uploaded",TRUE,"Not classified"))</f>
        <v>All uploaded</v>
      </c>
      <c r="C16" s="1" t="str" cm="1">
        <f t="array" ref="C16">_xlfn.SWITCH(TRIM(I16),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6" s="1" t="s">
        <v>0</v>
      </c>
      <c r="E16" s="1" t="s">
        <v>4</v>
      </c>
      <c r="F16" s="1" t="str" cm="1">
        <f t="array" ref="F16">_xlfn.LET(
_xlpm.status,UPPER(TRIM(B16&amp;"")),
_xlpm.risk,UPPER(TRIM(C16&amp;"")),
_xlpm.notify,UPPER(TRIM(D16&amp;"")),
_xlpm.form,UPPER(TRIM(E16&amp;"")),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6" s="1" t="str">
        <f t="shared" si="0"/>
        <v>Required</v>
      </c>
      <c r="H16" s="5" t="s">
        <v>219</v>
      </c>
      <c r="I16" s="1" t="s">
        <v>54</v>
      </c>
      <c r="J16" s="1" t="s">
        <v>218</v>
      </c>
      <c r="K16" s="1" t="s">
        <v>196</v>
      </c>
      <c r="L16" s="1" t="s">
        <v>22</v>
      </c>
      <c r="M16" s="1" t="s">
        <v>80</v>
      </c>
      <c r="N16" s="1" t="s">
        <v>217</v>
      </c>
      <c r="O16" s="1" t="s">
        <v>19</v>
      </c>
      <c r="P16" s="1" t="s">
        <v>18</v>
      </c>
      <c r="Q16" s="1" t="s">
        <v>20</v>
      </c>
      <c r="R16" s="1" t="s">
        <v>81</v>
      </c>
      <c r="S16" s="1">
        <v>2</v>
      </c>
      <c r="T16" s="1" t="s">
        <v>220</v>
      </c>
      <c r="U16" t="s">
        <v>603</v>
      </c>
      <c r="V16" t="s">
        <v>293</v>
      </c>
      <c r="W16" t="s">
        <v>327</v>
      </c>
    </row>
    <row r="17" spans="1:23">
      <c r="A17" s="1" t="s">
        <v>240</v>
      </c>
      <c r="B17" s="1" t="str" cm="1">
        <f t="array" ref="B17">IF(A17="","",_xlfn.IFS(COUNTIF($U:$U,A17)&gt;0,"All uploaded",COUNTIF($V:$V,A17)&gt;0,"Partly uploaded",COUNTIF($W:$X,A17)&gt;0,"Not uploaded",TRUE,"Not classified"))</f>
        <v>Partly uploaded</v>
      </c>
      <c r="C17" s="1" t="str" cm="1">
        <f t="array" ref="C17">_xlfn.SWITCH(TRIM(I17),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7" s="1" t="s">
        <v>0</v>
      </c>
      <c r="E17" s="1" t="s">
        <v>4</v>
      </c>
      <c r="F17" s="1" t="str" cm="1">
        <f t="array" ref="F17">_xlfn.LET(
_xlpm.status,UPPER(TRIM(B17&amp;"")),
_xlpm.risk,UPPER(TRIM(C17&amp;"")),
_xlpm.notify,UPPER(TRIM(D17&amp;"")),
_xlpm.form,UPPER(TRIM(E17&amp;"")),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7" s="1" t="str">
        <f t="shared" si="0"/>
        <v>Required</v>
      </c>
      <c r="H17" s="5" t="s">
        <v>240</v>
      </c>
      <c r="I17" s="1" t="s">
        <v>54</v>
      </c>
      <c r="J17" s="1" t="s">
        <v>242</v>
      </c>
      <c r="K17" s="1" t="s">
        <v>239</v>
      </c>
      <c r="L17" s="1" t="s">
        <v>22</v>
      </c>
      <c r="M17" s="1" t="s">
        <v>77</v>
      </c>
      <c r="N17" s="1" t="s">
        <v>241</v>
      </c>
      <c r="O17" s="1" t="s">
        <v>19</v>
      </c>
      <c r="P17" s="1" t="s">
        <v>18</v>
      </c>
      <c r="Q17" s="1" t="s">
        <v>20</v>
      </c>
      <c r="R17" s="1" t="s">
        <v>203</v>
      </c>
      <c r="S17" s="1">
        <v>8</v>
      </c>
      <c r="T17" s="1" t="s">
        <v>243</v>
      </c>
      <c r="U17" t="s">
        <v>620</v>
      </c>
      <c r="V17" t="s">
        <v>312</v>
      </c>
      <c r="W17" t="s">
        <v>348</v>
      </c>
    </row>
    <row r="18" spans="1:23">
      <c r="A18" s="1" t="s">
        <v>240</v>
      </c>
      <c r="B18" s="1" t="str" cm="1">
        <f t="array" ref="B18">IF(A18="","",_xlfn.IFS(COUNTIF($U:$U,A18)&gt;0,"All uploaded",COUNTIF($V:$V,A18)&gt;0,"Partly uploaded",COUNTIF($W:$X,A18)&gt;0,"Not uploaded",TRUE,"Not classified"))</f>
        <v>Partly uploaded</v>
      </c>
      <c r="C18" s="1" t="str" cm="1">
        <f t="array" ref="C18">_xlfn.SWITCH(TRIM(I18),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8" s="1" t="s">
        <v>0</v>
      </c>
      <c r="E18" s="1" t="s">
        <v>4</v>
      </c>
      <c r="F18" s="1" t="str" cm="1">
        <f t="array" ref="F18">_xlfn.LET(
_xlpm.status,UPPER(TRIM(B18&amp;"")),
_xlpm.risk,UPPER(TRIM(C18&amp;"")),
_xlpm.notify,UPPER(TRIM(D18&amp;"")),
_xlpm.form,UPPER(TRIM(E18&amp;"")),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8" s="1" t="str">
        <f t="shared" si="0"/>
        <v>Required</v>
      </c>
      <c r="H18" s="5" t="s">
        <v>246</v>
      </c>
      <c r="I18" s="1" t="s">
        <v>54</v>
      </c>
      <c r="J18" s="1" t="s">
        <v>245</v>
      </c>
      <c r="K18" s="1" t="s">
        <v>239</v>
      </c>
      <c r="L18" s="1" t="s">
        <v>22</v>
      </c>
      <c r="M18" s="1" t="s">
        <v>80</v>
      </c>
      <c r="N18" s="1" t="s">
        <v>241</v>
      </c>
      <c r="O18" s="1" t="s">
        <v>19</v>
      </c>
      <c r="P18" s="1" t="s">
        <v>18</v>
      </c>
      <c r="Q18" s="1" t="s">
        <v>20</v>
      </c>
      <c r="R18" s="1" t="s">
        <v>244</v>
      </c>
      <c r="S18" s="1">
        <v>4</v>
      </c>
      <c r="T18" s="1" t="s">
        <v>247</v>
      </c>
      <c r="U18" t="s">
        <v>665</v>
      </c>
      <c r="V18" t="s">
        <v>325</v>
      </c>
      <c r="W18" t="s">
        <v>363</v>
      </c>
    </row>
    <row r="19" spans="1:23">
      <c r="A19" s="1" t="s">
        <v>225</v>
      </c>
      <c r="B19" s="1" t="str" cm="1">
        <f t="array" ref="B19">IF(A19="","",_xlfn.IFS(COUNTIF($U:$U,A19)&gt;0,"All uploaded",COUNTIF($V:$V,A19)&gt;0,"Partly uploaded",COUNTIF($W:$X,A19)&gt;0,"Not uploaded",TRUE,"Not classified"))</f>
        <v>Partly uploaded</v>
      </c>
      <c r="C19" s="1" t="str" cm="1">
        <f t="array" ref="C19">_xlfn.SWITCH(TRIM(I19),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9" s="1" t="s">
        <v>0</v>
      </c>
      <c r="E19" s="1" t="s">
        <v>2</v>
      </c>
      <c r="F19" s="1" t="str" cm="1">
        <f t="array" ref="F19">_xlfn.LET(
_xlpm.status,UPPER(TRIM(B19&amp;"")),
_xlpm.risk,UPPER(TRIM(C19&amp;"")),
_xlpm.notify,UPPER(TRIM(D19&amp;"")),
_xlpm.form,UPPER(TRIM(E19&amp;"")),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9" s="1" t="str">
        <f t="shared" si="0"/>
        <v>NA</v>
      </c>
      <c r="H19" s="5" t="s">
        <v>234</v>
      </c>
      <c r="I19" s="1" t="s">
        <v>226</v>
      </c>
      <c r="J19" s="1" t="s">
        <v>233</v>
      </c>
      <c r="K19" s="1" t="s">
        <v>223</v>
      </c>
      <c r="L19" s="1" t="s">
        <v>27</v>
      </c>
      <c r="M19" s="1" t="s">
        <v>28</v>
      </c>
      <c r="N19" s="1" t="s">
        <v>113</v>
      </c>
      <c r="O19" s="1" t="s">
        <v>19</v>
      </c>
      <c r="P19" s="1" t="s">
        <v>18</v>
      </c>
      <c r="Q19" s="1" t="s">
        <v>20</v>
      </c>
      <c r="R19" s="1" t="s">
        <v>227</v>
      </c>
      <c r="S19" s="1">
        <v>1</v>
      </c>
      <c r="T19" s="1" t="s">
        <v>235</v>
      </c>
      <c r="U19" t="s">
        <v>648</v>
      </c>
      <c r="V19" t="s">
        <v>336</v>
      </c>
      <c r="W19" t="s">
        <v>393</v>
      </c>
    </row>
    <row r="20" spans="1:23">
      <c r="A20" s="1" t="s">
        <v>224</v>
      </c>
      <c r="B20" s="1" t="str" cm="1">
        <f t="array" ref="B20">IF(A20="","",_xlfn.IFS(COUNTIF($U:$U,A20)&gt;0,"All uploaded",COUNTIF($V:$V,A20)&gt;0,"Partly uploaded",COUNTIF($W:$X,A20)&gt;0,"Not uploaded",TRUE,"Not classified"))</f>
        <v>Partly uploaded</v>
      </c>
      <c r="C20" s="1" t="str" cm="1">
        <f t="array" ref="C20">_xlfn.SWITCH(TRIM(I20),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0" s="1" t="s">
        <v>0</v>
      </c>
      <c r="E20" s="1" t="s">
        <v>2</v>
      </c>
      <c r="F20" s="1" t="str" cm="1">
        <f t="array" ref="F20">_xlfn.LET(
_xlpm.status,UPPER(TRIM(B20&amp;"")),
_xlpm.risk,UPPER(TRIM(C20&amp;"")),
_xlpm.notify,UPPER(TRIM(D20&amp;"")),
_xlpm.form,UPPER(TRIM(E20&amp;"")),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0" s="1" t="str">
        <f t="shared" si="0"/>
        <v>NA</v>
      </c>
      <c r="H20" s="5" t="s">
        <v>229</v>
      </c>
      <c r="I20" s="1" t="s">
        <v>29</v>
      </c>
      <c r="J20" s="1" t="s">
        <v>228</v>
      </c>
      <c r="K20" s="1" t="s">
        <v>223</v>
      </c>
      <c r="L20" s="1" t="s">
        <v>35</v>
      </c>
      <c r="M20" s="1" t="s">
        <v>75</v>
      </c>
      <c r="N20" s="1" t="s">
        <v>46</v>
      </c>
      <c r="O20" s="1" t="s">
        <v>19</v>
      </c>
      <c r="P20" s="1" t="s">
        <v>18</v>
      </c>
      <c r="Q20" s="1" t="s">
        <v>20</v>
      </c>
      <c r="R20" s="1" t="s">
        <v>227</v>
      </c>
      <c r="S20" s="1">
        <v>7</v>
      </c>
      <c r="T20" s="1" t="s">
        <v>230</v>
      </c>
      <c r="U20" t="s">
        <v>660</v>
      </c>
      <c r="V20" t="s">
        <v>356</v>
      </c>
      <c r="W20" t="s">
        <v>372</v>
      </c>
    </row>
    <row r="21" spans="1:23">
      <c r="A21" s="1" t="s">
        <v>258</v>
      </c>
      <c r="B21" s="1" t="str" cm="1">
        <f t="array" ref="B21">IF(A21="","",_xlfn.IFS(COUNTIF($U:$U,A21)&gt;0,"All uploaded",COUNTIF($V:$V,A21)&gt;0,"Partly uploaded",COUNTIF($W:$X,A21)&gt;0,"Not uploaded",TRUE,"Not classified"))</f>
        <v>Partly uploaded</v>
      </c>
      <c r="C21" s="1" t="str" cm="1">
        <f t="array" ref="C21">_xlfn.SWITCH(TRIM(I21),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1" s="1" t="s">
        <v>1</v>
      </c>
      <c r="E21" s="1" t="s">
        <v>2</v>
      </c>
      <c r="F21" s="1" t="str" cm="1">
        <f t="array" ref="F21">_xlfn.LET(
_xlpm.status,UPPER(TRIM(B21&amp;"")),
_xlpm.risk,UPPER(TRIM(C21&amp;"")),
_xlpm.notify,UPPER(TRIM(D21&amp;"")),
_xlpm.form,UPPER(TRIM(E21&amp;"")),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1" s="1" t="str">
        <f t="shared" si="0"/>
        <v>NA</v>
      </c>
      <c r="H21" s="5" t="s">
        <v>261</v>
      </c>
      <c r="I21" s="1" t="s">
        <v>29</v>
      </c>
      <c r="J21" s="1" t="s">
        <v>260</v>
      </c>
      <c r="K21" s="1" t="s">
        <v>248</v>
      </c>
      <c r="L21" s="1" t="s">
        <v>10</v>
      </c>
      <c r="M21" s="1" t="s">
        <v>75</v>
      </c>
      <c r="N21" s="1" t="s">
        <v>84</v>
      </c>
      <c r="O21" s="1" t="s">
        <v>19</v>
      </c>
      <c r="P21" s="1" t="s">
        <v>18</v>
      </c>
      <c r="Q21" s="1" t="s">
        <v>20</v>
      </c>
      <c r="R21" s="1" t="s">
        <v>259</v>
      </c>
      <c r="S21" s="1">
        <v>3</v>
      </c>
      <c r="T21" s="1" t="s">
        <v>262</v>
      </c>
      <c r="U21" t="s">
        <v>654</v>
      </c>
      <c r="V21" t="s">
        <v>351</v>
      </c>
      <c r="W21" t="s">
        <v>375</v>
      </c>
    </row>
    <row r="22" spans="1:23">
      <c r="A22" s="1" t="s">
        <v>249</v>
      </c>
      <c r="B22" s="1" t="str" cm="1">
        <f t="array" ref="B22">IF(A22="","",_xlfn.IFS(COUNTIF($U:$U,A22)&gt;0,"All uploaded",COUNTIF($V:$V,A22)&gt;0,"Partly uploaded",COUNTIF($W:$X,A22)&gt;0,"Not uploaded",TRUE,"Not classified"))</f>
        <v>Partly uploaded</v>
      </c>
      <c r="C22" s="1" t="str" cm="1">
        <f t="array" ref="C22">_xlfn.SWITCH(TRIM(I22),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2" s="1" t="s">
        <v>0</v>
      </c>
      <c r="E22" s="1" t="s">
        <v>4</v>
      </c>
      <c r="F22" s="1" t="str" cm="1">
        <f t="array" ref="F22">_xlfn.LET(
_xlpm.status,UPPER(TRIM(B22&amp;"")),
_xlpm.risk,UPPER(TRIM(C22&amp;"")),
_xlpm.notify,UPPER(TRIM(D22&amp;"")),
_xlpm.form,UPPER(TRIM(E22&amp;"")),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2" s="1" t="str">
        <f t="shared" si="0"/>
        <v>NA</v>
      </c>
      <c r="H22" s="5" t="s">
        <v>252</v>
      </c>
      <c r="I22" s="1" t="s">
        <v>29</v>
      </c>
      <c r="J22" s="1" t="s">
        <v>251</v>
      </c>
      <c r="K22" s="1" t="s">
        <v>248</v>
      </c>
      <c r="L22" s="1" t="s">
        <v>23</v>
      </c>
      <c r="M22" s="1" t="s">
        <v>28</v>
      </c>
      <c r="N22" s="1" t="s">
        <v>250</v>
      </c>
      <c r="O22" s="1" t="s">
        <v>19</v>
      </c>
      <c r="P22" s="1" t="s">
        <v>18</v>
      </c>
      <c r="Q22" s="1" t="s">
        <v>20</v>
      </c>
      <c r="R22" s="1" t="s">
        <v>136</v>
      </c>
      <c r="S22" s="1">
        <v>4</v>
      </c>
      <c r="T22" s="1" t="s">
        <v>253</v>
      </c>
      <c r="U22" t="s">
        <v>676</v>
      </c>
      <c r="V22" t="s">
        <v>365</v>
      </c>
      <c r="W22" t="s">
        <v>378</v>
      </c>
    </row>
    <row r="23" spans="1:23">
      <c r="A23" s="1" t="s">
        <v>249</v>
      </c>
      <c r="B23" s="1" t="str" cm="1">
        <f t="array" ref="B23">IF(A23="","",_xlfn.IFS(COUNTIF($U:$U,A23)&gt;0,"All uploaded",COUNTIF($V:$V,A23)&gt;0,"Partly uploaded",COUNTIF($W:$X,A23)&gt;0,"Not uploaded",TRUE,"Not classified"))</f>
        <v>Partly uploaded</v>
      </c>
      <c r="C23" s="1" t="str" cm="1">
        <f t="array" ref="C23">_xlfn.SWITCH(TRIM(I23),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3" s="1" t="s">
        <v>1</v>
      </c>
      <c r="E23" s="1" t="s">
        <v>4</v>
      </c>
      <c r="F23" s="1" t="str" cm="1">
        <f t="array" ref="F23">_xlfn.LET(
_xlpm.status,UPPER(TRIM(B23&amp;"")),
_xlpm.risk,UPPER(TRIM(C23&amp;"")),
_xlpm.notify,UPPER(TRIM(D23&amp;"")),
_xlpm.form,UPPER(TRIM(E23&amp;"")),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3" s="1" t="str">
        <f t="shared" si="0"/>
        <v>NA</v>
      </c>
      <c r="H23" s="5" t="s">
        <v>252</v>
      </c>
      <c r="I23" s="1" t="s">
        <v>29</v>
      </c>
      <c r="J23" s="1" t="s">
        <v>254</v>
      </c>
      <c r="K23" s="1" t="s">
        <v>248</v>
      </c>
      <c r="L23" s="1" t="s">
        <v>23</v>
      </c>
      <c r="M23" s="1" t="s">
        <v>28</v>
      </c>
      <c r="N23" s="1" t="s">
        <v>250</v>
      </c>
      <c r="O23" s="1" t="s">
        <v>19</v>
      </c>
      <c r="P23" s="1" t="s">
        <v>18</v>
      </c>
      <c r="Q23" s="1" t="s">
        <v>20</v>
      </c>
      <c r="R23" s="1" t="s">
        <v>91</v>
      </c>
      <c r="S23" s="1">
        <v>4</v>
      </c>
      <c r="T23" s="1" t="s">
        <v>253</v>
      </c>
      <c r="U23" t="s">
        <v>687</v>
      </c>
      <c r="V23" t="s">
        <v>380</v>
      </c>
      <c r="W23" t="s">
        <v>385</v>
      </c>
    </row>
    <row r="24" spans="1:23">
      <c r="A24" s="1" t="s">
        <v>300</v>
      </c>
      <c r="B24" s="1" t="str" cm="1">
        <f t="array" ref="B24">IF(A24="","",_xlfn.IFS(COUNTIF($U:$U,A24)&gt;0,"All uploaded",COUNTIF($V:$V,A24)&gt;0,"Partly uploaded",COUNTIF($W:$X,A24)&gt;0,"Not uploaded",TRUE,"Not classified"))</f>
        <v>All uploaded</v>
      </c>
      <c r="C24" s="1" t="str" cm="1">
        <f t="array" ref="C24">_xlfn.SWITCH(TRIM(I24),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4" s="1" t="s">
        <v>0</v>
      </c>
      <c r="E24" s="1" t="s">
        <v>4</v>
      </c>
      <c r="F24" s="1" t="str" cm="1">
        <f t="array" ref="F24">_xlfn.LET(
_xlpm.status,UPPER(TRIM(B24&amp;"")),
_xlpm.risk,UPPER(TRIM(C24&amp;"")),
_xlpm.notify,UPPER(TRIM(D24&amp;"")),
_xlpm.form,UPPER(TRIM(E24&amp;"")),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4" s="1" t="str">
        <f t="shared" si="0"/>
        <v>Required</v>
      </c>
      <c r="H24" s="5" t="s">
        <v>304</v>
      </c>
      <c r="I24" s="1" t="s">
        <v>301</v>
      </c>
      <c r="J24" s="1" t="s">
        <v>303</v>
      </c>
      <c r="K24" s="1" t="s">
        <v>292</v>
      </c>
      <c r="L24" s="1" t="s">
        <v>27</v>
      </c>
      <c r="M24" s="1" t="s">
        <v>28</v>
      </c>
      <c r="N24" s="1" t="s">
        <v>302</v>
      </c>
      <c r="O24" s="1" t="s">
        <v>19</v>
      </c>
      <c r="P24" s="1" t="s">
        <v>18</v>
      </c>
      <c r="Q24" s="1" t="s">
        <v>20</v>
      </c>
      <c r="R24" s="1" t="s">
        <v>136</v>
      </c>
      <c r="S24" s="1">
        <v>1</v>
      </c>
      <c r="T24" s="1" t="s">
        <v>305</v>
      </c>
      <c r="U24" t="s">
        <v>726</v>
      </c>
      <c r="V24" t="s">
        <v>412</v>
      </c>
      <c r="W24" t="s">
        <v>402</v>
      </c>
    </row>
    <row r="25" spans="1:23">
      <c r="A25" s="1" t="s">
        <v>266</v>
      </c>
      <c r="B25" s="1" t="str" cm="1">
        <f t="array" ref="B25">IF(A25="","",_xlfn.IFS(COUNTIF($U:$U,A25)&gt;0,"All uploaded",COUNTIF($V:$V,A25)&gt;0,"Partly uploaded",COUNTIF($W:$X,A25)&gt;0,"Not uploaded",TRUE,"Not classified"))</f>
        <v>Partly uploaded</v>
      </c>
      <c r="C25" s="1" t="str" cm="1">
        <f t="array" ref="C25">_xlfn.SWITCH(TRIM(I25),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5" s="1" t="s">
        <v>0</v>
      </c>
      <c r="E25" s="1" t="s">
        <v>4</v>
      </c>
      <c r="F25" s="1" t="str" cm="1">
        <f t="array" ref="F25">_xlfn.LET(
_xlpm.status,UPPER(TRIM(B25&amp;"")),
_xlpm.risk,UPPER(TRIM(C25&amp;"")),
_xlpm.notify,UPPER(TRIM(D25&amp;"")),
_xlpm.form,UPPER(TRIM(E25&amp;"")),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5" s="1" t="str">
        <f t="shared" si="0"/>
        <v>Required</v>
      </c>
      <c r="H25" s="5" t="s">
        <v>271</v>
      </c>
      <c r="I25" s="1" t="s">
        <v>54</v>
      </c>
      <c r="J25" s="1" t="s">
        <v>270</v>
      </c>
      <c r="K25" s="1" t="s">
        <v>265</v>
      </c>
      <c r="L25" s="1" t="s">
        <v>22</v>
      </c>
      <c r="M25" s="1" t="s">
        <v>80</v>
      </c>
      <c r="N25" s="1" t="s">
        <v>267</v>
      </c>
      <c r="O25" s="1" t="s">
        <v>19</v>
      </c>
      <c r="P25" s="1" t="s">
        <v>18</v>
      </c>
      <c r="Q25" s="1" t="s">
        <v>20</v>
      </c>
      <c r="R25" s="1" t="s">
        <v>151</v>
      </c>
      <c r="S25" s="1">
        <v>2</v>
      </c>
      <c r="T25" s="1" t="s">
        <v>272</v>
      </c>
      <c r="U25" t="s">
        <v>759</v>
      </c>
      <c r="V25" t="s">
        <v>420</v>
      </c>
      <c r="W25" t="s">
        <v>403</v>
      </c>
    </row>
    <row r="26" spans="1:23">
      <c r="A26" s="1" t="s">
        <v>268</v>
      </c>
      <c r="B26" s="1" t="str" cm="1">
        <f t="array" ref="B26">IF(A26="","",_xlfn.IFS(COUNTIF($U:$U,A26)&gt;0,"All uploaded",COUNTIF($V:$V,A26)&gt;0,"Partly uploaded",COUNTIF($W:$X,A26)&gt;0,"Not uploaded",TRUE,"Not classified"))</f>
        <v>Partly uploaded</v>
      </c>
      <c r="C26" s="1" t="str" cm="1">
        <f t="array" ref="C26">_xlfn.SWITCH(TRIM(I26),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6" s="1" t="s">
        <v>0</v>
      </c>
      <c r="E26" s="1" t="s">
        <v>4</v>
      </c>
      <c r="F26" s="1" t="str" cm="1">
        <f t="array" ref="F26">_xlfn.LET(
_xlpm.status,UPPER(TRIM(B26&amp;"")),
_xlpm.risk,UPPER(TRIM(C26&amp;"")),
_xlpm.notify,UPPER(TRIM(D26&amp;"")),
_xlpm.form,UPPER(TRIM(E26&amp;"")),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6" s="1" t="str">
        <f t="shared" si="0"/>
        <v>Required</v>
      </c>
      <c r="H26" s="5" t="s">
        <v>274</v>
      </c>
      <c r="I26" s="1" t="s">
        <v>54</v>
      </c>
      <c r="J26" s="1" t="s">
        <v>273</v>
      </c>
      <c r="K26" s="1" t="s">
        <v>265</v>
      </c>
      <c r="L26" s="1" t="s">
        <v>22</v>
      </c>
      <c r="M26" s="1" t="s">
        <v>80</v>
      </c>
      <c r="N26" s="1" t="s">
        <v>269</v>
      </c>
      <c r="O26" s="1" t="s">
        <v>19</v>
      </c>
      <c r="P26" s="1" t="s">
        <v>18</v>
      </c>
      <c r="Q26" s="1" t="s">
        <v>20</v>
      </c>
      <c r="R26" s="1" t="s">
        <v>151</v>
      </c>
      <c r="S26" s="1">
        <v>4</v>
      </c>
      <c r="T26" s="1" t="s">
        <v>275</v>
      </c>
      <c r="U26" t="s">
        <v>820</v>
      </c>
      <c r="V26" t="s">
        <v>439</v>
      </c>
      <c r="W26" t="s">
        <v>417</v>
      </c>
    </row>
    <row r="27" spans="1:23">
      <c r="A27" s="1" t="s">
        <v>277</v>
      </c>
      <c r="B27" s="1" t="str" cm="1">
        <f t="array" ref="B27">IF(A27="","",_xlfn.IFS(COUNTIF($U:$U,A27)&gt;0,"All uploaded",COUNTIF($V:$V,A27)&gt;0,"Partly uploaded",COUNTIF($W:$X,A27)&gt;0,"Not uploaded",TRUE,"Not classified"))</f>
        <v>Partly uploaded</v>
      </c>
      <c r="C27" s="1" t="str" cm="1">
        <f t="array" ref="C27">_xlfn.SWITCH(TRIM(I27),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7" s="1" t="s">
        <v>0</v>
      </c>
      <c r="E27" s="1" t="s">
        <v>4</v>
      </c>
      <c r="F27" s="1" t="str" cm="1">
        <f t="array" ref="F27">_xlfn.LET(
_xlpm.status,UPPER(TRIM(B27&amp;"")),
_xlpm.risk,UPPER(TRIM(C27&amp;"")),
_xlpm.notify,UPPER(TRIM(D27&amp;"")),
_xlpm.form,UPPER(TRIM(E27&amp;"")),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7" s="1" t="str">
        <f t="shared" si="0"/>
        <v>NA</v>
      </c>
      <c r="H27" s="5" t="s">
        <v>280</v>
      </c>
      <c r="I27" s="1" t="s">
        <v>29</v>
      </c>
      <c r="J27" s="1" t="s">
        <v>279</v>
      </c>
      <c r="K27" s="1" t="s">
        <v>276</v>
      </c>
      <c r="L27" s="1" t="s">
        <v>25</v>
      </c>
      <c r="M27" s="1" t="s">
        <v>28</v>
      </c>
      <c r="N27" s="1" t="s">
        <v>278</v>
      </c>
      <c r="O27" s="1" t="s">
        <v>30</v>
      </c>
      <c r="P27" s="1" t="s">
        <v>43</v>
      </c>
      <c r="Q27" s="1" t="s">
        <v>60</v>
      </c>
      <c r="R27" s="1" t="s">
        <v>134</v>
      </c>
      <c r="S27" s="1">
        <v>12</v>
      </c>
      <c r="T27" s="1" t="s">
        <v>281</v>
      </c>
      <c r="U27" t="s">
        <v>846</v>
      </c>
      <c r="V27" t="s">
        <v>448</v>
      </c>
      <c r="W27" t="s">
        <v>416</v>
      </c>
    </row>
    <row r="28" spans="1:23">
      <c r="A28" s="1" t="s">
        <v>277</v>
      </c>
      <c r="B28" s="1" t="str" cm="1">
        <f t="array" ref="B28">IF(A28="","",_xlfn.IFS(COUNTIF($U:$U,A28)&gt;0,"All uploaded",COUNTIF($V:$V,A28)&gt;0,"Partly uploaded",COUNTIF($W:$X,A28)&gt;0,"Not uploaded",TRUE,"Not classified"))</f>
        <v>Partly uploaded</v>
      </c>
      <c r="C28" s="1" t="str" cm="1">
        <f t="array" ref="C28">_xlfn.SWITCH(TRIM(I28),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8" s="1" t="s">
        <v>1</v>
      </c>
      <c r="E28" s="1" t="s">
        <v>4</v>
      </c>
      <c r="F28" s="1" t="str" cm="1">
        <f t="array" ref="F28">_xlfn.LET(
_xlpm.status,UPPER(TRIM(B28&amp;"")),
_xlpm.risk,UPPER(TRIM(C28&amp;"")),
_xlpm.notify,UPPER(TRIM(D28&amp;"")),
_xlpm.form,UPPER(TRIM(E28&amp;"")),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8" s="1" t="str">
        <f t="shared" si="0"/>
        <v>NA</v>
      </c>
      <c r="H28" s="5" t="s">
        <v>284</v>
      </c>
      <c r="I28" s="1" t="s">
        <v>29</v>
      </c>
      <c r="J28" s="1" t="s">
        <v>283</v>
      </c>
      <c r="K28" s="1" t="s">
        <v>282</v>
      </c>
      <c r="L28" s="1" t="s">
        <v>25</v>
      </c>
      <c r="M28" s="1" t="s">
        <v>28</v>
      </c>
      <c r="N28" s="1" t="s">
        <v>278</v>
      </c>
      <c r="O28" s="1" t="s">
        <v>19</v>
      </c>
      <c r="P28" s="1" t="s">
        <v>18</v>
      </c>
      <c r="Q28" s="1" t="s">
        <v>20</v>
      </c>
      <c r="R28" s="1" t="s">
        <v>199</v>
      </c>
      <c r="S28" s="1">
        <v>9</v>
      </c>
      <c r="T28" s="1" t="s">
        <v>285</v>
      </c>
      <c r="U28" t="s">
        <v>842</v>
      </c>
      <c r="V28" t="s">
        <v>486</v>
      </c>
      <c r="W28" t="s">
        <v>437</v>
      </c>
    </row>
    <row r="29" spans="1:23">
      <c r="A29" s="1" t="s">
        <v>286</v>
      </c>
      <c r="B29" s="1" t="str" cm="1">
        <f t="array" ref="B29">IF(A29="","",_xlfn.IFS(COUNTIF($U:$U,A29)&gt;0,"All uploaded",COUNTIF($V:$V,A29)&gt;0,"Partly uploaded",COUNTIF($W:$X,A29)&gt;0,"Not uploaded",TRUE,"Not classified"))</f>
        <v>Partly uploaded</v>
      </c>
      <c r="C29" s="1" t="str" cm="1">
        <f t="array" ref="C29">_xlfn.SWITCH(TRIM(I29),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9" s="1" t="s">
        <v>0</v>
      </c>
      <c r="E29" s="1" t="s">
        <v>2</v>
      </c>
      <c r="F29" s="1" t="str" cm="1">
        <f t="array" ref="F29">_xlfn.LET(
_xlpm.status,UPPER(TRIM(B29&amp;"")),
_xlpm.risk,UPPER(TRIM(C29&amp;"")),
_xlpm.notify,UPPER(TRIM(D29&amp;"")),
_xlpm.form,UPPER(TRIM(E29&amp;"")),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9" s="1" t="str">
        <f t="shared" si="0"/>
        <v>NA</v>
      </c>
      <c r="H29" s="5" t="s">
        <v>289</v>
      </c>
      <c r="I29" s="1" t="s">
        <v>29</v>
      </c>
      <c r="J29" s="1" t="s">
        <v>288</v>
      </c>
      <c r="K29" s="1" t="s">
        <v>282</v>
      </c>
      <c r="L29" s="1" t="s">
        <v>10</v>
      </c>
      <c r="M29" s="1" t="s">
        <v>75</v>
      </c>
      <c r="N29" s="1" t="s">
        <v>55</v>
      </c>
      <c r="O29" s="1" t="s">
        <v>19</v>
      </c>
      <c r="P29" s="1" t="s">
        <v>18</v>
      </c>
      <c r="Q29" s="1" t="s">
        <v>20</v>
      </c>
      <c r="R29" s="1" t="s">
        <v>287</v>
      </c>
      <c r="S29" s="1">
        <v>1</v>
      </c>
      <c r="T29" s="1" t="s">
        <v>290</v>
      </c>
      <c r="U29" t="s">
        <v>867</v>
      </c>
      <c r="V29" t="s">
        <v>492</v>
      </c>
      <c r="W29" t="s">
        <v>432</v>
      </c>
    </row>
    <row r="30" spans="1:23">
      <c r="A30" s="1" t="s">
        <v>307</v>
      </c>
      <c r="B30" s="1" t="str" cm="1">
        <f t="array" ref="B30">IF(A30="","",_xlfn.IFS(COUNTIF($U:$U,A30)&gt;0,"All uploaded",COUNTIF($V:$V,A30)&gt;0,"Partly uploaded",COUNTIF($W:$X,A30)&gt;0,"Not uploaded",TRUE,"Not classified"))</f>
        <v>Partly uploaded</v>
      </c>
      <c r="C30" s="1" t="str" cm="1">
        <f t="array" ref="C30">_xlfn.SWITCH(TRIM(I30),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0" s="1" t="s">
        <v>0</v>
      </c>
      <c r="E30" s="1" t="s">
        <v>4</v>
      </c>
      <c r="F30" s="1" t="str" cm="1">
        <f t="array" ref="F30">_xlfn.LET(
_xlpm.status,UPPER(TRIM(B30&amp;"")),
_xlpm.risk,UPPER(TRIM(C30&amp;"")),
_xlpm.notify,UPPER(TRIM(D30&amp;"")),
_xlpm.form,UPPER(TRIM(E30&amp;"")),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0" s="1" t="str">
        <f t="shared" si="0"/>
        <v>NA</v>
      </c>
      <c r="H30" s="5" t="s">
        <v>309</v>
      </c>
      <c r="I30" s="1" t="s">
        <v>29</v>
      </c>
      <c r="J30" s="1" t="s">
        <v>308</v>
      </c>
      <c r="K30" s="1" t="s">
        <v>306</v>
      </c>
      <c r="L30" s="1" t="s">
        <v>10</v>
      </c>
      <c r="M30" s="1" t="s">
        <v>75</v>
      </c>
      <c r="N30" s="1" t="s">
        <v>51</v>
      </c>
      <c r="O30" s="1" t="s">
        <v>19</v>
      </c>
      <c r="P30" s="1" t="s">
        <v>18</v>
      </c>
      <c r="Q30" s="1" t="s">
        <v>20</v>
      </c>
      <c r="R30" s="1" t="s">
        <v>134</v>
      </c>
      <c r="S30" s="1">
        <v>9</v>
      </c>
      <c r="T30" s="1" t="s">
        <v>310</v>
      </c>
      <c r="U30" t="s">
        <v>909</v>
      </c>
      <c r="V30" t="s">
        <v>516</v>
      </c>
      <c r="W30" t="s">
        <v>465</v>
      </c>
    </row>
    <row r="31" spans="1:23">
      <c r="A31" s="1" t="s">
        <v>307</v>
      </c>
      <c r="B31" s="1" t="str" cm="1">
        <f t="array" ref="B31">IF(A31="","",_xlfn.IFS(COUNTIF($U:$U,A31)&gt;0,"All uploaded",COUNTIF($V:$V,A31)&gt;0,"Partly uploaded",COUNTIF($W:$X,A31)&gt;0,"Not uploaded",TRUE,"Not classified"))</f>
        <v>Partly uploaded</v>
      </c>
      <c r="C31" s="1" t="str" cm="1">
        <f t="array" ref="C31">_xlfn.SWITCH(TRIM(I31),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1" s="1" t="s">
        <v>1</v>
      </c>
      <c r="E31" s="1" t="s">
        <v>4</v>
      </c>
      <c r="F31" s="1" t="str" cm="1">
        <f t="array" ref="F31">_xlfn.LET(
_xlpm.status,UPPER(TRIM(B31&amp;"")),
_xlpm.risk,UPPER(TRIM(C31&amp;"")),
_xlpm.notify,UPPER(TRIM(D31&amp;"")),
_xlpm.form,UPPER(TRIM(E31&amp;"")),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1" s="1" t="str">
        <f t="shared" si="0"/>
        <v>NA</v>
      </c>
      <c r="H31" s="5" t="s">
        <v>309</v>
      </c>
      <c r="I31" s="1" t="s">
        <v>29</v>
      </c>
      <c r="J31" s="1" t="s">
        <v>311</v>
      </c>
      <c r="K31" s="1" t="s">
        <v>306</v>
      </c>
      <c r="L31" s="1" t="s">
        <v>10</v>
      </c>
      <c r="M31" s="1" t="s">
        <v>75</v>
      </c>
      <c r="N31" s="1" t="s">
        <v>51</v>
      </c>
      <c r="O31" s="1" t="s">
        <v>19</v>
      </c>
      <c r="P31" s="1" t="s">
        <v>18</v>
      </c>
      <c r="Q31" s="1" t="s">
        <v>20</v>
      </c>
      <c r="R31" s="1" t="s">
        <v>131</v>
      </c>
      <c r="S31" s="1">
        <v>9</v>
      </c>
      <c r="T31" s="1" t="s">
        <v>310</v>
      </c>
      <c r="U31" t="s">
        <v>933</v>
      </c>
      <c r="V31" t="s">
        <v>552</v>
      </c>
      <c r="W31" t="s">
        <v>464</v>
      </c>
    </row>
    <row r="32" spans="1:23">
      <c r="A32" s="1" t="s">
        <v>307</v>
      </c>
      <c r="B32" s="1" t="str" cm="1">
        <f t="array" ref="B32">IF(A32="","",_xlfn.IFS(COUNTIF($U:$U,A32)&gt;0,"All uploaded",COUNTIF($V:$V,A32)&gt;0,"Partly uploaded",COUNTIF($W:$X,A32)&gt;0,"Not uploaded",TRUE,"Not classified"))</f>
        <v>Partly uploaded</v>
      </c>
      <c r="C32" s="1" t="str" cm="1">
        <f t="array" ref="C32">_xlfn.SWITCH(TRIM(I32),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2" s="1" t="s">
        <v>1</v>
      </c>
      <c r="E32" s="1" t="s">
        <v>4</v>
      </c>
      <c r="F32" s="1" t="str" cm="1">
        <f t="array" ref="F32">_xlfn.LET(
_xlpm.status,UPPER(TRIM(B32&amp;"")),
_xlpm.risk,UPPER(TRIM(C32&amp;"")),
_xlpm.notify,UPPER(TRIM(D32&amp;"")),
_xlpm.form,UPPER(TRIM(E32&amp;"")),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2" s="1" t="str">
        <f t="shared" si="0"/>
        <v>NA</v>
      </c>
      <c r="H32" s="5" t="s">
        <v>318</v>
      </c>
      <c r="I32" s="1" t="s">
        <v>29</v>
      </c>
      <c r="J32" s="1" t="s">
        <v>317</v>
      </c>
      <c r="K32" s="1" t="s">
        <v>306</v>
      </c>
      <c r="L32" s="1" t="s">
        <v>10</v>
      </c>
      <c r="M32" s="1" t="s">
        <v>77</v>
      </c>
      <c r="N32" s="1" t="s">
        <v>51</v>
      </c>
      <c r="O32" s="1" t="s">
        <v>19</v>
      </c>
      <c r="P32" s="1" t="s">
        <v>18</v>
      </c>
      <c r="Q32" s="1" t="s">
        <v>20</v>
      </c>
      <c r="R32" s="1" t="s">
        <v>149</v>
      </c>
      <c r="S32" s="1">
        <v>1</v>
      </c>
      <c r="T32" s="1" t="s">
        <v>319</v>
      </c>
      <c r="U32" t="s">
        <v>1018</v>
      </c>
      <c r="V32" t="s">
        <v>573</v>
      </c>
      <c r="W32" t="s">
        <v>463</v>
      </c>
    </row>
    <row r="33" spans="1:23">
      <c r="A33" s="1" t="s">
        <v>293</v>
      </c>
      <c r="B33" s="1" t="str" cm="1">
        <f t="array" ref="B33">IF(A33="","",_xlfn.IFS(COUNTIF($U:$U,A33)&gt;0,"All uploaded",COUNTIF($V:$V,A33)&gt;0,"Partly uploaded",COUNTIF($W:$X,A33)&gt;0,"Not uploaded",TRUE,"Not classified"))</f>
        <v>Partly uploaded</v>
      </c>
      <c r="C33" s="1" t="str" cm="1">
        <f t="array" ref="C33">_xlfn.SWITCH(TRIM(I33),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3" s="1" t="s">
        <v>1</v>
      </c>
      <c r="E33" s="1" t="s">
        <v>4</v>
      </c>
      <c r="F33" s="1" t="str" cm="1">
        <f t="array" ref="F33">_xlfn.LET(
_xlpm.status,UPPER(TRIM(B33&amp;"")),
_xlpm.risk,UPPER(TRIM(C33&amp;"")),
_xlpm.notify,UPPER(TRIM(D33&amp;"")),
_xlpm.form,UPPER(TRIM(E33&amp;"")),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3" s="1" t="str">
        <f t="shared" si="0"/>
        <v>NA</v>
      </c>
      <c r="H33" s="5" t="s">
        <v>296</v>
      </c>
      <c r="I33" s="1" t="s">
        <v>29</v>
      </c>
      <c r="J33" s="1" t="s">
        <v>295</v>
      </c>
      <c r="K33" s="1" t="s">
        <v>292</v>
      </c>
      <c r="L33" s="1" t="s">
        <v>23</v>
      </c>
      <c r="M33" s="1" t="s">
        <v>28</v>
      </c>
      <c r="N33" s="1" t="s">
        <v>294</v>
      </c>
      <c r="O33" s="1" t="s">
        <v>19</v>
      </c>
      <c r="P33" s="1" t="s">
        <v>18</v>
      </c>
      <c r="Q33" s="1" t="s">
        <v>20</v>
      </c>
      <c r="R33" s="1" t="s">
        <v>156</v>
      </c>
      <c r="S33" s="1">
        <v>6</v>
      </c>
      <c r="T33" s="1" t="s">
        <v>297</v>
      </c>
      <c r="U33" t="s">
        <v>1054</v>
      </c>
      <c r="V33" t="s">
        <v>545</v>
      </c>
      <c r="W33" t="s">
        <v>469</v>
      </c>
    </row>
    <row r="34" spans="1:23">
      <c r="A34" s="1" t="s">
        <v>312</v>
      </c>
      <c r="B34" s="1" t="str" cm="1">
        <f t="array" ref="B34">IF(A34="","",_xlfn.IFS(COUNTIF($U:$U,A34)&gt;0,"All uploaded",COUNTIF($V:$V,A34)&gt;0,"Partly uploaded",COUNTIF($W:$X,A34)&gt;0,"Not uploaded",TRUE,"Not classified"))</f>
        <v>Partly uploaded</v>
      </c>
      <c r="C34" s="1" t="str" cm="1">
        <f t="array" ref="C34">_xlfn.SWITCH(TRIM(I34),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4" s="1" t="s">
        <v>1</v>
      </c>
      <c r="E34" s="1" t="s">
        <v>4</v>
      </c>
      <c r="F34" s="1" t="str" cm="1">
        <f t="array" ref="F34">_xlfn.LET(
_xlpm.status,UPPER(TRIM(B34&amp;"")),
_xlpm.risk,UPPER(TRIM(C34&amp;"")),
_xlpm.notify,UPPER(TRIM(D34&amp;"")),
_xlpm.form,UPPER(TRIM(E34&amp;"")),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4" s="1" t="str">
        <f t="shared" si="0"/>
        <v>NA</v>
      </c>
      <c r="H34" s="5" t="s">
        <v>315</v>
      </c>
      <c r="I34" s="1" t="s">
        <v>29</v>
      </c>
      <c r="J34" s="1" t="s">
        <v>314</v>
      </c>
      <c r="K34" s="1" t="s">
        <v>306</v>
      </c>
      <c r="L34" s="1" t="s">
        <v>10</v>
      </c>
      <c r="M34" s="1" t="s">
        <v>75</v>
      </c>
      <c r="N34" s="1" t="s">
        <v>313</v>
      </c>
      <c r="O34" s="1" t="s">
        <v>19</v>
      </c>
      <c r="P34" s="1" t="s">
        <v>18</v>
      </c>
      <c r="Q34" s="1" t="s">
        <v>20</v>
      </c>
      <c r="R34" s="1" t="s">
        <v>95</v>
      </c>
      <c r="S34" s="1">
        <v>11</v>
      </c>
      <c r="T34" s="1" t="s">
        <v>316</v>
      </c>
      <c r="U34" t="s">
        <v>1069</v>
      </c>
      <c r="V34" t="s">
        <v>595</v>
      </c>
      <c r="W34" t="s">
        <v>477</v>
      </c>
    </row>
    <row r="35" spans="1:23">
      <c r="A35" s="1" t="s">
        <v>325</v>
      </c>
      <c r="B35" s="1" t="str" cm="1">
        <f t="array" ref="B35">IF(A35="","",_xlfn.IFS(COUNTIF($U:$U,A35)&gt;0,"All uploaded",COUNTIF($V:$V,A35)&gt;0,"Partly uploaded",COUNTIF($W:$X,A35)&gt;0,"Not uploaded",TRUE,"Not classified"))</f>
        <v>Partly uploaded</v>
      </c>
      <c r="C35" s="1" t="str" cm="1">
        <f t="array" ref="C35">_xlfn.SWITCH(TRIM(I35),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5" s="1" t="s">
        <v>0</v>
      </c>
      <c r="E35" s="1" t="s">
        <v>2</v>
      </c>
      <c r="F35" s="1" t="str" cm="1">
        <f t="array" ref="F35">_xlfn.LET(
_xlpm.status,UPPER(TRIM(B35&amp;"")),
_xlpm.risk,UPPER(TRIM(C35&amp;"")),
_xlpm.notify,UPPER(TRIM(D35&amp;"")),
_xlpm.form,UPPER(TRIM(E35&amp;"")),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5" s="1" t="str">
        <f t="shared" si="0"/>
        <v>NA</v>
      </c>
      <c r="H35" s="5" t="s">
        <v>334</v>
      </c>
      <c r="I35" s="1" t="s">
        <v>54</v>
      </c>
      <c r="J35" s="1" t="s">
        <v>333</v>
      </c>
      <c r="K35" s="1" t="s">
        <v>324</v>
      </c>
      <c r="L35" s="1" t="s">
        <v>22</v>
      </c>
      <c r="M35" s="1" t="s">
        <v>80</v>
      </c>
      <c r="N35" s="1" t="s">
        <v>326</v>
      </c>
      <c r="O35" s="1" t="s">
        <v>19</v>
      </c>
      <c r="P35" s="1" t="s">
        <v>18</v>
      </c>
      <c r="Q35" s="1" t="s">
        <v>20</v>
      </c>
      <c r="R35" s="1" t="s">
        <v>332</v>
      </c>
      <c r="S35" s="1">
        <v>1</v>
      </c>
      <c r="T35" s="1" t="s">
        <v>335</v>
      </c>
      <c r="U35" t="s">
        <v>1090</v>
      </c>
      <c r="V35" t="s">
        <v>608</v>
      </c>
      <c r="W35" t="s">
        <v>468</v>
      </c>
    </row>
    <row r="36" spans="1:23">
      <c r="A36" s="1" t="s">
        <v>343</v>
      </c>
      <c r="B36" s="1" t="str" cm="1">
        <f t="array" ref="B36">IF(A36="","",_xlfn.IFS(COUNTIF($U:$U,A36)&gt;0,"All uploaded",COUNTIF($V:$V,A36)&gt;0,"Partly uploaded",COUNTIF($W:$X,A36)&gt;0,"Not uploaded",TRUE,"Not classified"))</f>
        <v>All uploaded</v>
      </c>
      <c r="C36" s="1" t="str" cm="1">
        <f t="array" ref="C36">_xlfn.SWITCH(TRIM(I36),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6" s="1" t="s">
        <v>1</v>
      </c>
      <c r="E36" s="1" t="s">
        <v>4</v>
      </c>
      <c r="F36" s="1" t="str" cm="1">
        <f t="array" ref="F36">_xlfn.LET(
_xlpm.status,UPPER(TRIM(B36&amp;"")),
_xlpm.risk,UPPER(TRIM(C36&amp;"")),
_xlpm.notify,UPPER(TRIM(D36&amp;"")),
_xlpm.form,UPPER(TRIM(E36&amp;"")),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6" s="1" t="str">
        <f t="shared" si="0"/>
        <v>Required</v>
      </c>
      <c r="H36" s="5" t="s">
        <v>345</v>
      </c>
      <c r="I36" s="1" t="s">
        <v>101</v>
      </c>
      <c r="J36" s="1" t="s">
        <v>344</v>
      </c>
      <c r="K36" s="1" t="s">
        <v>324</v>
      </c>
      <c r="L36" s="1" t="s">
        <v>25</v>
      </c>
      <c r="M36" s="1" t="s">
        <v>75</v>
      </c>
      <c r="N36" s="1" t="s">
        <v>150</v>
      </c>
      <c r="O36" s="1" t="s">
        <v>19</v>
      </c>
      <c r="P36" s="1" t="s">
        <v>18</v>
      </c>
      <c r="Q36" s="1" t="s">
        <v>20</v>
      </c>
      <c r="R36" s="1" t="s">
        <v>95</v>
      </c>
      <c r="S36" s="1">
        <v>3</v>
      </c>
      <c r="T36" s="1" t="s">
        <v>346</v>
      </c>
      <c r="U36" t="s">
        <v>1099</v>
      </c>
      <c r="V36" t="s">
        <v>628</v>
      </c>
      <c r="W36" t="s">
        <v>467</v>
      </c>
    </row>
    <row r="37" spans="1:23">
      <c r="A37" s="1" t="s">
        <v>336</v>
      </c>
      <c r="B37" s="1" t="str" cm="1">
        <f t="array" ref="B37">IF(A37="","",_xlfn.IFS(COUNTIF($U:$U,A37)&gt;0,"All uploaded",COUNTIF($V:$V,A37)&gt;0,"Partly uploaded",COUNTIF($W:$X,A37)&gt;0,"Not uploaded",TRUE,"Not classified"))</f>
        <v>Partly uploaded</v>
      </c>
      <c r="C37" s="1" t="str" cm="1">
        <f t="array" ref="C37">_xlfn.SWITCH(TRIM(I37),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7" s="1" t="s">
        <v>1</v>
      </c>
      <c r="E37" s="1" t="s">
        <v>4</v>
      </c>
      <c r="F37" s="1" t="str" cm="1">
        <f t="array" ref="F37">_xlfn.LET(
_xlpm.status,UPPER(TRIM(B37&amp;"")),
_xlpm.risk,UPPER(TRIM(C37&amp;"")),
_xlpm.notify,UPPER(TRIM(D37&amp;"")),
_xlpm.form,UPPER(TRIM(E37&amp;"")),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7" s="1" t="str">
        <f t="shared" si="0"/>
        <v>Required</v>
      </c>
      <c r="H37" s="5" t="s">
        <v>339</v>
      </c>
      <c r="I37" s="1" t="s">
        <v>101</v>
      </c>
      <c r="J37" s="1" t="s">
        <v>338</v>
      </c>
      <c r="K37" s="1" t="s">
        <v>324</v>
      </c>
      <c r="L37" s="1" t="s">
        <v>27</v>
      </c>
      <c r="M37" s="1" t="s">
        <v>28</v>
      </c>
      <c r="N37" s="1" t="s">
        <v>337</v>
      </c>
      <c r="O37" s="1" t="s">
        <v>19</v>
      </c>
      <c r="P37" s="1" t="s">
        <v>18</v>
      </c>
      <c r="Q37" s="1" t="s">
        <v>20</v>
      </c>
      <c r="R37" s="1" t="s">
        <v>109</v>
      </c>
      <c r="S37" s="1">
        <v>3</v>
      </c>
      <c r="T37" s="1" t="s">
        <v>340</v>
      </c>
      <c r="U37" t="s">
        <v>1122</v>
      </c>
      <c r="V37" t="s">
        <v>619</v>
      </c>
      <c r="W37" t="s">
        <v>471</v>
      </c>
    </row>
    <row r="38" spans="1:23">
      <c r="A38" s="1" t="s">
        <v>328</v>
      </c>
      <c r="B38" s="1" t="str" cm="1">
        <f t="array" ref="B38">IF(A38="","",_xlfn.IFS(COUNTIF($U:$U,A38)&gt;0,"All uploaded",COUNTIF($V:$V,A38)&gt;0,"Partly uploaded",COUNTIF($W:$X,A38)&gt;0,"Not uploaded",TRUE,"Not classified"))</f>
        <v>All uploaded</v>
      </c>
      <c r="C38" s="1" t="str" cm="1">
        <f t="array" ref="C38">_xlfn.SWITCH(TRIM(I38),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8" s="1" t="s">
        <v>1</v>
      </c>
      <c r="E38" s="1" t="s">
        <v>2</v>
      </c>
      <c r="F38" s="1" t="str" cm="1">
        <f t="array" ref="F38">_xlfn.LET(
_xlpm.status,UPPER(TRIM(B38&amp;"")),
_xlpm.risk,UPPER(TRIM(C38&amp;"")),
_xlpm.notify,UPPER(TRIM(D38&amp;"")),
_xlpm.form,UPPER(TRIM(E38&amp;"")),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8" s="1" t="str">
        <f t="shared" si="0"/>
        <v>NA</v>
      </c>
      <c r="H38" s="5" t="s">
        <v>330</v>
      </c>
      <c r="I38" s="1" t="s">
        <v>98</v>
      </c>
      <c r="J38" s="1" t="s">
        <v>329</v>
      </c>
      <c r="K38" s="1" t="s">
        <v>324</v>
      </c>
      <c r="L38" s="1" t="s">
        <v>27</v>
      </c>
      <c r="M38" s="1" t="s">
        <v>28</v>
      </c>
      <c r="N38" s="1" t="s">
        <v>119</v>
      </c>
      <c r="O38" s="1" t="s">
        <v>19</v>
      </c>
      <c r="P38" s="1" t="s">
        <v>18</v>
      </c>
      <c r="Q38" s="1" t="s">
        <v>20</v>
      </c>
      <c r="R38" s="1" t="s">
        <v>109</v>
      </c>
      <c r="S38" s="1">
        <v>4</v>
      </c>
      <c r="T38" s="1" t="s">
        <v>331</v>
      </c>
      <c r="U38" t="s">
        <v>1113</v>
      </c>
      <c r="V38" t="s">
        <v>639</v>
      </c>
      <c r="W38" t="s">
        <v>476</v>
      </c>
    </row>
    <row r="39" spans="1:23">
      <c r="A39" s="1" t="s">
        <v>356</v>
      </c>
      <c r="B39" s="1" t="str" cm="1">
        <f t="array" ref="B39">IF(A39="","",_xlfn.IFS(COUNTIF($U:$U,A39)&gt;0,"All uploaded",COUNTIF($V:$V,A39)&gt;0,"Partly uploaded",COUNTIF($W:$X,A39)&gt;0,"Not uploaded",TRUE,"Not classified"))</f>
        <v>Partly uploaded</v>
      </c>
      <c r="C39" s="1" t="str" cm="1">
        <f t="array" ref="C39">_xlfn.SWITCH(TRIM(I39),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9" s="1" t="s">
        <v>1</v>
      </c>
      <c r="E39" s="1" t="s">
        <v>2</v>
      </c>
      <c r="F39" s="1" t="str" cm="1">
        <f t="array" ref="F39">_xlfn.LET(
_xlpm.status,UPPER(TRIM(B39&amp;"")),
_xlpm.risk,UPPER(TRIM(C39&amp;"")),
_xlpm.notify,UPPER(TRIM(D39&amp;"")),
_xlpm.form,UPPER(TRIM(E39&amp;"")),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9" s="1" t="str">
        <f t="shared" si="0"/>
        <v>NA</v>
      </c>
      <c r="H39" s="5" t="s">
        <v>360</v>
      </c>
      <c r="I39" s="1" t="s">
        <v>54</v>
      </c>
      <c r="J39" s="1" t="s">
        <v>359</v>
      </c>
      <c r="K39" s="1" t="s">
        <v>350</v>
      </c>
      <c r="L39" s="1" t="s">
        <v>22</v>
      </c>
      <c r="M39" s="1" t="s">
        <v>80</v>
      </c>
      <c r="N39" s="1" t="s">
        <v>357</v>
      </c>
      <c r="O39" s="1" t="s">
        <v>19</v>
      </c>
      <c r="P39" s="1" t="s">
        <v>18</v>
      </c>
      <c r="Q39" s="1" t="s">
        <v>20</v>
      </c>
      <c r="R39" s="1" t="s">
        <v>358</v>
      </c>
      <c r="S39" s="1">
        <v>2</v>
      </c>
      <c r="T39" s="1" t="s">
        <v>361</v>
      </c>
      <c r="U39" t="s">
        <v>1161</v>
      </c>
      <c r="V39" t="s">
        <v>695</v>
      </c>
      <c r="W39" t="s">
        <v>474</v>
      </c>
    </row>
    <row r="40" spans="1:23">
      <c r="A40" s="1" t="s">
        <v>351</v>
      </c>
      <c r="B40" s="1" t="str" cm="1">
        <f t="array" ref="B40">IF(A40="","",_xlfn.IFS(COUNTIF($U:$U,A40)&gt;0,"All uploaded",COUNTIF($V:$V,A40)&gt;0,"Partly uploaded",COUNTIF($W:$X,A40)&gt;0,"Not uploaded",TRUE,"Not classified"))</f>
        <v>Partly uploaded</v>
      </c>
      <c r="C40" s="1" t="str" cm="1">
        <f t="array" ref="C40">_xlfn.SWITCH(TRIM(I40),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0" s="1" t="s">
        <v>1</v>
      </c>
      <c r="E40" s="1" t="s">
        <v>4</v>
      </c>
      <c r="F40" s="1" t="str" cm="1">
        <f t="array" ref="F40">_xlfn.LET(
_xlpm.status,UPPER(TRIM(B40&amp;"")),
_xlpm.risk,UPPER(TRIM(C40&amp;"")),
_xlpm.notify,UPPER(TRIM(D40&amp;"")),
_xlpm.form,UPPER(TRIM(E40&amp;"")),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40" s="1" t="str">
        <f t="shared" si="0"/>
        <v>Required</v>
      </c>
      <c r="H40" s="5" t="s">
        <v>354</v>
      </c>
      <c r="I40" s="1" t="s">
        <v>26</v>
      </c>
      <c r="J40" s="1" t="s">
        <v>353</v>
      </c>
      <c r="K40" s="1" t="s">
        <v>350</v>
      </c>
      <c r="L40" s="1" t="s">
        <v>25</v>
      </c>
      <c r="M40" s="1" t="s">
        <v>28</v>
      </c>
      <c r="N40" s="1" t="s">
        <v>104</v>
      </c>
      <c r="O40" s="1" t="s">
        <v>19</v>
      </c>
      <c r="P40" s="1" t="s">
        <v>18</v>
      </c>
      <c r="Q40" s="1" t="s">
        <v>20</v>
      </c>
      <c r="R40" s="1" t="s">
        <v>352</v>
      </c>
      <c r="S40" s="1">
        <v>5</v>
      </c>
      <c r="T40" s="1" t="s">
        <v>355</v>
      </c>
      <c r="U40" t="s">
        <v>1156</v>
      </c>
      <c r="V40" t="s">
        <v>706</v>
      </c>
      <c r="W40" t="s">
        <v>522</v>
      </c>
    </row>
    <row r="41" spans="1:23">
      <c r="A41" s="1" t="s">
        <v>365</v>
      </c>
      <c r="B41" s="1" t="str" cm="1">
        <f t="array" ref="B41">IF(A41="","",_xlfn.IFS(COUNTIF($U:$U,A41)&gt;0,"All uploaded",COUNTIF($V:$V,A41)&gt;0,"Partly uploaded",COUNTIF($W:$X,A41)&gt;0,"Not uploaded",TRUE,"Not classified"))</f>
        <v>Partly uploaded</v>
      </c>
      <c r="C41" s="1" t="str" cm="1">
        <f t="array" ref="C41">_xlfn.SWITCH(TRIM(I41),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1" s="1" t="s">
        <v>1</v>
      </c>
      <c r="E41" s="1" t="s">
        <v>4</v>
      </c>
      <c r="F41" s="1" t="str" cm="1">
        <f t="array" ref="F41">_xlfn.LET(
_xlpm.status,UPPER(TRIM(B41&amp;"")),
_xlpm.risk,UPPER(TRIM(C41&amp;"")),
_xlpm.notify,UPPER(TRIM(D41&amp;"")),
_xlpm.form,UPPER(TRIM(E41&amp;"")),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1" s="1" t="str">
        <f t="shared" si="0"/>
        <v>NA</v>
      </c>
      <c r="H41" s="5" t="s">
        <v>368</v>
      </c>
      <c r="I41" s="1" t="s">
        <v>66</v>
      </c>
      <c r="J41" s="1" t="s">
        <v>367</v>
      </c>
      <c r="K41" s="1" t="s">
        <v>362</v>
      </c>
      <c r="L41" s="1" t="s">
        <v>23</v>
      </c>
      <c r="M41" s="1" t="s">
        <v>28</v>
      </c>
      <c r="N41" s="1" t="s">
        <v>366</v>
      </c>
      <c r="O41" s="1" t="s">
        <v>19</v>
      </c>
      <c r="P41" s="1" t="s">
        <v>18</v>
      </c>
      <c r="Q41" s="1" t="s">
        <v>20</v>
      </c>
      <c r="R41" s="1" t="s">
        <v>352</v>
      </c>
      <c r="S41" s="1">
        <v>2</v>
      </c>
      <c r="T41" s="1" t="s">
        <v>369</v>
      </c>
      <c r="U41" t="s">
        <v>1175</v>
      </c>
      <c r="V41" t="s">
        <v>702</v>
      </c>
      <c r="W41" t="s">
        <v>514</v>
      </c>
    </row>
    <row r="42" spans="1:23">
      <c r="A42" s="1" t="s">
        <v>365</v>
      </c>
      <c r="B42" s="1" t="str" cm="1">
        <f t="array" ref="B42">IF(A42="","",_xlfn.IFS(COUNTIF($U:$U,A42)&gt;0,"All uploaded",COUNTIF($V:$V,A42)&gt;0,"Partly uploaded",COUNTIF($W:$X,A42)&gt;0,"Not uploaded",TRUE,"Not classified"))</f>
        <v>Partly uploaded</v>
      </c>
      <c r="C42" s="1" t="str" cm="1">
        <f t="array" ref="C42">_xlfn.SWITCH(TRIM(I42),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2" s="1" t="s">
        <v>1</v>
      </c>
      <c r="E42" s="1" t="s">
        <v>4</v>
      </c>
      <c r="F42" s="1" t="str" cm="1">
        <f t="array" ref="F42">_xlfn.LET(
_xlpm.status,UPPER(TRIM(B42&amp;"")),
_xlpm.risk,UPPER(TRIM(C42&amp;"")),
_xlpm.notify,UPPER(TRIM(D42&amp;"")),
_xlpm.form,UPPER(TRIM(E42&amp;"")),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2" s="1" t="str">
        <f t="shared" si="0"/>
        <v>NA</v>
      </c>
      <c r="H42" s="5" t="s">
        <v>371</v>
      </c>
      <c r="I42" s="1" t="s">
        <v>66</v>
      </c>
      <c r="J42" s="1" t="s">
        <v>370</v>
      </c>
      <c r="K42" s="1" t="s">
        <v>362</v>
      </c>
      <c r="L42" s="1" t="s">
        <v>23</v>
      </c>
      <c r="M42" s="1" t="s">
        <v>28</v>
      </c>
      <c r="N42" s="1" t="s">
        <v>366</v>
      </c>
      <c r="O42" s="1" t="s">
        <v>19</v>
      </c>
      <c r="P42" s="1" t="s">
        <v>18</v>
      </c>
      <c r="Q42" s="1" t="s">
        <v>20</v>
      </c>
      <c r="R42" s="1" t="s">
        <v>114</v>
      </c>
      <c r="S42" s="1">
        <v>2</v>
      </c>
      <c r="T42" s="1" t="s">
        <v>369</v>
      </c>
      <c r="U42" t="s">
        <v>1198</v>
      </c>
      <c r="V42" t="s">
        <v>711</v>
      </c>
      <c r="W42" t="s">
        <v>509</v>
      </c>
    </row>
    <row r="43" spans="1:23">
      <c r="A43" s="1" t="s">
        <v>387</v>
      </c>
      <c r="B43" s="1" t="str" cm="1">
        <f t="array" ref="B43">IF(A43="","",_xlfn.IFS(COUNTIF($U:$U,A43)&gt;0,"All uploaded",COUNTIF($V:$V,A43)&gt;0,"Partly uploaded",COUNTIF($W:$X,A43)&gt;0,"Not uploaded",TRUE,"Not classified"))</f>
        <v>All uploaded</v>
      </c>
      <c r="C43" s="1" t="str" cm="1">
        <f t="array" ref="C43">_xlfn.SWITCH(TRIM(I43),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3" s="1" t="s">
        <v>1</v>
      </c>
      <c r="E43" s="1" t="s">
        <v>4</v>
      </c>
      <c r="F43" s="1" t="str" cm="1">
        <f t="array" ref="F43">_xlfn.LET(
_xlpm.status,UPPER(TRIM(B43&amp;"")),
_xlpm.risk,UPPER(TRIM(C43&amp;"")),
_xlpm.notify,UPPER(TRIM(D43&amp;"")),
_xlpm.form,UPPER(TRIM(E43&amp;"")),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43" s="1" t="str">
        <f t="shared" si="0"/>
        <v>Required</v>
      </c>
      <c r="H43" s="5" t="s">
        <v>391</v>
      </c>
      <c r="I43" s="1" t="s">
        <v>54</v>
      </c>
      <c r="J43" s="1" t="s">
        <v>390</v>
      </c>
      <c r="K43" s="1" t="s">
        <v>379</v>
      </c>
      <c r="L43" s="1" t="s">
        <v>22</v>
      </c>
      <c r="M43" s="1" t="s">
        <v>80</v>
      </c>
      <c r="N43" s="1" t="s">
        <v>388</v>
      </c>
      <c r="O43" s="1" t="s">
        <v>19</v>
      </c>
      <c r="P43" s="1" t="s">
        <v>18</v>
      </c>
      <c r="Q43" s="1" t="s">
        <v>20</v>
      </c>
      <c r="R43" s="1" t="s">
        <v>389</v>
      </c>
      <c r="S43" s="1">
        <v>1</v>
      </c>
      <c r="T43" s="1" t="s">
        <v>392</v>
      </c>
      <c r="U43" t="s">
        <v>1290</v>
      </c>
      <c r="V43" t="s">
        <v>740</v>
      </c>
      <c r="W43" t="s">
        <v>512</v>
      </c>
    </row>
    <row r="44" spans="1:23">
      <c r="A44" s="1" t="s">
        <v>380</v>
      </c>
      <c r="B44" s="1" t="str" cm="1">
        <f t="array" ref="B44">IF(A44="","",_xlfn.IFS(COUNTIF($U:$U,A44)&gt;0,"All uploaded",COUNTIF($V:$V,A44)&gt;0,"Partly uploaded",COUNTIF($W:$X,A44)&gt;0,"Not uploaded",TRUE,"Not classified"))</f>
        <v>Partly uploaded</v>
      </c>
      <c r="C44" s="1" t="str" cm="1">
        <f t="array" ref="C44">_xlfn.SWITCH(TRIM(I44),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4" s="1" t="s">
        <v>0</v>
      </c>
      <c r="E44" s="1" t="s">
        <v>4</v>
      </c>
      <c r="F44" s="1" t="str" cm="1">
        <f t="array" ref="F44">_xlfn.LET(
_xlpm.status,UPPER(TRIM(B44&amp;"")),
_xlpm.risk,UPPER(TRIM(C44&amp;"")),
_xlpm.notify,UPPER(TRIM(D44&amp;"")),
_xlpm.form,UPPER(TRIM(E44&amp;"")),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4" s="1" t="str">
        <f t="shared" si="0"/>
        <v>Required</v>
      </c>
      <c r="H44" s="5" t="s">
        <v>383</v>
      </c>
      <c r="I44" s="1" t="s">
        <v>54</v>
      </c>
      <c r="J44" s="1" t="s">
        <v>382</v>
      </c>
      <c r="K44" s="1" t="s">
        <v>379</v>
      </c>
      <c r="L44" s="1" t="s">
        <v>22</v>
      </c>
      <c r="M44" s="1" t="s">
        <v>77</v>
      </c>
      <c r="N44" s="1" t="s">
        <v>381</v>
      </c>
      <c r="O44" s="1" t="s">
        <v>19</v>
      </c>
      <c r="P44" s="1" t="s">
        <v>18</v>
      </c>
      <c r="Q44" s="1" t="s">
        <v>20</v>
      </c>
      <c r="R44" s="1" t="s">
        <v>203</v>
      </c>
      <c r="S44" s="1">
        <v>2</v>
      </c>
      <c r="T44" s="1" t="s">
        <v>384</v>
      </c>
      <c r="U44" t="s">
        <v>1294</v>
      </c>
      <c r="V44" t="s">
        <v>751</v>
      </c>
      <c r="W44" t="s">
        <v>521</v>
      </c>
    </row>
    <row r="45" spans="1:23">
      <c r="A45" s="1" t="s">
        <v>396</v>
      </c>
      <c r="B45" s="1" t="str" cm="1">
        <f t="array" ref="B45">IF(A45="","",_xlfn.IFS(COUNTIF($U:$U,A45)&gt;0,"All uploaded",COUNTIF($V:$V,A45)&gt;0,"Partly uploaded",COUNTIF($W:$X,A45)&gt;0,"Not uploaded",TRUE,"Not classified"))</f>
        <v>All uploaded</v>
      </c>
      <c r="C45" s="1" t="str" cm="1">
        <f t="array" ref="C45">_xlfn.SWITCH(TRIM(I45),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5" s="1" t="s">
        <v>1</v>
      </c>
      <c r="E45" s="1" t="s">
        <v>4</v>
      </c>
      <c r="F45" s="1" t="str" cm="1">
        <f t="array" ref="F45">_xlfn.LET(
_xlpm.status,UPPER(TRIM(B45&amp;"")),
_xlpm.risk,UPPER(TRIM(C45&amp;"")),
_xlpm.notify,UPPER(TRIM(D45&amp;"")),
_xlpm.form,UPPER(TRIM(E45&amp;"")),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5" s="1" t="str">
        <f t="shared" si="0"/>
        <v>NA</v>
      </c>
      <c r="H45" s="5" t="s">
        <v>399</v>
      </c>
      <c r="I45" s="1" t="s">
        <v>39</v>
      </c>
      <c r="J45" s="1" t="s">
        <v>398</v>
      </c>
      <c r="K45" s="1" t="s">
        <v>395</v>
      </c>
      <c r="L45" s="1" t="s">
        <v>22</v>
      </c>
      <c r="M45" s="1" t="s">
        <v>77</v>
      </c>
      <c r="N45" s="1" t="s">
        <v>397</v>
      </c>
      <c r="O45" s="1" t="s">
        <v>19</v>
      </c>
      <c r="P45" s="1" t="s">
        <v>18</v>
      </c>
      <c r="Q45" s="1" t="s">
        <v>20</v>
      </c>
      <c r="R45" s="1" t="s">
        <v>114</v>
      </c>
      <c r="S45" s="1">
        <v>1</v>
      </c>
      <c r="T45" s="1" t="s">
        <v>400</v>
      </c>
      <c r="U45" t="s">
        <v>1272</v>
      </c>
      <c r="V45" t="s">
        <v>773</v>
      </c>
      <c r="W45" t="s">
        <v>524</v>
      </c>
    </row>
    <row r="46" spans="1:23">
      <c r="A46" s="1" t="s">
        <v>405</v>
      </c>
      <c r="B46" s="1" t="str" cm="1">
        <f t="array" ref="B46">IF(A46="","",_xlfn.IFS(COUNTIF($U:$U,A46)&gt;0,"All uploaded",COUNTIF($V:$V,A46)&gt;0,"Partly uploaded",COUNTIF($W:$X,A46)&gt;0,"Not uploaded",TRUE,"Not classified"))</f>
        <v>All uploaded</v>
      </c>
      <c r="C46" s="1" t="str" cm="1">
        <f t="array" ref="C46">_xlfn.SWITCH(TRIM(I46),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6" s="1" t="s">
        <v>1</v>
      </c>
      <c r="E46" s="1" t="s">
        <v>4</v>
      </c>
      <c r="F46" s="1" t="str" cm="1">
        <f t="array" ref="F46">_xlfn.LET(
_xlpm.status,UPPER(TRIM(B46&amp;"")),
_xlpm.risk,UPPER(TRIM(C46&amp;"")),
_xlpm.notify,UPPER(TRIM(D46&amp;"")),
_xlpm.form,UPPER(TRIM(E46&amp;"")),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46" s="1" t="str">
        <f t="shared" si="0"/>
        <v>Required</v>
      </c>
      <c r="H46" s="5" t="s">
        <v>409</v>
      </c>
      <c r="I46" s="1" t="s">
        <v>26</v>
      </c>
      <c r="J46" s="1" t="s">
        <v>408</v>
      </c>
      <c r="K46" s="1" t="s">
        <v>401</v>
      </c>
      <c r="L46" s="1" t="s">
        <v>25</v>
      </c>
      <c r="M46" s="1" t="s">
        <v>28</v>
      </c>
      <c r="N46" s="1" t="s">
        <v>406</v>
      </c>
      <c r="O46" s="1" t="s">
        <v>19</v>
      </c>
      <c r="P46" s="1" t="s">
        <v>18</v>
      </c>
      <c r="Q46" s="1" t="s">
        <v>20</v>
      </c>
      <c r="R46" s="1" t="s">
        <v>407</v>
      </c>
      <c r="S46" s="1">
        <v>1</v>
      </c>
      <c r="T46" s="1" t="s">
        <v>410</v>
      </c>
      <c r="U46" t="s">
        <v>1323</v>
      </c>
      <c r="V46" t="s">
        <v>772</v>
      </c>
      <c r="W46" t="s">
        <v>536</v>
      </c>
    </row>
    <row r="47" spans="1:23">
      <c r="A47" s="1" t="s">
        <v>412</v>
      </c>
      <c r="B47" s="1" t="str" cm="1">
        <f t="array" ref="B47">IF(A47="","",_xlfn.IFS(COUNTIF($U:$U,A47)&gt;0,"All uploaded",COUNTIF($V:$V,A47)&gt;0,"Partly uploaded",COUNTIF($W:$X,A47)&gt;0,"Not uploaded",TRUE,"Not classified"))</f>
        <v>Partly uploaded</v>
      </c>
      <c r="C47" s="1" t="str" cm="1">
        <f t="array" ref="C47">_xlfn.SWITCH(TRIM(I47),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7" s="1" t="s">
        <v>1</v>
      </c>
      <c r="E47" s="1" t="s">
        <v>4</v>
      </c>
      <c r="F47" s="1" t="str" cm="1">
        <f t="array" ref="F47">_xlfn.LET(
_xlpm.status,UPPER(TRIM(B47&amp;"")),
_xlpm.risk,UPPER(TRIM(C47&amp;"")),
_xlpm.notify,UPPER(TRIM(D47&amp;"")),
_xlpm.form,UPPER(TRIM(E47&amp;"")),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47" s="1" t="str">
        <f t="shared" si="0"/>
        <v>Required</v>
      </c>
      <c r="H47" s="5" t="s">
        <v>414</v>
      </c>
      <c r="I47" s="1" t="s">
        <v>26</v>
      </c>
      <c r="J47" s="1" t="s">
        <v>413</v>
      </c>
      <c r="K47" s="1" t="s">
        <v>411</v>
      </c>
      <c r="L47" s="1" t="s">
        <v>25</v>
      </c>
      <c r="M47" s="1" t="s">
        <v>28</v>
      </c>
      <c r="N47" s="1" t="s">
        <v>104</v>
      </c>
      <c r="O47" s="1" t="s">
        <v>19</v>
      </c>
      <c r="P47" s="1" t="s">
        <v>18</v>
      </c>
      <c r="Q47" s="1" t="s">
        <v>20</v>
      </c>
      <c r="R47" s="1" t="s">
        <v>389</v>
      </c>
      <c r="S47" s="1">
        <v>1</v>
      </c>
      <c r="T47" s="1" t="s">
        <v>415</v>
      </c>
      <c r="U47" t="s">
        <v>1304</v>
      </c>
      <c r="V47" t="s">
        <v>780</v>
      </c>
      <c r="W47" t="s">
        <v>538</v>
      </c>
    </row>
    <row r="48" spans="1:23">
      <c r="A48" s="1" t="s">
        <v>420</v>
      </c>
      <c r="B48" s="1" t="str" cm="1">
        <f t="array" ref="B48">IF(A48="","",_xlfn.IFS(COUNTIF($U:$U,A48)&gt;0,"All uploaded",COUNTIF($V:$V,A48)&gt;0,"Partly uploaded",COUNTIF($W:$X,A48)&gt;0,"Not uploaded",TRUE,"Not classified"))</f>
        <v>Partly uploaded</v>
      </c>
      <c r="C48" s="1" t="str" cm="1">
        <f t="array" ref="C48">_xlfn.SWITCH(TRIM(I48),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8" s="1" t="s">
        <v>1</v>
      </c>
      <c r="E48" s="1" t="s">
        <v>4</v>
      </c>
      <c r="F48" s="1" t="str" cm="1">
        <f t="array" ref="F48">_xlfn.LET(
_xlpm.status,UPPER(TRIM(B48&amp;"")),
_xlpm.risk,UPPER(TRIM(C48&amp;"")),
_xlpm.notify,UPPER(TRIM(D48&amp;"")),
_xlpm.form,UPPER(TRIM(E48&amp;"")),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48" s="1" t="str">
        <f t="shared" si="0"/>
        <v>Required</v>
      </c>
      <c r="H48" s="5" t="s">
        <v>435</v>
      </c>
      <c r="I48" s="1" t="s">
        <v>87</v>
      </c>
      <c r="J48" s="1" t="s">
        <v>434</v>
      </c>
      <c r="K48" s="1" t="s">
        <v>419</v>
      </c>
      <c r="L48" s="1" t="s">
        <v>27</v>
      </c>
      <c r="M48" s="1" t="s">
        <v>28</v>
      </c>
      <c r="N48" s="1" t="s">
        <v>421</v>
      </c>
      <c r="O48" s="1" t="s">
        <v>19</v>
      </c>
      <c r="P48" s="1" t="s">
        <v>18</v>
      </c>
      <c r="Q48" s="1" t="s">
        <v>20</v>
      </c>
      <c r="R48" s="1" t="s">
        <v>433</v>
      </c>
      <c r="S48" s="1">
        <v>8</v>
      </c>
      <c r="T48" s="1" t="s">
        <v>436</v>
      </c>
      <c r="U48" t="s">
        <v>1364</v>
      </c>
      <c r="V48" t="s">
        <v>783</v>
      </c>
      <c r="W48" t="s">
        <v>542</v>
      </c>
    </row>
    <row r="49" spans="1:23">
      <c r="A49" s="1" t="s">
        <v>420</v>
      </c>
      <c r="B49" s="1" t="str" cm="1">
        <f t="array" ref="B49">IF(A49="","",_xlfn.IFS(COUNTIF($U:$U,A49)&gt;0,"All uploaded",COUNTIF($V:$V,A49)&gt;0,"Partly uploaded",COUNTIF($W:$X,A49)&gt;0,"Not uploaded",TRUE,"Not classified"))</f>
        <v>Partly uploaded</v>
      </c>
      <c r="C49" s="1" t="str" cm="1">
        <f t="array" ref="C49">_xlfn.SWITCH(TRIM(I49),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9" s="1" t="s">
        <v>1</v>
      </c>
      <c r="E49" s="1" t="s">
        <v>4</v>
      </c>
      <c r="F49" s="1" t="str" cm="1">
        <f t="array" ref="F49">_xlfn.LET(
_xlpm.status,UPPER(TRIM(B49&amp;"")),
_xlpm.risk,UPPER(TRIM(C49&amp;"")),
_xlpm.notify,UPPER(TRIM(D49&amp;"")),
_xlpm.form,UPPER(TRIM(E49&amp;"")),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49" s="1" t="str">
        <f t="shared" si="0"/>
        <v>Required</v>
      </c>
      <c r="H49" s="5" t="s">
        <v>423</v>
      </c>
      <c r="I49" s="1" t="s">
        <v>87</v>
      </c>
      <c r="J49" s="1" t="s">
        <v>422</v>
      </c>
      <c r="K49" s="1" t="s">
        <v>419</v>
      </c>
      <c r="L49" s="1" t="s">
        <v>27</v>
      </c>
      <c r="M49" s="1" t="s">
        <v>28</v>
      </c>
      <c r="N49" s="1" t="s">
        <v>421</v>
      </c>
      <c r="O49" s="1" t="s">
        <v>19</v>
      </c>
      <c r="P49" s="1" t="s">
        <v>18</v>
      </c>
      <c r="Q49" s="1" t="s">
        <v>20</v>
      </c>
      <c r="R49" s="1" t="s">
        <v>121</v>
      </c>
      <c r="S49" s="1">
        <v>6</v>
      </c>
      <c r="T49" s="1" t="s">
        <v>424</v>
      </c>
      <c r="U49" t="s">
        <v>1380</v>
      </c>
      <c r="V49" t="s">
        <v>810</v>
      </c>
      <c r="W49" t="s">
        <v>540</v>
      </c>
    </row>
    <row r="50" spans="1:23">
      <c r="A50" s="1" t="s">
        <v>420</v>
      </c>
      <c r="B50" s="1" t="str" cm="1">
        <f t="array" ref="B50">IF(A50="","",_xlfn.IFS(COUNTIF($U:$U,A50)&gt;0,"All uploaded",COUNTIF($V:$V,A50)&gt;0,"Partly uploaded",COUNTIF($W:$X,A50)&gt;0,"Not uploaded",TRUE,"Not classified"))</f>
        <v>Partly uploaded</v>
      </c>
      <c r="C50" s="1" t="str" cm="1">
        <f t="array" ref="C50">_xlfn.SWITCH(TRIM(I50),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0" s="1" t="s">
        <v>1</v>
      </c>
      <c r="E50" s="1" t="s">
        <v>4</v>
      </c>
      <c r="F50" s="1" t="str" cm="1">
        <f t="array" ref="F50">_xlfn.LET(
_xlpm.status,UPPER(TRIM(B50&amp;"")),
_xlpm.risk,UPPER(TRIM(C50&amp;"")),
_xlpm.notify,UPPER(TRIM(D50&amp;"")),
_xlpm.form,UPPER(TRIM(E50&amp;"")),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50" s="1" t="str">
        <f t="shared" si="0"/>
        <v>Required</v>
      </c>
      <c r="H50" s="5" t="s">
        <v>430</v>
      </c>
      <c r="I50" s="1" t="s">
        <v>87</v>
      </c>
      <c r="J50" s="1" t="s">
        <v>429</v>
      </c>
      <c r="K50" s="1" t="s">
        <v>419</v>
      </c>
      <c r="L50" s="1" t="s">
        <v>27</v>
      </c>
      <c r="M50" s="1" t="s">
        <v>77</v>
      </c>
      <c r="N50" s="1" t="s">
        <v>421</v>
      </c>
      <c r="O50" s="1" t="s">
        <v>19</v>
      </c>
      <c r="P50" s="1" t="s">
        <v>18</v>
      </c>
      <c r="Q50" s="1" t="s">
        <v>20</v>
      </c>
      <c r="R50" s="1" t="s">
        <v>428</v>
      </c>
      <c r="S50" s="1">
        <v>14</v>
      </c>
      <c r="T50" s="1" t="s">
        <v>431</v>
      </c>
      <c r="U50" t="s">
        <v>1399</v>
      </c>
      <c r="V50" t="s">
        <v>801</v>
      </c>
      <c r="W50" t="s">
        <v>577</v>
      </c>
    </row>
    <row r="51" spans="1:23">
      <c r="A51" s="1" t="s">
        <v>456</v>
      </c>
      <c r="B51" s="1" t="str" cm="1">
        <f t="array" ref="B51">IF(A51="","",_xlfn.IFS(COUNTIF($U:$U,A51)&gt;0,"All uploaded",COUNTIF($V:$V,A51)&gt;0,"Partly uploaded",COUNTIF($W:$X,A51)&gt;0,"Not uploaded",TRUE,"Not classified"))</f>
        <v>All uploaded</v>
      </c>
      <c r="C51" s="1" t="str" cm="1">
        <f t="array" ref="C51">_xlfn.SWITCH(TRIM(I51),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1" s="1" t="s">
        <v>1</v>
      </c>
      <c r="E51" s="1" t="s">
        <v>4</v>
      </c>
      <c r="F51" s="1" t="str" cm="1">
        <f t="array" ref="F51">_xlfn.LET(
_xlpm.status,UPPER(TRIM(B51&amp;"")),
_xlpm.risk,UPPER(TRIM(C51&amp;"")),
_xlpm.notify,UPPER(TRIM(D51&amp;"")),
_xlpm.form,UPPER(TRIM(E51&amp;"")),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51" s="1" t="str">
        <f t="shared" si="0"/>
        <v>Required</v>
      </c>
      <c r="H51" s="5" t="s">
        <v>459</v>
      </c>
      <c r="I51" s="1" t="s">
        <v>101</v>
      </c>
      <c r="J51" s="1" t="s">
        <v>458</v>
      </c>
      <c r="K51" s="1" t="s">
        <v>438</v>
      </c>
      <c r="L51" s="1" t="s">
        <v>25</v>
      </c>
      <c r="M51" s="1" t="s">
        <v>28</v>
      </c>
      <c r="N51" s="1" t="s">
        <v>147</v>
      </c>
      <c r="O51" s="1" t="s">
        <v>19</v>
      </c>
      <c r="P51" s="1" t="s">
        <v>18</v>
      </c>
      <c r="Q51" s="1" t="s">
        <v>20</v>
      </c>
      <c r="R51" s="1" t="s">
        <v>457</v>
      </c>
      <c r="S51" s="1">
        <v>1</v>
      </c>
      <c r="T51" s="1" t="s">
        <v>460</v>
      </c>
      <c r="U51" t="s">
        <v>1424</v>
      </c>
      <c r="V51" t="s">
        <v>796</v>
      </c>
      <c r="W51" t="s">
        <v>592</v>
      </c>
    </row>
    <row r="52" spans="1:23">
      <c r="A52" s="1" t="s">
        <v>456</v>
      </c>
      <c r="B52" s="1" t="str" cm="1">
        <f t="array" ref="B52">IF(A52="","",_xlfn.IFS(COUNTIF($U:$U,A52)&gt;0,"All uploaded",COUNTIF($V:$V,A52)&gt;0,"Partly uploaded",COUNTIF($W:$X,A52)&gt;0,"Not uploaded",TRUE,"Not classified"))</f>
        <v>All uploaded</v>
      </c>
      <c r="C52" s="1" t="str" cm="1">
        <f t="array" ref="C52">_xlfn.SWITCH(TRIM(I52),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2" s="1" t="s">
        <v>0</v>
      </c>
      <c r="E52" s="1" t="s">
        <v>4</v>
      </c>
      <c r="F52" s="1" t="str" cm="1">
        <f t="array" ref="F52">_xlfn.LET(
_xlpm.status,UPPER(TRIM(B52&amp;"")),
_xlpm.risk,UPPER(TRIM(C52&amp;"")),
_xlpm.notify,UPPER(TRIM(D52&amp;"")),
_xlpm.form,UPPER(TRIM(E52&amp;"")),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2" s="1" t="str">
        <f t="shared" si="0"/>
        <v>Required</v>
      </c>
      <c r="H52" s="5" t="s">
        <v>459</v>
      </c>
      <c r="I52" s="1" t="s">
        <v>101</v>
      </c>
      <c r="J52" s="1" t="s">
        <v>462</v>
      </c>
      <c r="K52" s="1" t="s">
        <v>438</v>
      </c>
      <c r="L52" s="1" t="s">
        <v>25</v>
      </c>
      <c r="M52" s="1" t="s">
        <v>28</v>
      </c>
      <c r="N52" s="1" t="s">
        <v>147</v>
      </c>
      <c r="O52" s="1" t="s">
        <v>19</v>
      </c>
      <c r="P52" s="1" t="s">
        <v>18</v>
      </c>
      <c r="Q52" s="1" t="s">
        <v>20</v>
      </c>
      <c r="R52" s="1" t="s">
        <v>130</v>
      </c>
      <c r="S52" s="1">
        <v>1</v>
      </c>
      <c r="T52" s="1" t="s">
        <v>460</v>
      </c>
      <c r="U52" t="s">
        <v>1417</v>
      </c>
      <c r="V52" t="s">
        <v>837</v>
      </c>
      <c r="W52" t="s">
        <v>607</v>
      </c>
    </row>
    <row r="53" spans="1:23">
      <c r="A53" s="1" t="s">
        <v>439</v>
      </c>
      <c r="B53" s="1" t="str" cm="1">
        <f t="array" ref="B53">IF(A53="","",_xlfn.IFS(COUNTIF($U:$U,A53)&gt;0,"All uploaded",COUNTIF($V:$V,A53)&gt;0,"Partly uploaded",COUNTIF($W:$X,A53)&gt;0,"Not uploaded",TRUE,"Not classified"))</f>
        <v>Partly uploaded</v>
      </c>
      <c r="C53" s="1" t="str" cm="1">
        <f t="array" ref="C53">_xlfn.SWITCH(TRIM(I53),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3" s="1" t="s">
        <v>1</v>
      </c>
      <c r="E53" s="1" t="s">
        <v>4</v>
      </c>
      <c r="F53" s="1" t="str" cm="1">
        <f t="array" ref="F53">_xlfn.LET(
_xlpm.status,UPPER(TRIM(B53&amp;"")),
_xlpm.risk,UPPER(TRIM(C53&amp;"")),
_xlpm.notify,UPPER(TRIM(D53&amp;"")),
_xlpm.form,UPPER(TRIM(E53&amp;"")),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53" s="1" t="str">
        <f t="shared" si="0"/>
        <v>Required</v>
      </c>
      <c r="H53" s="5" t="s">
        <v>443</v>
      </c>
      <c r="I53" s="1" t="s">
        <v>101</v>
      </c>
      <c r="J53" s="1" t="s">
        <v>442</v>
      </c>
      <c r="K53" s="1" t="s">
        <v>438</v>
      </c>
      <c r="L53" s="1" t="s">
        <v>27</v>
      </c>
      <c r="M53" s="1" t="s">
        <v>28</v>
      </c>
      <c r="N53" s="1" t="s">
        <v>440</v>
      </c>
      <c r="O53" s="1" t="s">
        <v>19</v>
      </c>
      <c r="P53" s="1" t="s">
        <v>18</v>
      </c>
      <c r="Q53" s="1" t="s">
        <v>20</v>
      </c>
      <c r="R53" s="1" t="s">
        <v>441</v>
      </c>
      <c r="S53" s="1">
        <v>10</v>
      </c>
      <c r="T53" s="1" t="s">
        <v>444</v>
      </c>
      <c r="U53" t="s">
        <v>1484</v>
      </c>
      <c r="V53" t="s">
        <v>831</v>
      </c>
      <c r="W53" t="s">
        <v>616</v>
      </c>
    </row>
    <row r="54" spans="1:23">
      <c r="A54" s="1" t="s">
        <v>439</v>
      </c>
      <c r="B54" s="1" t="str" cm="1">
        <f t="array" ref="B54">IF(A54="","",_xlfn.IFS(COUNTIF($U:$U,A54)&gt;0,"All uploaded",COUNTIF($V:$V,A54)&gt;0,"Partly uploaded",COUNTIF($W:$X,A54)&gt;0,"Not uploaded",TRUE,"Not classified"))</f>
        <v>Partly uploaded</v>
      </c>
      <c r="C54" s="1" t="str" cm="1">
        <f t="array" ref="C54">_xlfn.SWITCH(TRIM(I54),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4" s="1" t="s">
        <v>1</v>
      </c>
      <c r="E54" s="1" t="s">
        <v>2</v>
      </c>
      <c r="F54" s="1" t="str" cm="1">
        <f t="array" ref="F54">_xlfn.LET(
_xlpm.status,UPPER(TRIM(B54&amp;"")),
_xlpm.risk,UPPER(TRIM(C54&amp;"")),
_xlpm.notify,UPPER(TRIM(D54&amp;"")),
_xlpm.form,UPPER(TRIM(E54&amp;"")),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54" s="1" t="str">
        <f t="shared" si="0"/>
        <v>NA</v>
      </c>
      <c r="H54" s="5" t="s">
        <v>443</v>
      </c>
      <c r="I54" s="1" t="s">
        <v>101</v>
      </c>
      <c r="J54" s="1" t="s">
        <v>447</v>
      </c>
      <c r="K54" s="1" t="s">
        <v>438</v>
      </c>
      <c r="L54" s="1" t="s">
        <v>27</v>
      </c>
      <c r="M54" s="1" t="s">
        <v>28</v>
      </c>
      <c r="N54" s="1" t="s">
        <v>440</v>
      </c>
      <c r="O54" s="1" t="s">
        <v>19</v>
      </c>
      <c r="P54" s="1" t="s">
        <v>18</v>
      </c>
      <c r="Q54" s="1" t="s">
        <v>20</v>
      </c>
      <c r="R54" s="1" t="s">
        <v>446</v>
      </c>
      <c r="S54" s="1">
        <v>9</v>
      </c>
      <c r="T54" s="1" t="s">
        <v>445</v>
      </c>
      <c r="U54" t="s">
        <v>1510</v>
      </c>
      <c r="V54" t="s">
        <v>852</v>
      </c>
      <c r="W54" t="s">
        <v>614</v>
      </c>
    </row>
    <row r="55" spans="1:23">
      <c r="A55" s="1" t="s">
        <v>448</v>
      </c>
      <c r="B55" s="1" t="str" cm="1">
        <f t="array" ref="B55">IF(A55="","",_xlfn.IFS(COUNTIF($U:$U,A55)&gt;0,"All uploaded",COUNTIF($V:$V,A55)&gt;0,"Partly uploaded",COUNTIF($W:$X,A55)&gt;0,"Not uploaded",TRUE,"Not classified"))</f>
        <v>Partly uploaded</v>
      </c>
      <c r="C55" s="1" t="str" cm="1">
        <f t="array" ref="C55">_xlfn.SWITCH(TRIM(I55),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5" s="1" t="s">
        <v>1</v>
      </c>
      <c r="E55" s="1" t="s">
        <v>4</v>
      </c>
      <c r="F55" s="1" t="str" cm="1">
        <f t="array" ref="F55">_xlfn.LET(
_xlpm.status,UPPER(TRIM(B55&amp;"")),
_xlpm.risk,UPPER(TRIM(C55&amp;"")),
_xlpm.notify,UPPER(TRIM(D55&amp;"")),
_xlpm.form,UPPER(TRIM(E55&amp;"")),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55" s="1" t="str">
        <f t="shared" si="0"/>
        <v>Required</v>
      </c>
      <c r="H55" s="5" t="s">
        <v>451</v>
      </c>
      <c r="I55" s="1" t="s">
        <v>98</v>
      </c>
      <c r="J55" s="1" t="s">
        <v>450</v>
      </c>
      <c r="K55" s="1" t="s">
        <v>438</v>
      </c>
      <c r="L55" s="1" t="s">
        <v>27</v>
      </c>
      <c r="M55" s="1" t="s">
        <v>28</v>
      </c>
      <c r="N55" s="1" t="s">
        <v>449</v>
      </c>
      <c r="O55" s="1" t="s">
        <v>19</v>
      </c>
      <c r="P55" s="1" t="s">
        <v>18</v>
      </c>
      <c r="Q55" s="1" t="s">
        <v>20</v>
      </c>
      <c r="R55" s="1" t="s">
        <v>441</v>
      </c>
      <c r="S55" s="1">
        <v>5</v>
      </c>
      <c r="T55" s="1" t="s">
        <v>452</v>
      </c>
      <c r="U55" t="s">
        <v>1516</v>
      </c>
      <c r="V55" t="s">
        <v>888</v>
      </c>
      <c r="W55" t="s">
        <v>645</v>
      </c>
    </row>
    <row r="56" spans="1:23">
      <c r="A56" s="1" t="s">
        <v>448</v>
      </c>
      <c r="B56" s="1" t="str" cm="1">
        <f t="array" ref="B56">IF(A56="","",_xlfn.IFS(COUNTIF($U:$U,A56)&gt;0,"All uploaded",COUNTIF($V:$V,A56)&gt;0,"Partly uploaded",COUNTIF($W:$X,A56)&gt;0,"Not uploaded",TRUE,"Not classified"))</f>
        <v>Partly uploaded</v>
      </c>
      <c r="C56" s="1" t="str" cm="1">
        <f t="array" ref="C56">_xlfn.SWITCH(TRIM(I56),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6" s="1" t="s">
        <v>0</v>
      </c>
      <c r="E56" s="1" t="s">
        <v>4</v>
      </c>
      <c r="F56" s="1" t="str" cm="1">
        <f t="array" ref="F56">_xlfn.LET(
_xlpm.status,UPPER(TRIM(B56&amp;"")),
_xlpm.risk,UPPER(TRIM(C56&amp;"")),
_xlpm.notify,UPPER(TRIM(D56&amp;"")),
_xlpm.form,UPPER(TRIM(E56&amp;"")),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6" s="1" t="str">
        <f t="shared" si="0"/>
        <v>Required</v>
      </c>
      <c r="H56" s="5" t="s">
        <v>451</v>
      </c>
      <c r="I56" s="1" t="s">
        <v>98</v>
      </c>
      <c r="J56" s="1" t="s">
        <v>453</v>
      </c>
      <c r="K56" s="1" t="s">
        <v>438</v>
      </c>
      <c r="L56" s="1" t="s">
        <v>27</v>
      </c>
      <c r="M56" s="1" t="s">
        <v>28</v>
      </c>
      <c r="N56" s="1" t="s">
        <v>449</v>
      </c>
      <c r="O56" s="1" t="s">
        <v>19</v>
      </c>
      <c r="P56" s="1" t="s">
        <v>18</v>
      </c>
      <c r="Q56" s="1" t="s">
        <v>20</v>
      </c>
      <c r="R56" s="1" t="s">
        <v>127</v>
      </c>
      <c r="S56" s="1">
        <v>5</v>
      </c>
      <c r="T56" s="1" t="s">
        <v>452</v>
      </c>
      <c r="U56" t="s">
        <v>1553</v>
      </c>
      <c r="V56" t="s">
        <v>890</v>
      </c>
      <c r="W56" t="s">
        <v>647</v>
      </c>
    </row>
    <row r="57" spans="1:23">
      <c r="A57" s="1" t="s">
        <v>448</v>
      </c>
      <c r="B57" s="1" t="str" cm="1">
        <f t="array" ref="B57">IF(A57="","",_xlfn.IFS(COUNTIF($U:$U,A57)&gt;0,"All uploaded",COUNTIF($V:$V,A57)&gt;0,"Partly uploaded",COUNTIF($W:$X,A57)&gt;0,"Not uploaded",TRUE,"Not classified"))</f>
        <v>Partly uploaded</v>
      </c>
      <c r="C57" s="1" t="str" cm="1">
        <f t="array" ref="C57">_xlfn.SWITCH(TRIM(I57),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7" s="1" t="s">
        <v>0</v>
      </c>
      <c r="E57" s="1" t="s">
        <v>4</v>
      </c>
      <c r="F57" s="1" t="str" cm="1">
        <f t="array" ref="F57">_xlfn.LET(
_xlpm.status,UPPER(TRIM(B57&amp;"")),
_xlpm.risk,UPPER(TRIM(C57&amp;"")),
_xlpm.notify,UPPER(TRIM(D57&amp;"")),
_xlpm.form,UPPER(TRIM(E57&amp;"")),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7" s="1" t="str">
        <f t="shared" si="0"/>
        <v>Required</v>
      </c>
      <c r="H57" s="5" t="s">
        <v>455</v>
      </c>
      <c r="I57" s="1" t="s">
        <v>98</v>
      </c>
      <c r="J57" s="1" t="s">
        <v>454</v>
      </c>
      <c r="K57" s="1" t="s">
        <v>438</v>
      </c>
      <c r="L57" s="1" t="s">
        <v>27</v>
      </c>
      <c r="M57" s="1" t="s">
        <v>28</v>
      </c>
      <c r="N57" s="1" t="s">
        <v>449</v>
      </c>
      <c r="O57" s="1" t="s">
        <v>19</v>
      </c>
      <c r="P57" s="1" t="s">
        <v>18</v>
      </c>
      <c r="Q57" s="1" t="s">
        <v>20</v>
      </c>
      <c r="R57" s="1" t="s">
        <v>127</v>
      </c>
      <c r="S57" s="1">
        <v>5</v>
      </c>
      <c r="T57" s="1" t="s">
        <v>452</v>
      </c>
      <c r="U57" t="s">
        <v>1595</v>
      </c>
      <c r="V57" t="s">
        <v>920</v>
      </c>
      <c r="W57" t="s">
        <v>670</v>
      </c>
    </row>
    <row r="58" spans="1:23">
      <c r="A58" s="1" t="s">
        <v>480</v>
      </c>
      <c r="B58" s="1" t="str" cm="1">
        <f t="array" ref="B58">IF(A58="","",_xlfn.IFS(COUNTIF($U:$U,A58)&gt;0,"All uploaded",COUNTIF($V:$V,A58)&gt;0,"Partly uploaded",COUNTIF($W:$X,A58)&gt;0,"Not uploaded",TRUE,"Not classified"))</f>
        <v>All uploaded</v>
      </c>
      <c r="C58" s="1" t="str" cm="1">
        <f t="array" ref="C58">_xlfn.SWITCH(TRIM(I58),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8" s="1" t="s">
        <v>0</v>
      </c>
      <c r="E58" s="1" t="s">
        <v>4</v>
      </c>
      <c r="F58" s="1" t="str" cm="1">
        <f t="array" ref="F58">_xlfn.LET(
_xlpm.status,UPPER(TRIM(B58&amp;"")),
_xlpm.risk,UPPER(TRIM(C58&amp;"")),
_xlpm.notify,UPPER(TRIM(D58&amp;"")),
_xlpm.form,UPPER(TRIM(E58&amp;"")),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8" s="1" t="str">
        <f t="shared" si="0"/>
        <v>Required</v>
      </c>
      <c r="H58" s="5" t="s">
        <v>483</v>
      </c>
      <c r="I58" s="1" t="s">
        <v>54</v>
      </c>
      <c r="J58" s="1" t="s">
        <v>482</v>
      </c>
      <c r="K58" s="1" t="s">
        <v>479</v>
      </c>
      <c r="L58" s="1" t="s">
        <v>22</v>
      </c>
      <c r="M58" s="1" t="s">
        <v>77</v>
      </c>
      <c r="N58" s="1" t="s">
        <v>481</v>
      </c>
      <c r="O58" s="1" t="s">
        <v>19</v>
      </c>
      <c r="P58" s="1" t="s">
        <v>18</v>
      </c>
      <c r="Q58" s="1" t="s">
        <v>20</v>
      </c>
      <c r="R58" s="1" t="s">
        <v>203</v>
      </c>
      <c r="S58" s="1">
        <v>2</v>
      </c>
      <c r="T58" s="1" t="s">
        <v>484</v>
      </c>
      <c r="U58" t="s">
        <v>1625</v>
      </c>
      <c r="V58" t="s">
        <v>914</v>
      </c>
      <c r="W58" t="s">
        <v>673</v>
      </c>
    </row>
    <row r="59" spans="1:23">
      <c r="A59" s="1" t="s">
        <v>486</v>
      </c>
      <c r="B59" s="1" t="str" cm="1">
        <f t="array" ref="B59">IF(A59="","",_xlfn.IFS(COUNTIF($U:$U,A59)&gt;0,"All uploaded",COUNTIF($V:$V,A59)&gt;0,"Partly uploaded",COUNTIF($W:$X,A59)&gt;0,"Not uploaded",TRUE,"Not classified"))</f>
        <v>Partly uploaded</v>
      </c>
      <c r="C59" s="1" t="str" cm="1">
        <f t="array" ref="C59">_xlfn.SWITCH(TRIM(I59),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9" s="1" t="s">
        <v>1</v>
      </c>
      <c r="E59" s="1" t="s">
        <v>4</v>
      </c>
      <c r="F59" s="1" t="str" cm="1">
        <f t="array" ref="F59">_xlfn.LET(
_xlpm.status,UPPER(TRIM(B59&amp;"")),
_xlpm.risk,UPPER(TRIM(C59&amp;"")),
_xlpm.notify,UPPER(TRIM(D59&amp;"")),
_xlpm.form,UPPER(TRIM(E59&amp;"")),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59" s="1" t="str">
        <f t="shared" si="0"/>
        <v>Required</v>
      </c>
      <c r="H59" s="5" t="s">
        <v>490</v>
      </c>
      <c r="I59" s="1" t="s">
        <v>54</v>
      </c>
      <c r="J59" s="1" t="s">
        <v>489</v>
      </c>
      <c r="K59" s="1" t="s">
        <v>485</v>
      </c>
      <c r="L59" s="1" t="s">
        <v>22</v>
      </c>
      <c r="M59" s="1" t="s">
        <v>75</v>
      </c>
      <c r="N59" s="1" t="s">
        <v>487</v>
      </c>
      <c r="O59" s="1" t="s">
        <v>19</v>
      </c>
      <c r="P59" s="1" t="s">
        <v>18</v>
      </c>
      <c r="Q59" s="1" t="s">
        <v>20</v>
      </c>
      <c r="R59" s="1" t="s">
        <v>488</v>
      </c>
      <c r="S59" s="1">
        <v>2</v>
      </c>
      <c r="T59" s="1" t="s">
        <v>491</v>
      </c>
      <c r="U59" t="s">
        <v>1678</v>
      </c>
      <c r="V59" t="s">
        <v>965</v>
      </c>
      <c r="W59" t="s">
        <v>675</v>
      </c>
    </row>
    <row r="60" spans="1:23">
      <c r="A60" s="1" t="s">
        <v>492</v>
      </c>
      <c r="B60" s="1" t="str" cm="1">
        <f t="array" ref="B60">IF(A60="","",_xlfn.IFS(COUNTIF($U:$U,A60)&gt;0,"All uploaded",COUNTIF($V:$V,A60)&gt;0,"Partly uploaded",COUNTIF($W:$X,A60)&gt;0,"Not uploaded",TRUE,"Not classified"))</f>
        <v>Partly uploaded</v>
      </c>
      <c r="C60" s="1" t="str" cm="1">
        <f t="array" ref="C60">_xlfn.SWITCH(TRIM(I60),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0" s="1" t="s">
        <v>1</v>
      </c>
      <c r="E60" s="1" t="s">
        <v>4</v>
      </c>
      <c r="F60" s="1" t="str" cm="1">
        <f t="array" ref="F60">_xlfn.LET(
_xlpm.status,UPPER(TRIM(B60&amp;"")),
_xlpm.risk,UPPER(TRIM(C60&amp;"")),
_xlpm.notify,UPPER(TRIM(D60&amp;"")),
_xlpm.form,UPPER(TRIM(E60&amp;"")),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60" s="1" t="str">
        <f t="shared" si="0"/>
        <v>NA</v>
      </c>
      <c r="H60" s="5" t="s">
        <v>496</v>
      </c>
      <c r="I60" s="1" t="s">
        <v>29</v>
      </c>
      <c r="J60" s="1" t="s">
        <v>495</v>
      </c>
      <c r="K60" s="1" t="s">
        <v>485</v>
      </c>
      <c r="L60" s="1" t="s">
        <v>23</v>
      </c>
      <c r="M60" s="1" t="s">
        <v>28</v>
      </c>
      <c r="N60" s="1" t="s">
        <v>493</v>
      </c>
      <c r="O60" s="1" t="s">
        <v>19</v>
      </c>
      <c r="P60" s="1" t="s">
        <v>18</v>
      </c>
      <c r="Q60" s="1" t="s">
        <v>20</v>
      </c>
      <c r="R60" s="1" t="s">
        <v>494</v>
      </c>
      <c r="S60" s="1">
        <v>4</v>
      </c>
      <c r="T60" s="1" t="s">
        <v>497</v>
      </c>
      <c r="U60" t="s">
        <v>1670</v>
      </c>
      <c r="V60" t="s">
        <v>953</v>
      </c>
      <c r="W60" t="s">
        <v>737</v>
      </c>
    </row>
    <row r="61" spans="1:23">
      <c r="A61" s="1" t="s">
        <v>492</v>
      </c>
      <c r="B61" s="1" t="str" cm="1">
        <f t="array" ref="B61">IF(A61="","",_xlfn.IFS(COUNTIF($U:$U,A61)&gt;0,"All uploaded",COUNTIF($V:$V,A61)&gt;0,"Partly uploaded",COUNTIF($W:$X,A61)&gt;0,"Not uploaded",TRUE,"Not classified"))</f>
        <v>Partly uploaded</v>
      </c>
      <c r="C61" s="1" t="str" cm="1">
        <f t="array" ref="C61">_xlfn.SWITCH(TRIM(I61),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1" s="1" t="s">
        <v>1</v>
      </c>
      <c r="E61" s="1" t="s">
        <v>4</v>
      </c>
      <c r="F61" s="1" t="str" cm="1">
        <f t="array" ref="F61">_xlfn.LET(
_xlpm.status,UPPER(TRIM(B61&amp;"")),
_xlpm.risk,UPPER(TRIM(C61&amp;"")),
_xlpm.notify,UPPER(TRIM(D61&amp;"")),
_xlpm.form,UPPER(TRIM(E61&amp;"")),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61" s="1" t="str">
        <f t="shared" si="0"/>
        <v>NA</v>
      </c>
      <c r="H61" s="5" t="s">
        <v>500</v>
      </c>
      <c r="I61" s="1" t="s">
        <v>29</v>
      </c>
      <c r="J61" s="1" t="s">
        <v>499</v>
      </c>
      <c r="K61" s="1" t="s">
        <v>485</v>
      </c>
      <c r="L61" s="1" t="s">
        <v>23</v>
      </c>
      <c r="M61" s="1" t="s">
        <v>28</v>
      </c>
      <c r="N61" s="1" t="s">
        <v>493</v>
      </c>
      <c r="O61" s="1" t="s">
        <v>19</v>
      </c>
      <c r="P61" s="1" t="s">
        <v>18</v>
      </c>
      <c r="Q61" s="1" t="s">
        <v>20</v>
      </c>
      <c r="R61" s="1" t="s">
        <v>76</v>
      </c>
      <c r="S61" s="1">
        <v>3</v>
      </c>
      <c r="T61" s="1" t="s">
        <v>498</v>
      </c>
      <c r="U61" t="s">
        <v>1699</v>
      </c>
      <c r="V61" t="s">
        <v>942</v>
      </c>
      <c r="W61" t="s">
        <v>682</v>
      </c>
    </row>
    <row r="62" spans="1:23">
      <c r="A62" s="1" t="s">
        <v>492</v>
      </c>
      <c r="B62" s="1" t="str" cm="1">
        <f t="array" ref="B62">IF(A62="","",_xlfn.IFS(COUNTIF($U:$U,A62)&gt;0,"All uploaded",COUNTIF($V:$V,A62)&gt;0,"Partly uploaded",COUNTIF($W:$X,A62)&gt;0,"Not uploaded",TRUE,"Not classified"))</f>
        <v>Partly uploaded</v>
      </c>
      <c r="C62" s="1" t="str" cm="1">
        <f t="array" ref="C62">_xlfn.SWITCH(TRIM(I62),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2" s="1" t="s">
        <v>1</v>
      </c>
      <c r="E62" s="1" t="s">
        <v>2</v>
      </c>
      <c r="F62" s="1" t="str" cm="1">
        <f t="array" ref="F62">_xlfn.LET(
_xlpm.status,UPPER(TRIM(B62&amp;"")),
_xlpm.risk,UPPER(TRIM(C62&amp;"")),
_xlpm.notify,UPPER(TRIM(D62&amp;"")),
_xlpm.form,UPPER(TRIM(E62&amp;"")),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62" s="1" t="str">
        <f t="shared" si="0"/>
        <v>NA</v>
      </c>
      <c r="H62" s="5" t="s">
        <v>505</v>
      </c>
      <c r="I62" s="1" t="s">
        <v>29</v>
      </c>
      <c r="J62" s="1" t="s">
        <v>504</v>
      </c>
      <c r="K62" s="1" t="s">
        <v>485</v>
      </c>
      <c r="L62" s="1" t="s">
        <v>23</v>
      </c>
      <c r="M62" s="1" t="s">
        <v>28</v>
      </c>
      <c r="N62" s="1" t="s">
        <v>493</v>
      </c>
      <c r="O62" s="1" t="s">
        <v>19</v>
      </c>
      <c r="P62" s="1" t="s">
        <v>18</v>
      </c>
      <c r="Q62" s="1" t="s">
        <v>20</v>
      </c>
      <c r="R62" s="1" t="s">
        <v>203</v>
      </c>
      <c r="S62" s="1">
        <v>1</v>
      </c>
      <c r="T62" s="1" t="s">
        <v>503</v>
      </c>
      <c r="U62" t="s">
        <v>1705</v>
      </c>
      <c r="V62" t="s">
        <v>947</v>
      </c>
      <c r="W62" t="s">
        <v>694</v>
      </c>
    </row>
    <row r="63" spans="1:23">
      <c r="A63" s="1" t="s">
        <v>492</v>
      </c>
      <c r="B63" s="1" t="str" cm="1">
        <f t="array" ref="B63">IF(A63="","",_xlfn.IFS(COUNTIF($U:$U,A63)&gt;0,"All uploaded",COUNTIF($V:$V,A63)&gt;0,"Partly uploaded",COUNTIF($W:$X,A63)&gt;0,"Not uploaded",TRUE,"Not classified"))</f>
        <v>Partly uploaded</v>
      </c>
      <c r="C63" s="1" t="str" cm="1">
        <f t="array" ref="C63">_xlfn.SWITCH(TRIM(I63),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3" s="1" t="s">
        <v>1</v>
      </c>
      <c r="E63" s="1" t="s">
        <v>4</v>
      </c>
      <c r="F63" s="1" t="str" cm="1">
        <f t="array" ref="F63">_xlfn.LET(
_xlpm.status,UPPER(TRIM(B63&amp;"")),
_xlpm.risk,UPPER(TRIM(C63&amp;"")),
_xlpm.notify,UPPER(TRIM(D63&amp;"")),
_xlpm.form,UPPER(TRIM(E63&amp;"")),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63" s="1" t="str">
        <f t="shared" si="0"/>
        <v>NA</v>
      </c>
      <c r="H63" s="5" t="s">
        <v>3843</v>
      </c>
      <c r="I63" s="1" t="s">
        <v>29</v>
      </c>
      <c r="J63" s="1" t="s">
        <v>502</v>
      </c>
      <c r="K63" s="1" t="s">
        <v>485</v>
      </c>
      <c r="L63" s="1" t="s">
        <v>23</v>
      </c>
      <c r="M63" s="1" t="s">
        <v>28</v>
      </c>
      <c r="N63" s="1" t="s">
        <v>493</v>
      </c>
      <c r="O63" s="1" t="s">
        <v>19</v>
      </c>
      <c r="P63" s="1" t="s">
        <v>18</v>
      </c>
      <c r="Q63" s="1" t="s">
        <v>20</v>
      </c>
      <c r="R63" s="1" t="s">
        <v>501</v>
      </c>
      <c r="S63" s="1">
        <v>1</v>
      </c>
      <c r="T63" s="1" t="s">
        <v>503</v>
      </c>
      <c r="U63" t="s">
        <v>1750</v>
      </c>
      <c r="V63" t="s">
        <v>974</v>
      </c>
      <c r="W63" t="s">
        <v>685</v>
      </c>
    </row>
    <row r="64" spans="1:23">
      <c r="A64" s="1" t="s">
        <v>492</v>
      </c>
      <c r="B64" s="1" t="str" cm="1">
        <f t="array" ref="B64">IF(A64="","",_xlfn.IFS(COUNTIF($U:$U,A64)&gt;0,"All uploaded",COUNTIF($V:$V,A64)&gt;0,"Partly uploaded",COUNTIF($W:$X,A64)&gt;0,"Not uploaded",TRUE,"Not classified"))</f>
        <v>Partly uploaded</v>
      </c>
      <c r="C64" s="1" t="str" cm="1">
        <f t="array" ref="C64">_xlfn.SWITCH(TRIM(I64),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4" s="1" t="s">
        <v>1</v>
      </c>
      <c r="E64" s="1" t="s">
        <v>2</v>
      </c>
      <c r="F64" s="1" t="str" cm="1">
        <f t="array" ref="F64">_xlfn.LET(
_xlpm.status,UPPER(TRIM(B64&amp;"")),
_xlpm.risk,UPPER(TRIM(C64&amp;"")),
_xlpm.notify,UPPER(TRIM(D64&amp;"")),
_xlpm.form,UPPER(TRIM(E64&amp;"")),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64" s="1" t="str">
        <f t="shared" si="0"/>
        <v>NA</v>
      </c>
      <c r="H64" s="5" t="s">
        <v>3844</v>
      </c>
      <c r="I64" s="1" t="s">
        <v>29</v>
      </c>
      <c r="J64" s="1" t="s">
        <v>506</v>
      </c>
      <c r="K64" s="1" t="s">
        <v>485</v>
      </c>
      <c r="L64" s="1" t="s">
        <v>23</v>
      </c>
      <c r="M64" s="1" t="s">
        <v>28</v>
      </c>
      <c r="N64" s="1" t="s">
        <v>493</v>
      </c>
      <c r="O64" s="1" t="s">
        <v>19</v>
      </c>
      <c r="P64" s="1" t="s">
        <v>18</v>
      </c>
      <c r="Q64" s="1" t="s">
        <v>20</v>
      </c>
      <c r="R64" s="1" t="s">
        <v>501</v>
      </c>
      <c r="S64" s="1">
        <v>3</v>
      </c>
      <c r="T64" s="1" t="s">
        <v>507</v>
      </c>
      <c r="U64" t="s">
        <v>1768</v>
      </c>
      <c r="V64" t="s">
        <v>973</v>
      </c>
      <c r="W64" t="s">
        <v>744</v>
      </c>
    </row>
    <row r="65" spans="1:23">
      <c r="A65" s="1" t="s">
        <v>516</v>
      </c>
      <c r="B65" s="1" t="str" cm="1">
        <f t="array" ref="B65">IF(A65="","",_xlfn.IFS(COUNTIF($U:$U,A65)&gt;0,"All uploaded",COUNTIF($V:$V,A65)&gt;0,"Partly uploaded",COUNTIF($W:$X,A65)&gt;0,"Not uploaded",TRUE,"Not classified"))</f>
        <v>Partly uploaded</v>
      </c>
      <c r="C65" s="1" t="str" cm="1">
        <f t="array" ref="C65">_xlfn.SWITCH(TRIM(I65),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5" s="1" t="s">
        <v>1</v>
      </c>
      <c r="E65" s="1" t="s">
        <v>4</v>
      </c>
      <c r="F65" s="1" t="str" cm="1">
        <f t="array" ref="F65">_xlfn.LET(
_xlpm.status,UPPER(TRIM(B65&amp;"")),
_xlpm.risk,UPPER(TRIM(C65&amp;"")),
_xlpm.notify,UPPER(TRIM(D65&amp;"")),
_xlpm.form,UPPER(TRIM(E65&amp;"")),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65" s="1" t="str">
        <f t="shared" si="0"/>
        <v>NA</v>
      </c>
      <c r="H65" s="5" t="s">
        <v>519</v>
      </c>
      <c r="I65" s="1" t="s">
        <v>29</v>
      </c>
      <c r="J65" s="1" t="s">
        <v>518</v>
      </c>
      <c r="K65" s="1" t="s">
        <v>515</v>
      </c>
      <c r="L65" s="1" t="s">
        <v>23</v>
      </c>
      <c r="M65" s="1" t="s">
        <v>28</v>
      </c>
      <c r="N65" s="1" t="s">
        <v>250</v>
      </c>
      <c r="O65" s="1" t="s">
        <v>19</v>
      </c>
      <c r="P65" s="1" t="s">
        <v>18</v>
      </c>
      <c r="Q65" s="1" t="s">
        <v>20</v>
      </c>
      <c r="R65" s="1" t="s">
        <v>517</v>
      </c>
      <c r="S65" s="1">
        <v>8</v>
      </c>
      <c r="T65" s="1" t="s">
        <v>520</v>
      </c>
      <c r="U65" t="s">
        <v>1796</v>
      </c>
      <c r="V65" t="s">
        <v>960</v>
      </c>
      <c r="W65" t="s">
        <v>723</v>
      </c>
    </row>
    <row r="66" spans="1:23">
      <c r="A66" s="1" t="s">
        <v>527</v>
      </c>
      <c r="B66" s="1" t="str" cm="1">
        <f t="array" ref="B66">IF(A66="","",_xlfn.IFS(COUNTIF($U:$U,A66)&gt;0,"All uploaded",COUNTIF($V:$V,A66)&gt;0,"Partly uploaded",COUNTIF($W:$X,A66)&gt;0,"Not uploaded",TRUE,"Not classified"))</f>
        <v>All uploaded</v>
      </c>
      <c r="C66" s="1" t="str" cm="1">
        <f t="array" ref="C66">_xlfn.SWITCH(TRIM(I66),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6" s="1" t="s">
        <v>1</v>
      </c>
      <c r="E66" s="1" t="s">
        <v>2</v>
      </c>
      <c r="F66" s="1" t="str" cm="1">
        <f t="array" ref="F66">_xlfn.LET(
_xlpm.status,UPPER(TRIM(B66&amp;"")),
_xlpm.risk,UPPER(TRIM(C66&amp;"")),
_xlpm.notify,UPPER(TRIM(D66&amp;"")),
_xlpm.form,UPPER(TRIM(E66&amp;"")),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66" s="1" t="str">
        <f t="shared" si="0"/>
        <v>NA</v>
      </c>
      <c r="H66" s="5" t="s">
        <v>530</v>
      </c>
      <c r="I66" s="1" t="s">
        <v>66</v>
      </c>
      <c r="J66" s="1" t="s">
        <v>529</v>
      </c>
      <c r="K66" s="1" t="s">
        <v>526</v>
      </c>
      <c r="L66" s="1" t="s">
        <v>23</v>
      </c>
      <c r="M66" s="1" t="s">
        <v>28</v>
      </c>
      <c r="N66" s="1" t="s">
        <v>528</v>
      </c>
      <c r="O66" s="1" t="s">
        <v>19</v>
      </c>
      <c r="P66" s="1" t="s">
        <v>18</v>
      </c>
      <c r="Q66" s="1" t="s">
        <v>20</v>
      </c>
      <c r="R66" s="1" t="s">
        <v>488</v>
      </c>
      <c r="S66" s="1">
        <v>1</v>
      </c>
      <c r="T66" s="1" t="s">
        <v>531</v>
      </c>
      <c r="U66" t="s">
        <v>1789</v>
      </c>
      <c r="V66" t="s">
        <v>992</v>
      </c>
      <c r="W66" t="s">
        <v>746</v>
      </c>
    </row>
    <row r="67" spans="1:23">
      <c r="A67" s="1" t="s">
        <v>527</v>
      </c>
      <c r="B67" s="1" t="str" cm="1">
        <f t="array" ref="B67">IF(A67="","",_xlfn.IFS(COUNTIF($U:$U,A67)&gt;0,"All uploaded",COUNTIF($V:$V,A67)&gt;0,"Partly uploaded",COUNTIF($W:$X,A67)&gt;0,"Not uploaded",TRUE,"Not classified"))</f>
        <v>All uploaded</v>
      </c>
      <c r="C67" s="1" t="str" cm="1">
        <f t="array" ref="C67">_xlfn.SWITCH(TRIM(I67),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7" s="1" t="s">
        <v>1</v>
      </c>
      <c r="E67" s="1" t="s">
        <v>2</v>
      </c>
      <c r="F67" s="1" t="str" cm="1">
        <f t="array" ref="F67">_xlfn.LET(
_xlpm.status,UPPER(TRIM(B67&amp;"")),
_xlpm.risk,UPPER(TRIM(C67&amp;"")),
_xlpm.notify,UPPER(TRIM(D67&amp;"")),
_xlpm.form,UPPER(TRIM(E67&amp;"")),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67" s="1" t="str">
        <f t="shared" ref="G67:G130" si="1">IF(AND(UPPER(TRIM(C67&amp;""))="MAJOR",OR(TRIM(D67&amp;"")="",UPPER(TRIM(E67&amp;""))="REJECT")),"Required","NA")</f>
        <v>NA</v>
      </c>
      <c r="H67" s="5" t="s">
        <v>534</v>
      </c>
      <c r="I67" s="1" t="s">
        <v>66</v>
      </c>
      <c r="J67" s="1" t="s">
        <v>533</v>
      </c>
      <c r="K67" s="1" t="s">
        <v>526</v>
      </c>
      <c r="L67" s="1" t="s">
        <v>23</v>
      </c>
      <c r="M67" s="1" t="s">
        <v>28</v>
      </c>
      <c r="N67" s="1" t="s">
        <v>528</v>
      </c>
      <c r="O67" s="1" t="s">
        <v>19</v>
      </c>
      <c r="P67" s="1" t="s">
        <v>18</v>
      </c>
      <c r="Q67" s="1" t="s">
        <v>20</v>
      </c>
      <c r="R67" s="1" t="s">
        <v>532</v>
      </c>
      <c r="S67" s="1">
        <v>2</v>
      </c>
      <c r="T67" s="1" t="s">
        <v>140</v>
      </c>
      <c r="U67" t="s">
        <v>1813</v>
      </c>
      <c r="V67" t="s">
        <v>987</v>
      </c>
      <c r="W67" t="s">
        <v>720</v>
      </c>
    </row>
    <row r="68" spans="1:23">
      <c r="A68" s="1" t="s">
        <v>552</v>
      </c>
      <c r="B68" s="1" t="str" cm="1">
        <f t="array" ref="B68">IF(A68="","",_xlfn.IFS(COUNTIF($U:$U,A68)&gt;0,"All uploaded",COUNTIF($V:$V,A68)&gt;0,"Partly uploaded",COUNTIF($W:$X,A68)&gt;0,"Not uploaded",TRUE,"Not classified"))</f>
        <v>Partly uploaded</v>
      </c>
      <c r="C68" s="1" t="str" cm="1">
        <f t="array" ref="C68">_xlfn.SWITCH(TRIM(I68),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8" s="1" t="s">
        <v>1</v>
      </c>
      <c r="E68" s="1" t="s">
        <v>4</v>
      </c>
      <c r="F68" s="1" t="str" cm="1">
        <f t="array" ref="F68">_xlfn.LET(
_xlpm.status,UPPER(TRIM(B68&amp;"")),
_xlpm.risk,UPPER(TRIM(C68&amp;"")),
_xlpm.notify,UPPER(TRIM(D68&amp;"")),
_xlpm.form,UPPER(TRIM(E68&amp;"")),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68" s="1" t="str">
        <f t="shared" si="1"/>
        <v>Required</v>
      </c>
      <c r="H68" s="5" t="s">
        <v>555</v>
      </c>
      <c r="I68" s="1" t="s">
        <v>87</v>
      </c>
      <c r="J68" s="1" t="s">
        <v>554</v>
      </c>
      <c r="K68" s="1" t="s">
        <v>544</v>
      </c>
      <c r="L68" s="1" t="s">
        <v>27</v>
      </c>
      <c r="M68" s="1" t="s">
        <v>28</v>
      </c>
      <c r="N68" s="1" t="s">
        <v>70</v>
      </c>
      <c r="O68" s="1" t="s">
        <v>19</v>
      </c>
      <c r="P68" s="1" t="s">
        <v>18</v>
      </c>
      <c r="Q68" s="1" t="s">
        <v>20</v>
      </c>
      <c r="R68" s="1" t="s">
        <v>553</v>
      </c>
      <c r="S68" s="1">
        <v>18</v>
      </c>
      <c r="T68" s="1" t="s">
        <v>556</v>
      </c>
      <c r="U68" t="s">
        <v>1883</v>
      </c>
      <c r="V68" t="s">
        <v>958</v>
      </c>
      <c r="W68" t="s">
        <v>725</v>
      </c>
    </row>
    <row r="69" spans="1:23">
      <c r="A69" s="1" t="s">
        <v>552</v>
      </c>
      <c r="B69" s="1" t="str" cm="1">
        <f t="array" ref="B69">IF(A69="","",_xlfn.IFS(COUNTIF($U:$U,A69)&gt;0,"All uploaded",COUNTIF($V:$V,A69)&gt;0,"Partly uploaded",COUNTIF($W:$X,A69)&gt;0,"Not uploaded",TRUE,"Not classified"))</f>
        <v>Partly uploaded</v>
      </c>
      <c r="C69" s="1" t="str" cm="1">
        <f t="array" ref="C69">_xlfn.SWITCH(TRIM(I69),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9" s="1" t="s">
        <v>1</v>
      </c>
      <c r="E69" s="1" t="s">
        <v>4</v>
      </c>
      <c r="F69" s="1" t="str" cm="1">
        <f t="array" ref="F69">_xlfn.LET(
_xlpm.status,UPPER(TRIM(B69&amp;"")),
_xlpm.risk,UPPER(TRIM(C69&amp;"")),
_xlpm.notify,UPPER(TRIM(D69&amp;"")),
_xlpm.form,UPPER(TRIM(E69&amp;"")),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69" s="1" t="str">
        <f t="shared" si="1"/>
        <v>Required</v>
      </c>
      <c r="H69" s="5" t="s">
        <v>558</v>
      </c>
      <c r="I69" s="1" t="s">
        <v>87</v>
      </c>
      <c r="J69" s="1" t="s">
        <v>557</v>
      </c>
      <c r="K69" s="1" t="s">
        <v>544</v>
      </c>
      <c r="L69" s="1" t="s">
        <v>27</v>
      </c>
      <c r="M69" s="1" t="s">
        <v>28</v>
      </c>
      <c r="N69" s="1" t="s">
        <v>70</v>
      </c>
      <c r="O69" s="1" t="s">
        <v>19</v>
      </c>
      <c r="P69" s="1" t="s">
        <v>18</v>
      </c>
      <c r="Q69" s="1" t="s">
        <v>20</v>
      </c>
      <c r="R69" s="1" t="s">
        <v>129</v>
      </c>
      <c r="S69" s="1">
        <v>5</v>
      </c>
      <c r="T69" s="1" t="s">
        <v>559</v>
      </c>
      <c r="U69" t="s">
        <v>1872</v>
      </c>
      <c r="V69" t="s">
        <v>999</v>
      </c>
      <c r="W69" t="s">
        <v>736</v>
      </c>
    </row>
    <row r="70" spans="1:23">
      <c r="A70" s="1" t="s">
        <v>552</v>
      </c>
      <c r="B70" s="1" t="str" cm="1">
        <f t="array" ref="B70">IF(A70="","",_xlfn.IFS(COUNTIF($U:$U,A70)&gt;0,"All uploaded",COUNTIF($V:$V,A70)&gt;0,"Partly uploaded",COUNTIF($W:$X,A70)&gt;0,"Not uploaded",TRUE,"Not classified"))</f>
        <v>Partly uploaded</v>
      </c>
      <c r="C70" s="1" t="str" cm="1">
        <f t="array" ref="C70">_xlfn.SWITCH(TRIM(I70),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0" s="1" t="s">
        <v>1</v>
      </c>
      <c r="E70" s="1" t="s">
        <v>4</v>
      </c>
      <c r="F70" s="1" t="str" cm="1">
        <f t="array" ref="F70">_xlfn.LET(
_xlpm.status,UPPER(TRIM(B70&amp;"")),
_xlpm.risk,UPPER(TRIM(C70&amp;"")),
_xlpm.notify,UPPER(TRIM(D70&amp;"")),
_xlpm.form,UPPER(TRIM(E70&amp;"")),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70" s="1" t="str">
        <f t="shared" si="1"/>
        <v>Required</v>
      </c>
      <c r="H70" s="5" t="s">
        <v>561</v>
      </c>
      <c r="I70" s="1" t="s">
        <v>87</v>
      </c>
      <c r="J70" s="1" t="s">
        <v>560</v>
      </c>
      <c r="K70" s="1" t="s">
        <v>544</v>
      </c>
      <c r="L70" s="1" t="s">
        <v>27</v>
      </c>
      <c r="M70" s="1" t="s">
        <v>28</v>
      </c>
      <c r="N70" s="1" t="s">
        <v>70</v>
      </c>
      <c r="O70" s="1" t="s">
        <v>19</v>
      </c>
      <c r="P70" s="1" t="s">
        <v>18</v>
      </c>
      <c r="Q70" s="1" t="s">
        <v>20</v>
      </c>
      <c r="R70" s="1" t="s">
        <v>129</v>
      </c>
      <c r="S70" s="1">
        <v>11</v>
      </c>
      <c r="T70" s="1" t="s">
        <v>562</v>
      </c>
      <c r="U70" t="s">
        <v>1908</v>
      </c>
      <c r="V70" t="s">
        <v>1022</v>
      </c>
      <c r="W70" t="s">
        <v>718</v>
      </c>
    </row>
    <row r="71" spans="1:23">
      <c r="A71" s="1" t="s">
        <v>552</v>
      </c>
      <c r="B71" s="1" t="str" cm="1">
        <f t="array" ref="B71">IF(A71="","",_xlfn.IFS(COUNTIF($U:$U,A71)&gt;0,"All uploaded",COUNTIF($V:$V,A71)&gt;0,"Partly uploaded",COUNTIF($W:$X,A71)&gt;0,"Not uploaded",TRUE,"Not classified"))</f>
        <v>Partly uploaded</v>
      </c>
      <c r="C71" s="1" t="str" cm="1">
        <f t="array" ref="C71">_xlfn.SWITCH(TRIM(I71),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1" s="1" t="s">
        <v>1</v>
      </c>
      <c r="E71" s="1" t="s">
        <v>4</v>
      </c>
      <c r="F71" s="1" t="str" cm="1">
        <f t="array" ref="F71">_xlfn.LET(
_xlpm.status,UPPER(TRIM(B71&amp;"")),
_xlpm.risk,UPPER(TRIM(C71&amp;"")),
_xlpm.notify,UPPER(TRIM(D71&amp;"")),
_xlpm.form,UPPER(TRIM(E71&amp;"")),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71" s="1" t="str">
        <f t="shared" si="1"/>
        <v>Required</v>
      </c>
      <c r="H71" s="5" t="s">
        <v>571</v>
      </c>
      <c r="I71" s="1" t="s">
        <v>87</v>
      </c>
      <c r="J71" s="1" t="s">
        <v>570</v>
      </c>
      <c r="K71" s="1" t="s">
        <v>544</v>
      </c>
      <c r="L71" s="1" t="s">
        <v>27</v>
      </c>
      <c r="M71" s="1" t="s">
        <v>28</v>
      </c>
      <c r="N71" s="1" t="s">
        <v>70</v>
      </c>
      <c r="O71" s="1" t="s">
        <v>19</v>
      </c>
      <c r="P71" s="1" t="s">
        <v>18</v>
      </c>
      <c r="Q71" s="1" t="s">
        <v>20</v>
      </c>
      <c r="R71" s="1" t="s">
        <v>129</v>
      </c>
      <c r="S71" s="1">
        <v>3</v>
      </c>
      <c r="T71" s="1" t="s">
        <v>572</v>
      </c>
      <c r="U71" t="s">
        <v>1951</v>
      </c>
      <c r="V71" t="s">
        <v>1040</v>
      </c>
      <c r="W71" t="s">
        <v>722</v>
      </c>
    </row>
    <row r="72" spans="1:23">
      <c r="A72" s="1" t="s">
        <v>563</v>
      </c>
      <c r="B72" s="1" t="str" cm="1">
        <f t="array" ref="B72">IF(A72="","",_xlfn.IFS(COUNTIF($U:$U,A72)&gt;0,"All uploaded",COUNTIF($V:$V,A72)&gt;0,"Partly uploaded",COUNTIF($W:$X,A72)&gt;0,"Not uploaded",TRUE,"Not classified"))</f>
        <v>All uploaded</v>
      </c>
      <c r="C72" s="1" t="str" cm="1">
        <f t="array" ref="C72">_xlfn.SWITCH(TRIM(I72),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2" s="1" t="s">
        <v>1</v>
      </c>
      <c r="E72" s="1" t="s">
        <v>4</v>
      </c>
      <c r="F72" s="1" t="str" cm="1">
        <f t="array" ref="F72">_xlfn.LET(
_xlpm.status,UPPER(TRIM(B72&amp;"")),
_xlpm.risk,UPPER(TRIM(C72&amp;"")),
_xlpm.notify,UPPER(TRIM(D72&amp;"")),
_xlpm.form,UPPER(TRIM(E72&amp;"")),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72" s="1" t="str">
        <f t="shared" si="1"/>
        <v>Required</v>
      </c>
      <c r="H72" s="5" t="s">
        <v>566</v>
      </c>
      <c r="I72" s="1" t="s">
        <v>87</v>
      </c>
      <c r="J72" s="1" t="s">
        <v>565</v>
      </c>
      <c r="K72" s="1" t="s">
        <v>544</v>
      </c>
      <c r="L72" s="1" t="s">
        <v>27</v>
      </c>
      <c r="M72" s="1" t="s">
        <v>28</v>
      </c>
      <c r="N72" s="1" t="s">
        <v>564</v>
      </c>
      <c r="O72" s="1" t="s">
        <v>19</v>
      </c>
      <c r="P72" s="1" t="s">
        <v>18</v>
      </c>
      <c r="Q72" s="1" t="s">
        <v>20</v>
      </c>
      <c r="R72" s="1" t="s">
        <v>553</v>
      </c>
      <c r="S72" s="1">
        <v>5</v>
      </c>
      <c r="T72" s="1" t="s">
        <v>567</v>
      </c>
      <c r="U72" t="s">
        <v>1987</v>
      </c>
      <c r="V72" t="s">
        <v>1063</v>
      </c>
      <c r="W72" t="s">
        <v>749</v>
      </c>
    </row>
    <row r="73" spans="1:23">
      <c r="A73" s="1" t="s">
        <v>563</v>
      </c>
      <c r="B73" s="1" t="str" cm="1">
        <f t="array" ref="B73">IF(A73="","",_xlfn.IFS(COUNTIF($U:$U,A73)&gt;0,"All uploaded",COUNTIF($V:$V,A73)&gt;0,"Partly uploaded",COUNTIF($W:$X,A73)&gt;0,"Not uploaded",TRUE,"Not classified"))</f>
        <v>All uploaded</v>
      </c>
      <c r="C73" s="1" t="str" cm="1">
        <f t="array" ref="C73">_xlfn.SWITCH(TRIM(I73),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3" s="1" t="s">
        <v>1</v>
      </c>
      <c r="E73" s="1" t="s">
        <v>4</v>
      </c>
      <c r="F73" s="1" t="str" cm="1">
        <f t="array" ref="F73">_xlfn.LET(
_xlpm.status,UPPER(TRIM(B73&amp;"")),
_xlpm.risk,UPPER(TRIM(C73&amp;"")),
_xlpm.notify,UPPER(TRIM(D73&amp;"")),
_xlpm.form,UPPER(TRIM(E73&amp;"")),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73" s="1" t="str">
        <f t="shared" si="1"/>
        <v>Required</v>
      </c>
      <c r="H73" s="5" t="s">
        <v>569</v>
      </c>
      <c r="I73" s="1" t="s">
        <v>87</v>
      </c>
      <c r="J73" s="1" t="s">
        <v>568</v>
      </c>
      <c r="K73" s="1" t="s">
        <v>544</v>
      </c>
      <c r="L73" s="1" t="s">
        <v>27</v>
      </c>
      <c r="M73" s="1" t="s">
        <v>28</v>
      </c>
      <c r="N73" s="1" t="s">
        <v>564</v>
      </c>
      <c r="O73" s="1" t="s">
        <v>19</v>
      </c>
      <c r="P73" s="1" t="s">
        <v>18</v>
      </c>
      <c r="Q73" s="1" t="s">
        <v>20</v>
      </c>
      <c r="R73" s="1" t="s">
        <v>553</v>
      </c>
      <c r="S73" s="1">
        <v>5</v>
      </c>
      <c r="T73" s="1" t="s">
        <v>567</v>
      </c>
      <c r="U73" t="s">
        <v>1993</v>
      </c>
      <c r="V73" t="s">
        <v>1043</v>
      </c>
      <c r="W73" t="s">
        <v>757</v>
      </c>
    </row>
    <row r="74" spans="1:23">
      <c r="A74" s="1" t="s">
        <v>579</v>
      </c>
      <c r="B74" s="1" t="str" cm="1">
        <f t="array" ref="B74">IF(A74="","",_xlfn.IFS(COUNTIF($U:$U,A74)&gt;0,"All uploaded",COUNTIF($V:$V,A74)&gt;0,"Partly uploaded",COUNTIF($W:$X,A74)&gt;0,"Not uploaded",TRUE,"Not classified"))</f>
        <v>All uploaded</v>
      </c>
      <c r="C74" s="1" t="str" cm="1">
        <f t="array" ref="C74">_xlfn.SWITCH(TRIM(I74),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4" s="1" t="s">
        <v>1</v>
      </c>
      <c r="E74" s="1" t="s">
        <v>4</v>
      </c>
      <c r="F74" s="1" t="str" cm="1">
        <f t="array" ref="F74">_xlfn.LET(
_xlpm.status,UPPER(TRIM(B74&amp;"")),
_xlpm.risk,UPPER(TRIM(C74&amp;"")),
_xlpm.notify,UPPER(TRIM(D74&amp;"")),
_xlpm.form,UPPER(TRIM(E74&amp;"")),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74" s="1" t="str">
        <f t="shared" si="1"/>
        <v>Required</v>
      </c>
      <c r="H74" s="5" t="s">
        <v>583</v>
      </c>
      <c r="I74" s="1" t="s">
        <v>47</v>
      </c>
      <c r="J74" s="1" t="s">
        <v>582</v>
      </c>
      <c r="K74" s="1" t="s">
        <v>544</v>
      </c>
      <c r="L74" s="1" t="s">
        <v>27</v>
      </c>
      <c r="M74" s="1" t="s">
        <v>75</v>
      </c>
      <c r="N74" s="1" t="s">
        <v>580</v>
      </c>
      <c r="O74" s="1" t="s">
        <v>19</v>
      </c>
      <c r="P74" s="1" t="s">
        <v>18</v>
      </c>
      <c r="Q74" s="1" t="s">
        <v>20</v>
      </c>
      <c r="R74" s="1" t="s">
        <v>581</v>
      </c>
      <c r="S74" s="1">
        <v>1</v>
      </c>
      <c r="T74" s="1" t="s">
        <v>584</v>
      </c>
      <c r="U74" t="s">
        <v>2145</v>
      </c>
      <c r="V74" t="s">
        <v>1045</v>
      </c>
      <c r="W74" t="s">
        <v>765</v>
      </c>
    </row>
    <row r="75" spans="1:23">
      <c r="A75" s="1" t="s">
        <v>573</v>
      </c>
      <c r="B75" s="1" t="str" cm="1">
        <f t="array" ref="B75">IF(A75="","",_xlfn.IFS(COUNTIF($U:$U,A75)&gt;0,"All uploaded",COUNTIF($V:$V,A75)&gt;0,"Partly uploaded",COUNTIF($W:$X,A75)&gt;0,"Not uploaded",TRUE,"Not classified"))</f>
        <v>Partly uploaded</v>
      </c>
      <c r="C75" s="1" t="str" cm="1">
        <f t="array" ref="C75">_xlfn.SWITCH(TRIM(I75),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5" s="1" t="s">
        <v>1</v>
      </c>
      <c r="E75" s="1" t="s">
        <v>4</v>
      </c>
      <c r="F75" s="1" t="str" cm="1">
        <f t="array" ref="F75">_xlfn.LET(
_xlpm.status,UPPER(TRIM(B75&amp;"")),
_xlpm.risk,UPPER(TRIM(C75&amp;"")),
_xlpm.notify,UPPER(TRIM(D75&amp;"")),
_xlpm.form,UPPER(TRIM(E75&amp;"")),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75" s="1" t="str">
        <f t="shared" si="1"/>
        <v>Required</v>
      </c>
      <c r="H75" s="5" t="s">
        <v>575</v>
      </c>
      <c r="I75" s="1" t="s">
        <v>47</v>
      </c>
      <c r="J75" s="1" t="s">
        <v>574</v>
      </c>
      <c r="K75" s="1" t="s">
        <v>544</v>
      </c>
      <c r="L75" s="1" t="s">
        <v>27</v>
      </c>
      <c r="M75" s="1" t="s">
        <v>28</v>
      </c>
      <c r="N75" s="1" t="s">
        <v>440</v>
      </c>
      <c r="O75" s="1" t="s">
        <v>19</v>
      </c>
      <c r="P75" s="1" t="s">
        <v>18</v>
      </c>
      <c r="Q75" s="1" t="s">
        <v>20</v>
      </c>
      <c r="R75" s="1" t="s">
        <v>123</v>
      </c>
      <c r="S75" s="1">
        <v>2</v>
      </c>
      <c r="T75" s="1" t="s">
        <v>576</v>
      </c>
      <c r="U75" t="s">
        <v>2069</v>
      </c>
      <c r="V75" t="s">
        <v>1075</v>
      </c>
      <c r="W75" t="s">
        <v>756</v>
      </c>
    </row>
    <row r="76" spans="1:23">
      <c r="A76" s="1" t="s">
        <v>545</v>
      </c>
      <c r="B76" s="1" t="str" cm="1">
        <f t="array" ref="B76">IF(A76="","",_xlfn.IFS(COUNTIF($U:$U,A76)&gt;0,"All uploaded",COUNTIF($V:$V,A76)&gt;0,"Partly uploaded",COUNTIF($W:$X,A76)&gt;0,"Not uploaded",TRUE,"Not classified"))</f>
        <v>Partly uploaded</v>
      </c>
      <c r="C76" s="1" t="str" cm="1">
        <f t="array" ref="C76">_xlfn.SWITCH(TRIM(I76),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6" s="1" t="s">
        <v>1</v>
      </c>
      <c r="E76" s="1" t="s">
        <v>4</v>
      </c>
      <c r="F76" s="1" t="str" cm="1">
        <f t="array" ref="F76">_xlfn.LET(
_xlpm.status,UPPER(TRIM(B76&amp;"")),
_xlpm.risk,UPPER(TRIM(C76&amp;"")),
_xlpm.notify,UPPER(TRIM(D76&amp;"")),
_xlpm.form,UPPER(TRIM(E76&amp;"")),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76" s="1" t="str">
        <f t="shared" si="1"/>
        <v>NA</v>
      </c>
      <c r="H76" s="5" t="s">
        <v>548</v>
      </c>
      <c r="I76" s="1" t="s">
        <v>29</v>
      </c>
      <c r="J76" s="1" t="s">
        <v>547</v>
      </c>
      <c r="K76" s="1" t="s">
        <v>544</v>
      </c>
      <c r="L76" s="1" t="s">
        <v>23</v>
      </c>
      <c r="M76" s="1" t="s">
        <v>28</v>
      </c>
      <c r="N76" s="1" t="s">
        <v>349</v>
      </c>
      <c r="O76" s="1" t="s">
        <v>19</v>
      </c>
      <c r="P76" s="1" t="s">
        <v>18</v>
      </c>
      <c r="Q76" s="1" t="s">
        <v>20</v>
      </c>
      <c r="R76" s="1" t="s">
        <v>546</v>
      </c>
      <c r="S76" s="1">
        <v>7</v>
      </c>
      <c r="T76" s="1" t="s">
        <v>549</v>
      </c>
      <c r="U76" t="s">
        <v>2086</v>
      </c>
      <c r="V76" t="s">
        <v>1094</v>
      </c>
      <c r="W76" t="s">
        <v>766</v>
      </c>
    </row>
    <row r="77" spans="1:23">
      <c r="A77" s="1" t="s">
        <v>545</v>
      </c>
      <c r="B77" s="1" t="str" cm="1">
        <f t="array" ref="B77">IF(A77="","",_xlfn.IFS(COUNTIF($U:$U,A77)&gt;0,"All uploaded",COUNTIF($V:$V,A77)&gt;0,"Partly uploaded",COUNTIF($W:$X,A77)&gt;0,"Not uploaded",TRUE,"Not classified"))</f>
        <v>Partly uploaded</v>
      </c>
      <c r="C77" s="1" t="str" cm="1">
        <f t="array" ref="C77">_xlfn.SWITCH(TRIM(I77),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7" s="1" t="s">
        <v>1</v>
      </c>
      <c r="E77" s="1" t="s">
        <v>2</v>
      </c>
      <c r="F77" s="1" t="str" cm="1">
        <f t="array" ref="F77">_xlfn.LET(
_xlpm.status,UPPER(TRIM(B77&amp;"")),
_xlpm.risk,UPPER(TRIM(C77&amp;"")),
_xlpm.notify,UPPER(TRIM(D77&amp;"")),
_xlpm.form,UPPER(TRIM(E77&amp;"")),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77" s="1" t="str">
        <f t="shared" si="1"/>
        <v>NA</v>
      </c>
      <c r="H77" s="5" t="s">
        <v>548</v>
      </c>
      <c r="I77" s="1" t="s">
        <v>29</v>
      </c>
      <c r="J77" s="1" t="s">
        <v>551</v>
      </c>
      <c r="K77" s="1" t="s">
        <v>544</v>
      </c>
      <c r="L77" s="1" t="s">
        <v>23</v>
      </c>
      <c r="M77" s="1" t="s">
        <v>28</v>
      </c>
      <c r="N77" s="1" t="s">
        <v>349</v>
      </c>
      <c r="O77" s="1" t="s">
        <v>19</v>
      </c>
      <c r="P77" s="1" t="s">
        <v>18</v>
      </c>
      <c r="Q77" s="1" t="s">
        <v>20</v>
      </c>
      <c r="R77" s="1" t="s">
        <v>550</v>
      </c>
      <c r="S77" s="1">
        <v>7</v>
      </c>
      <c r="T77" s="1" t="s">
        <v>549</v>
      </c>
      <c r="U77" t="s">
        <v>2131</v>
      </c>
      <c r="V77" t="s">
        <v>1118</v>
      </c>
      <c r="W77" t="s">
        <v>768</v>
      </c>
    </row>
    <row r="78" spans="1:23">
      <c r="A78" s="1" t="s">
        <v>586</v>
      </c>
      <c r="B78" s="1" t="str" cm="1">
        <f t="array" ref="B78">IF(A78="","",_xlfn.IFS(COUNTIF($U:$U,A78)&gt;0,"All uploaded",COUNTIF($V:$V,A78)&gt;0,"Partly uploaded",COUNTIF($W:$X,A78)&gt;0,"Not uploaded",TRUE,"Not classified"))</f>
        <v>All uploaded</v>
      </c>
      <c r="C78" s="1" t="str" cm="1">
        <f t="array" ref="C78">_xlfn.SWITCH(TRIM(I78),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8" s="1" t="s">
        <v>1</v>
      </c>
      <c r="E78" s="1" t="s">
        <v>4</v>
      </c>
      <c r="F78" s="1" t="str" cm="1">
        <f t="array" ref="F78">_xlfn.LET(
_xlpm.status,UPPER(TRIM(B78&amp;"")),
_xlpm.risk,UPPER(TRIM(C78&amp;"")),
_xlpm.notify,UPPER(TRIM(D78&amp;"")),
_xlpm.form,UPPER(TRIM(E78&amp;"")),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78" s="1" t="str">
        <f t="shared" si="1"/>
        <v>Required</v>
      </c>
      <c r="H78" s="5" t="s">
        <v>589</v>
      </c>
      <c r="I78" s="1" t="s">
        <v>342</v>
      </c>
      <c r="J78" s="1" t="s">
        <v>588</v>
      </c>
      <c r="K78" s="1" t="s">
        <v>585</v>
      </c>
      <c r="L78" s="1" t="s">
        <v>27</v>
      </c>
      <c r="M78" s="1" t="s">
        <v>28</v>
      </c>
      <c r="N78" s="1" t="s">
        <v>587</v>
      </c>
      <c r="O78" s="1" t="s">
        <v>19</v>
      </c>
      <c r="P78" s="1" t="s">
        <v>18</v>
      </c>
      <c r="Q78" s="1" t="s">
        <v>20</v>
      </c>
      <c r="R78" s="1" t="s">
        <v>553</v>
      </c>
      <c r="S78" s="1">
        <v>3</v>
      </c>
      <c r="T78" s="1" t="s">
        <v>590</v>
      </c>
      <c r="U78" t="s">
        <v>2109</v>
      </c>
      <c r="V78" t="s">
        <v>1131</v>
      </c>
      <c r="W78" t="s">
        <v>770</v>
      </c>
    </row>
    <row r="79" spans="1:23">
      <c r="A79" s="1" t="s">
        <v>595</v>
      </c>
      <c r="B79" s="1" t="str" cm="1">
        <f t="array" ref="B79">IF(A79="","",_xlfn.IFS(COUNTIF($U:$U,A79)&gt;0,"All uploaded",COUNTIF($V:$V,A79)&gt;0,"Partly uploaded",COUNTIF($W:$X,A79)&gt;0,"Not uploaded",TRUE,"Not classified"))</f>
        <v>Partly uploaded</v>
      </c>
      <c r="C79" s="1" t="str" cm="1">
        <f t="array" ref="C79">_xlfn.SWITCH(TRIM(I79),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9" s="1" t="s">
        <v>1</v>
      </c>
      <c r="E79" s="1" t="s">
        <v>4</v>
      </c>
      <c r="F79" s="1" t="str" cm="1">
        <f t="array" ref="F79">_xlfn.LET(
_xlpm.status,UPPER(TRIM(B79&amp;"")),
_xlpm.risk,UPPER(TRIM(C79&amp;"")),
_xlpm.notify,UPPER(TRIM(D79&amp;"")),
_xlpm.form,UPPER(TRIM(E79&amp;"")),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79" s="1" t="str">
        <f t="shared" si="1"/>
        <v>NA</v>
      </c>
      <c r="H79" s="5" t="s">
        <v>598</v>
      </c>
      <c r="I79" s="1" t="s">
        <v>66</v>
      </c>
      <c r="J79" s="1" t="s">
        <v>597</v>
      </c>
      <c r="K79" s="1" t="s">
        <v>594</v>
      </c>
      <c r="L79" s="1" t="s">
        <v>23</v>
      </c>
      <c r="M79" s="1" t="s">
        <v>28</v>
      </c>
      <c r="N79" s="1" t="s">
        <v>596</v>
      </c>
      <c r="O79" s="1" t="s">
        <v>19</v>
      </c>
      <c r="P79" s="1" t="s">
        <v>18</v>
      </c>
      <c r="Q79" s="1" t="s">
        <v>20</v>
      </c>
      <c r="R79" s="1" t="s">
        <v>92</v>
      </c>
      <c r="S79" s="1">
        <v>5</v>
      </c>
      <c r="T79" s="1" t="s">
        <v>599</v>
      </c>
      <c r="U79" t="s">
        <v>2138</v>
      </c>
      <c r="V79" t="s">
        <v>1135</v>
      </c>
      <c r="W79" t="s">
        <v>789</v>
      </c>
    </row>
    <row r="80" spans="1:23">
      <c r="A80" s="1" t="s">
        <v>595</v>
      </c>
      <c r="B80" s="1" t="str" cm="1">
        <f t="array" ref="B80">IF(A80="","",_xlfn.IFS(COUNTIF($U:$U,A80)&gt;0,"All uploaded",COUNTIF($V:$V,A80)&gt;0,"Partly uploaded",COUNTIF($W:$X,A80)&gt;0,"Not uploaded",TRUE,"Not classified"))</f>
        <v>Partly uploaded</v>
      </c>
      <c r="C80" s="1" t="str" cm="1">
        <f t="array" ref="C80">_xlfn.SWITCH(TRIM(I80),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0" s="1" t="s">
        <v>1</v>
      </c>
      <c r="E80" s="1" t="s">
        <v>4</v>
      </c>
      <c r="F80" s="1" t="str" cm="1">
        <f t="array" ref="F80">_xlfn.LET(
_xlpm.status,UPPER(TRIM(B80&amp;"")),
_xlpm.risk,UPPER(TRIM(C80&amp;"")),
_xlpm.notify,UPPER(TRIM(D80&amp;"")),
_xlpm.form,UPPER(TRIM(E80&amp;"")),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80" s="1" t="str">
        <f t="shared" si="1"/>
        <v>NA</v>
      </c>
      <c r="H80" s="5" t="s">
        <v>601</v>
      </c>
      <c r="I80" s="1" t="s">
        <v>66</v>
      </c>
      <c r="J80" s="1" t="s">
        <v>600</v>
      </c>
      <c r="K80" s="1" t="s">
        <v>594</v>
      </c>
      <c r="L80" s="1" t="s">
        <v>23</v>
      </c>
      <c r="M80" s="1" t="s">
        <v>28</v>
      </c>
      <c r="N80" s="1" t="s">
        <v>596</v>
      </c>
      <c r="O80" s="1" t="s">
        <v>19</v>
      </c>
      <c r="P80" s="1" t="s">
        <v>18</v>
      </c>
      <c r="Q80" s="1" t="s">
        <v>20</v>
      </c>
      <c r="R80" s="1" t="s">
        <v>125</v>
      </c>
      <c r="S80" s="1">
        <v>5</v>
      </c>
      <c r="T80" s="1" t="s">
        <v>599</v>
      </c>
      <c r="U80" t="s">
        <v>2157</v>
      </c>
      <c r="V80" t="s">
        <v>1129</v>
      </c>
      <c r="W80" t="s">
        <v>808</v>
      </c>
    </row>
    <row r="81" spans="1:23">
      <c r="A81" s="1" t="s">
        <v>608</v>
      </c>
      <c r="B81" s="1" t="str" cm="1">
        <f t="array" ref="B81">IF(A81="","",_xlfn.IFS(COUNTIF($U:$U,A81)&gt;0,"All uploaded",COUNTIF($V:$V,A81)&gt;0,"Partly uploaded",COUNTIF($W:$X,A81)&gt;0,"Not uploaded",TRUE,"Not classified"))</f>
        <v>Partly uploaded</v>
      </c>
      <c r="C81" s="1" t="str" cm="1">
        <f t="array" ref="C81">_xlfn.SWITCH(TRIM(I81),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1" s="1" t="s">
        <v>1</v>
      </c>
      <c r="E81" s="1" t="s">
        <v>4</v>
      </c>
      <c r="F81" s="1" t="str" cm="1">
        <f t="array" ref="F81">_xlfn.LET(
_xlpm.status,UPPER(TRIM(B81&amp;"")),
_xlpm.risk,UPPER(TRIM(C81&amp;"")),
_xlpm.notify,UPPER(TRIM(D81&amp;"")),
_xlpm.form,UPPER(TRIM(E81&amp;"")),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81" s="1" t="str">
        <f t="shared" si="1"/>
        <v>Required</v>
      </c>
      <c r="H81" s="5" t="s">
        <v>611</v>
      </c>
      <c r="I81" s="1" t="s">
        <v>26</v>
      </c>
      <c r="J81" s="1" t="s">
        <v>610</v>
      </c>
      <c r="K81" s="1" t="s">
        <v>602</v>
      </c>
      <c r="L81" s="1" t="s">
        <v>25</v>
      </c>
      <c r="M81" s="1" t="s">
        <v>28</v>
      </c>
      <c r="N81" s="1" t="s">
        <v>107</v>
      </c>
      <c r="O81" s="1" t="s">
        <v>19</v>
      </c>
      <c r="P81" s="1" t="s">
        <v>18</v>
      </c>
      <c r="Q81" s="1" t="s">
        <v>20</v>
      </c>
      <c r="R81" s="1" t="s">
        <v>609</v>
      </c>
      <c r="S81" s="1">
        <v>1</v>
      </c>
      <c r="T81" s="1" t="s">
        <v>612</v>
      </c>
      <c r="U81" t="s">
        <v>2221</v>
      </c>
      <c r="V81" t="s">
        <v>1181</v>
      </c>
      <c r="W81" t="s">
        <v>806</v>
      </c>
    </row>
    <row r="82" spans="1:23">
      <c r="A82" s="1" t="s">
        <v>603</v>
      </c>
      <c r="B82" s="1" t="str" cm="1">
        <f t="array" ref="B82">IF(A82="","",_xlfn.IFS(COUNTIF($U:$U,A82)&gt;0,"All uploaded",COUNTIF($V:$V,A82)&gt;0,"Partly uploaded",COUNTIF($W:$X,A82)&gt;0,"Not uploaded",TRUE,"Not classified"))</f>
        <v>All uploaded</v>
      </c>
      <c r="C82" s="1" t="str" cm="1">
        <f t="array" ref="C82">_xlfn.SWITCH(TRIM(I82),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2" s="1" t="s">
        <v>1</v>
      </c>
      <c r="E82" s="1" t="s">
        <v>4</v>
      </c>
      <c r="F82" s="1" t="str" cm="1">
        <f t="array" ref="F82">_xlfn.LET(
_xlpm.status,UPPER(TRIM(B82&amp;"")),
_xlpm.risk,UPPER(TRIM(C82&amp;"")),
_xlpm.notify,UPPER(TRIM(D82&amp;"")),
_xlpm.form,UPPER(TRIM(E82&amp;"")),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82" s="1" t="str">
        <f t="shared" si="1"/>
        <v>NA</v>
      </c>
      <c r="H82" s="5" t="s">
        <v>605</v>
      </c>
      <c r="I82" s="1" t="s">
        <v>39</v>
      </c>
      <c r="J82" s="1" t="s">
        <v>604</v>
      </c>
      <c r="K82" s="1" t="s">
        <v>602</v>
      </c>
      <c r="L82" s="1" t="s">
        <v>22</v>
      </c>
      <c r="M82" s="1" t="s">
        <v>77</v>
      </c>
      <c r="N82" s="1" t="s">
        <v>397</v>
      </c>
      <c r="O82" s="1" t="s">
        <v>19</v>
      </c>
      <c r="P82" s="1" t="s">
        <v>18</v>
      </c>
      <c r="Q82" s="1" t="s">
        <v>20</v>
      </c>
      <c r="R82" s="1" t="s">
        <v>203</v>
      </c>
      <c r="S82" s="1">
        <v>9</v>
      </c>
      <c r="T82" s="1" t="s">
        <v>606</v>
      </c>
      <c r="U82" t="s">
        <v>2203</v>
      </c>
      <c r="V82" t="s">
        <v>1182</v>
      </c>
      <c r="W82" t="s">
        <v>858</v>
      </c>
    </row>
    <row r="83" spans="1:23">
      <c r="A83" s="1" t="s">
        <v>620</v>
      </c>
      <c r="B83" s="1" t="str" cm="1">
        <f t="array" ref="B83">IF(A83="","",_xlfn.IFS(COUNTIF($U:$U,A83)&gt;0,"All uploaded",COUNTIF($V:$V,A83)&gt;0,"Partly uploaded",COUNTIF($W:$X,A83)&gt;0,"Not uploaded",TRUE,"Not classified"))</f>
        <v>All uploaded</v>
      </c>
      <c r="C83" s="1" t="str" cm="1">
        <f t="array" ref="C83">_xlfn.SWITCH(TRIM(I83),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3" s="1" t="s">
        <v>0</v>
      </c>
      <c r="E83" s="1" t="s">
        <v>4</v>
      </c>
      <c r="F83" s="1" t="str" cm="1">
        <f t="array" ref="F83">_xlfn.LET(
_xlpm.status,UPPER(TRIM(B83&amp;"")),
_xlpm.risk,UPPER(TRIM(C83&amp;"")),
_xlpm.notify,UPPER(TRIM(D83&amp;"")),
_xlpm.form,UPPER(TRIM(E83&amp;"")),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83" s="1" t="str">
        <f t="shared" si="1"/>
        <v>NA</v>
      </c>
      <c r="H83" s="5" t="s">
        <v>624</v>
      </c>
      <c r="I83" s="1" t="s">
        <v>29</v>
      </c>
      <c r="J83" s="1" t="s">
        <v>623</v>
      </c>
      <c r="K83" s="1" t="s">
        <v>618</v>
      </c>
      <c r="L83" s="1" t="s">
        <v>23</v>
      </c>
      <c r="M83" s="1" t="s">
        <v>75</v>
      </c>
      <c r="N83" s="1" t="s">
        <v>621</v>
      </c>
      <c r="O83" s="1" t="s">
        <v>19</v>
      </c>
      <c r="P83" s="1" t="s">
        <v>18</v>
      </c>
      <c r="Q83" s="1" t="s">
        <v>20</v>
      </c>
      <c r="R83" s="1" t="s">
        <v>622</v>
      </c>
      <c r="S83" s="1">
        <v>1</v>
      </c>
      <c r="T83" s="1" t="s">
        <v>625</v>
      </c>
      <c r="U83" t="s">
        <v>2198</v>
      </c>
      <c r="V83" t="s">
        <v>1227</v>
      </c>
      <c r="W83" t="s">
        <v>826</v>
      </c>
    </row>
    <row r="84" spans="1:23">
      <c r="A84" s="1" t="s">
        <v>620</v>
      </c>
      <c r="B84" s="1" t="str" cm="1">
        <f t="array" ref="B84">IF(A84="","",_xlfn.IFS(COUNTIF($U:$U,A84)&gt;0,"All uploaded",COUNTIF($V:$V,A84)&gt;0,"Partly uploaded",COUNTIF($W:$X,A84)&gt;0,"Not uploaded",TRUE,"Not classified"))</f>
        <v>All uploaded</v>
      </c>
      <c r="C84" s="1" t="str" cm="1">
        <f t="array" ref="C84">_xlfn.SWITCH(TRIM(I84),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4" s="1" t="s">
        <v>1</v>
      </c>
      <c r="E84" s="1" t="s">
        <v>2</v>
      </c>
      <c r="F84" s="1" t="str" cm="1">
        <f t="array" ref="F84">_xlfn.LET(
_xlpm.status,UPPER(TRIM(B84&amp;"")),
_xlpm.risk,UPPER(TRIM(C84&amp;"")),
_xlpm.notify,UPPER(TRIM(D84&amp;"")),
_xlpm.form,UPPER(TRIM(E84&amp;"")),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84" s="1" t="str">
        <f t="shared" si="1"/>
        <v>NA</v>
      </c>
      <c r="H84" s="5" t="s">
        <v>624</v>
      </c>
      <c r="I84" s="1" t="s">
        <v>29</v>
      </c>
      <c r="J84" s="1" t="s">
        <v>626</v>
      </c>
      <c r="K84" s="1" t="s">
        <v>618</v>
      </c>
      <c r="L84" s="1" t="s">
        <v>23</v>
      </c>
      <c r="M84" s="1" t="s">
        <v>28</v>
      </c>
      <c r="N84" s="1" t="s">
        <v>621</v>
      </c>
      <c r="O84" s="1" t="s">
        <v>19</v>
      </c>
      <c r="P84" s="1" t="s">
        <v>18</v>
      </c>
      <c r="Q84" s="1" t="s">
        <v>20</v>
      </c>
      <c r="R84" s="1" t="s">
        <v>114</v>
      </c>
      <c r="S84" s="1">
        <v>2</v>
      </c>
      <c r="T84" s="1" t="s">
        <v>627</v>
      </c>
      <c r="U84" t="s">
        <v>2173</v>
      </c>
      <c r="V84" t="s">
        <v>1212</v>
      </c>
      <c r="W84" t="s">
        <v>830</v>
      </c>
    </row>
    <row r="85" spans="1:23">
      <c r="A85" s="1" t="s">
        <v>628</v>
      </c>
      <c r="B85" s="1" t="str" cm="1">
        <f t="array" ref="B85">IF(A85="","",_xlfn.IFS(COUNTIF($U:$U,A85)&gt;0,"All uploaded",COUNTIF($V:$V,A85)&gt;0,"Partly uploaded",COUNTIF($W:$X,A85)&gt;0,"Not uploaded",TRUE,"Not classified"))</f>
        <v>Partly uploaded</v>
      </c>
      <c r="C85" s="1" t="str" cm="1">
        <f t="array" ref="C85">_xlfn.SWITCH(TRIM(I85),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5" s="1" t="s">
        <v>0</v>
      </c>
      <c r="E85" s="1" t="s">
        <v>4</v>
      </c>
      <c r="F85" s="1" t="str" cm="1">
        <f t="array" ref="F85">_xlfn.LET(
_xlpm.status,UPPER(TRIM(B85&amp;"")),
_xlpm.risk,UPPER(TRIM(C85&amp;"")),
_xlpm.notify,UPPER(TRIM(D85&amp;"")),
_xlpm.form,UPPER(TRIM(E85&amp;"")),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85" s="1" t="str">
        <f t="shared" si="1"/>
        <v>NA</v>
      </c>
      <c r="H85" s="5" t="s">
        <v>632</v>
      </c>
      <c r="I85" s="1" t="s">
        <v>29</v>
      </c>
      <c r="J85" s="1" t="s">
        <v>631</v>
      </c>
      <c r="K85" s="1" t="s">
        <v>618</v>
      </c>
      <c r="L85" s="1" t="s">
        <v>23</v>
      </c>
      <c r="M85" s="1" t="s">
        <v>75</v>
      </c>
      <c r="N85" s="1" t="s">
        <v>629</v>
      </c>
      <c r="O85" s="1" t="s">
        <v>19</v>
      </c>
      <c r="P85" s="1" t="s">
        <v>18</v>
      </c>
      <c r="Q85" s="1" t="s">
        <v>20</v>
      </c>
      <c r="R85" s="1" t="s">
        <v>630</v>
      </c>
      <c r="S85" s="1">
        <v>3</v>
      </c>
      <c r="T85" s="1" t="s">
        <v>633</v>
      </c>
      <c r="U85" t="s">
        <v>2182</v>
      </c>
      <c r="V85" t="s">
        <v>1221</v>
      </c>
      <c r="W85" t="s">
        <v>829</v>
      </c>
    </row>
    <row r="86" spans="1:23">
      <c r="A86" s="1" t="s">
        <v>628</v>
      </c>
      <c r="B86" s="1" t="str" cm="1">
        <f t="array" ref="B86">IF(A86="","",_xlfn.IFS(COUNTIF($U:$U,A86)&gt;0,"All uploaded",COUNTIF($V:$V,A86)&gt;0,"Partly uploaded",COUNTIF($W:$X,A86)&gt;0,"Not uploaded",TRUE,"Not classified"))</f>
        <v>Partly uploaded</v>
      </c>
      <c r="C86" s="1" t="str" cm="1">
        <f t="array" ref="C86">_xlfn.SWITCH(TRIM(I86),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6" s="1" t="s">
        <v>1</v>
      </c>
      <c r="E86" s="1" t="s">
        <v>2</v>
      </c>
      <c r="F86" s="1" t="str" cm="1">
        <f t="array" ref="F86">_xlfn.LET(
_xlpm.status,UPPER(TRIM(B86&amp;"")),
_xlpm.risk,UPPER(TRIM(C86&amp;"")),
_xlpm.notify,UPPER(TRIM(D86&amp;"")),
_xlpm.form,UPPER(TRIM(E86&amp;"")),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86" s="1" t="str">
        <f t="shared" si="1"/>
        <v>NA</v>
      </c>
      <c r="H86" s="5" t="s">
        <v>632</v>
      </c>
      <c r="I86" s="1" t="s">
        <v>29</v>
      </c>
      <c r="J86" s="1" t="s">
        <v>634</v>
      </c>
      <c r="K86" s="1" t="s">
        <v>618</v>
      </c>
      <c r="L86" s="1" t="s">
        <v>23</v>
      </c>
      <c r="M86" s="1" t="s">
        <v>28</v>
      </c>
      <c r="N86" s="1" t="s">
        <v>629</v>
      </c>
      <c r="O86" s="1" t="s">
        <v>19</v>
      </c>
      <c r="P86" s="1" t="s">
        <v>18</v>
      </c>
      <c r="Q86" s="1" t="s">
        <v>20</v>
      </c>
      <c r="R86" s="1" t="s">
        <v>93</v>
      </c>
      <c r="S86" s="1">
        <v>3</v>
      </c>
      <c r="T86" s="1" t="s">
        <v>633</v>
      </c>
      <c r="U86" t="s">
        <v>2229</v>
      </c>
      <c r="V86" t="s">
        <v>1232</v>
      </c>
      <c r="W86" t="s">
        <v>861</v>
      </c>
    </row>
    <row r="87" spans="1:23">
      <c r="A87" s="1" t="s">
        <v>619</v>
      </c>
      <c r="B87" s="1" t="str" cm="1">
        <f t="array" ref="B87">IF(A87="","",_xlfn.IFS(COUNTIF($U:$U,A87)&gt;0,"All uploaded",COUNTIF($V:$V,A87)&gt;0,"Partly uploaded",COUNTIF($W:$X,A87)&gt;0,"Not uploaded",TRUE,"Not classified"))</f>
        <v>Partly uploaded</v>
      </c>
      <c r="C87" s="1" t="str" cm="1">
        <f t="array" ref="C87">_xlfn.SWITCH(TRIM(I87),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7" s="1" t="s">
        <v>1</v>
      </c>
      <c r="E87" s="1" t="s">
        <v>4</v>
      </c>
      <c r="F87" s="1" t="str" cm="1">
        <f t="array" ref="F87">_xlfn.LET(
_xlpm.status,UPPER(TRIM(B87&amp;"")),
_xlpm.risk,UPPER(TRIM(C87&amp;"")),
_xlpm.notify,UPPER(TRIM(D87&amp;"")),
_xlpm.form,UPPER(TRIM(E87&amp;"")),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87" s="1" t="str">
        <f t="shared" si="1"/>
        <v>NA</v>
      </c>
      <c r="H87" s="5" t="s">
        <v>636</v>
      </c>
      <c r="I87" s="1" t="s">
        <v>29</v>
      </c>
      <c r="J87" s="1" t="s">
        <v>635</v>
      </c>
      <c r="K87" s="1" t="s">
        <v>618</v>
      </c>
      <c r="L87" s="1" t="s">
        <v>35</v>
      </c>
      <c r="M87" s="1" t="s">
        <v>75</v>
      </c>
      <c r="N87" s="1" t="s">
        <v>85</v>
      </c>
      <c r="O87" s="1" t="s">
        <v>19</v>
      </c>
      <c r="P87" s="1" t="s">
        <v>18</v>
      </c>
      <c r="Q87" s="1" t="s">
        <v>20</v>
      </c>
      <c r="R87" s="1" t="s">
        <v>461</v>
      </c>
      <c r="S87" s="1">
        <v>1</v>
      </c>
      <c r="T87" s="1" t="s">
        <v>637</v>
      </c>
      <c r="U87" t="s">
        <v>2236</v>
      </c>
      <c r="V87" t="s">
        <v>1237</v>
      </c>
      <c r="W87" t="s">
        <v>878</v>
      </c>
    </row>
    <row r="88" spans="1:23">
      <c r="A88" s="1" t="s">
        <v>639</v>
      </c>
      <c r="B88" s="1" t="str" cm="1">
        <f t="array" ref="B88">IF(A88="","",_xlfn.IFS(COUNTIF($U:$U,A88)&gt;0,"All uploaded",COUNTIF($V:$V,A88)&gt;0,"Partly uploaded",COUNTIF($W:$X,A88)&gt;0,"Not uploaded",TRUE,"Not classified"))</f>
        <v>Partly uploaded</v>
      </c>
      <c r="C88" s="1" t="str" cm="1">
        <f t="array" ref="C88">_xlfn.SWITCH(TRIM(I88),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8" s="1" t="s">
        <v>1</v>
      </c>
      <c r="E88" s="1" t="s">
        <v>4</v>
      </c>
      <c r="F88" s="1" t="str" cm="1">
        <f t="array" ref="F88">_xlfn.LET(
_xlpm.status,UPPER(TRIM(B88&amp;"")),
_xlpm.risk,UPPER(TRIM(C88&amp;"")),
_xlpm.notify,UPPER(TRIM(D88&amp;"")),
_xlpm.form,UPPER(TRIM(E88&amp;"")),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88" s="1" t="str">
        <f t="shared" si="1"/>
        <v>Required</v>
      </c>
      <c r="H88" s="5" t="s">
        <v>643</v>
      </c>
      <c r="I88" s="1" t="s">
        <v>26</v>
      </c>
      <c r="J88" s="1" t="s">
        <v>642</v>
      </c>
      <c r="K88" s="1" t="s">
        <v>638</v>
      </c>
      <c r="L88" s="1" t="s">
        <v>25</v>
      </c>
      <c r="M88" s="1" t="s">
        <v>28</v>
      </c>
      <c r="N88" s="1" t="s">
        <v>640</v>
      </c>
      <c r="O88" s="1" t="s">
        <v>19</v>
      </c>
      <c r="P88" s="1" t="s">
        <v>18</v>
      </c>
      <c r="Q88" s="1" t="s">
        <v>20</v>
      </c>
      <c r="R88" s="1" t="s">
        <v>641</v>
      </c>
      <c r="S88" s="1">
        <v>5</v>
      </c>
      <c r="T88" s="1" t="s">
        <v>644</v>
      </c>
      <c r="U88" t="s">
        <v>2256</v>
      </c>
      <c r="V88" t="s">
        <v>1249</v>
      </c>
      <c r="W88" t="s">
        <v>864</v>
      </c>
    </row>
    <row r="89" spans="1:23">
      <c r="A89" s="1" t="s">
        <v>665</v>
      </c>
      <c r="B89" s="1" t="str" cm="1">
        <f t="array" ref="B89">IF(A89="","",_xlfn.IFS(COUNTIF($U:$U,A89)&gt;0,"All uploaded",COUNTIF($V:$V,A89)&gt;0,"Partly uploaded",COUNTIF($W:$X,A89)&gt;0,"Not uploaded",TRUE,"Not classified"))</f>
        <v>All uploaded</v>
      </c>
      <c r="C89" s="1" t="str" cm="1">
        <f t="array" ref="C89">_xlfn.SWITCH(TRIM(I89),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9" s="1" t="s">
        <v>1</v>
      </c>
      <c r="E89" s="1" t="s">
        <v>4</v>
      </c>
      <c r="F89" s="1" t="str" cm="1">
        <f t="array" ref="F89">_xlfn.LET(
_xlpm.status,UPPER(TRIM(B89&amp;"")),
_xlpm.risk,UPPER(TRIM(C89&amp;"")),
_xlpm.notify,UPPER(TRIM(D89&amp;"")),
_xlpm.form,UPPER(TRIM(E89&amp;"")),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89" s="1" t="str">
        <f t="shared" si="1"/>
        <v>Required</v>
      </c>
      <c r="H89" s="5" t="s">
        <v>668</v>
      </c>
      <c r="I89" s="1" t="s">
        <v>87</v>
      </c>
      <c r="J89" s="1" t="s">
        <v>667</v>
      </c>
      <c r="K89" s="1" t="s">
        <v>646</v>
      </c>
      <c r="L89" s="1" t="s">
        <v>27</v>
      </c>
      <c r="M89" s="1" t="s">
        <v>28</v>
      </c>
      <c r="N89" s="1" t="s">
        <v>666</v>
      </c>
      <c r="O89" s="1" t="s">
        <v>19</v>
      </c>
      <c r="P89" s="1" t="s">
        <v>18</v>
      </c>
      <c r="Q89" s="1" t="s">
        <v>20</v>
      </c>
      <c r="R89" s="1" t="s">
        <v>661</v>
      </c>
      <c r="S89" s="1">
        <v>2</v>
      </c>
      <c r="T89" s="1" t="s">
        <v>669</v>
      </c>
      <c r="U89" t="s">
        <v>2408</v>
      </c>
      <c r="V89" t="s">
        <v>1283</v>
      </c>
      <c r="W89" t="s">
        <v>873</v>
      </c>
    </row>
    <row r="90" spans="1:23">
      <c r="A90" s="1" t="s">
        <v>648</v>
      </c>
      <c r="B90" s="1" t="str" cm="1">
        <f t="array" ref="B90">IF(A90="","",_xlfn.IFS(COUNTIF($U:$U,A90)&gt;0,"All uploaded",COUNTIF($V:$V,A90)&gt;0,"Partly uploaded",COUNTIF($W:$X,A90)&gt;0,"Not uploaded",TRUE,"Not classified"))</f>
        <v>All uploaded</v>
      </c>
      <c r="C90" s="1" t="str" cm="1">
        <f t="array" ref="C90">_xlfn.SWITCH(TRIM(I90),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0" s="1" t="s">
        <v>1</v>
      </c>
      <c r="E90" s="1" t="s">
        <v>4</v>
      </c>
      <c r="F90" s="1" t="str" cm="1">
        <f t="array" ref="F90">_xlfn.LET(
_xlpm.status,UPPER(TRIM(B90&amp;"")),
_xlpm.risk,UPPER(TRIM(C90&amp;"")),
_xlpm.notify,UPPER(TRIM(D90&amp;"")),
_xlpm.form,UPPER(TRIM(E90&amp;"")),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90" s="1" t="str">
        <f t="shared" si="1"/>
        <v>Required</v>
      </c>
      <c r="H90" s="5" t="s">
        <v>652</v>
      </c>
      <c r="I90" s="1" t="s">
        <v>47</v>
      </c>
      <c r="J90" s="1" t="s">
        <v>651</v>
      </c>
      <c r="K90" s="1" t="s">
        <v>646</v>
      </c>
      <c r="L90" s="1" t="s">
        <v>27</v>
      </c>
      <c r="M90" s="1" t="s">
        <v>28</v>
      </c>
      <c r="N90" s="1" t="s">
        <v>649</v>
      </c>
      <c r="O90" s="1" t="s">
        <v>19</v>
      </c>
      <c r="P90" s="1" t="s">
        <v>18</v>
      </c>
      <c r="Q90" s="1" t="s">
        <v>20</v>
      </c>
      <c r="R90" s="1" t="s">
        <v>650</v>
      </c>
      <c r="S90" s="1">
        <v>4</v>
      </c>
      <c r="T90" s="1" t="s">
        <v>653</v>
      </c>
      <c r="U90" t="s">
        <v>2272</v>
      </c>
      <c r="V90" t="s">
        <v>1276</v>
      </c>
      <c r="W90" t="s">
        <v>874</v>
      </c>
    </row>
    <row r="91" spans="1:23">
      <c r="A91" s="1" t="s">
        <v>660</v>
      </c>
      <c r="B91" s="1" t="str" cm="1">
        <f t="array" ref="B91">IF(A91="","",_xlfn.IFS(COUNTIF($U:$U,A91)&gt;0,"All uploaded",COUNTIF($V:$V,A91)&gt;0,"Partly uploaded",COUNTIF($W:$X,A91)&gt;0,"Not uploaded",TRUE,"Not classified"))</f>
        <v>All uploaded</v>
      </c>
      <c r="C91" s="1" t="str" cm="1">
        <f t="array" ref="C91">_xlfn.SWITCH(TRIM(I91),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1" s="1" t="s">
        <v>1</v>
      </c>
      <c r="E91" s="1" t="s">
        <v>4</v>
      </c>
      <c r="F91" s="1" t="str" cm="1">
        <f t="array" ref="F91">_xlfn.LET(
_xlpm.status,UPPER(TRIM(B91&amp;"")),
_xlpm.risk,UPPER(TRIM(C91&amp;"")),
_xlpm.notify,UPPER(TRIM(D91&amp;"")),
_xlpm.form,UPPER(TRIM(E91&amp;"")),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91" s="1" t="str">
        <f t="shared" si="1"/>
        <v>Required</v>
      </c>
      <c r="H91" s="5" t="s">
        <v>663</v>
      </c>
      <c r="I91" s="1" t="s">
        <v>87</v>
      </c>
      <c r="J91" s="1" t="s">
        <v>662</v>
      </c>
      <c r="K91" s="1" t="s">
        <v>646</v>
      </c>
      <c r="L91" s="1" t="s">
        <v>25</v>
      </c>
      <c r="M91" s="1" t="s">
        <v>28</v>
      </c>
      <c r="N91" s="1" t="s">
        <v>564</v>
      </c>
      <c r="O91" s="1" t="s">
        <v>19</v>
      </c>
      <c r="P91" s="1" t="s">
        <v>18</v>
      </c>
      <c r="Q91" s="1" t="s">
        <v>20</v>
      </c>
      <c r="R91" s="1" t="s">
        <v>661</v>
      </c>
      <c r="S91" s="1">
        <v>1</v>
      </c>
      <c r="T91" s="1" t="s">
        <v>664</v>
      </c>
      <c r="U91" t="s">
        <v>2351</v>
      </c>
      <c r="V91" t="s">
        <v>1281</v>
      </c>
      <c r="W91" t="s">
        <v>882</v>
      </c>
    </row>
    <row r="92" spans="1:23">
      <c r="A92" s="1" t="s">
        <v>654</v>
      </c>
      <c r="B92" s="1" t="str" cm="1">
        <f t="array" ref="B92">IF(A92="","",_xlfn.IFS(COUNTIF($U:$U,A92)&gt;0,"All uploaded",COUNTIF($V:$V,A92)&gt;0,"Partly uploaded",COUNTIF($W:$X,A92)&gt;0,"Not uploaded",TRUE,"Not classified"))</f>
        <v>All uploaded</v>
      </c>
      <c r="C92" s="1" t="str" cm="1">
        <f t="array" ref="C92">_xlfn.SWITCH(TRIM(I92),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2" s="1" t="s">
        <v>1</v>
      </c>
      <c r="E92" s="1" t="s">
        <v>4</v>
      </c>
      <c r="F92" s="1" t="str" cm="1">
        <f t="array" ref="F92">_xlfn.LET(
_xlpm.status,UPPER(TRIM(B92&amp;"")),
_xlpm.risk,UPPER(TRIM(C92&amp;"")),
_xlpm.notify,UPPER(TRIM(D92&amp;"")),
_xlpm.form,UPPER(TRIM(E92&amp;"")),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92" s="1" t="str">
        <f t="shared" si="1"/>
        <v>Required</v>
      </c>
      <c r="H92" s="5" t="s">
        <v>658</v>
      </c>
      <c r="I92" s="1" t="s">
        <v>101</v>
      </c>
      <c r="J92" s="1" t="s">
        <v>657</v>
      </c>
      <c r="K92" s="1" t="s">
        <v>646</v>
      </c>
      <c r="L92" s="1" t="s">
        <v>27</v>
      </c>
      <c r="M92" s="1" t="s">
        <v>28</v>
      </c>
      <c r="N92" s="1" t="s">
        <v>655</v>
      </c>
      <c r="O92" s="1" t="s">
        <v>19</v>
      </c>
      <c r="P92" s="1" t="s">
        <v>18</v>
      </c>
      <c r="Q92" s="1" t="s">
        <v>20</v>
      </c>
      <c r="R92" s="1" t="s">
        <v>656</v>
      </c>
      <c r="S92" s="1">
        <v>3</v>
      </c>
      <c r="T92" s="1" t="s">
        <v>659</v>
      </c>
      <c r="U92" t="s">
        <v>2379</v>
      </c>
      <c r="V92" t="s">
        <v>1261</v>
      </c>
      <c r="W92" t="s">
        <v>880</v>
      </c>
    </row>
    <row r="93" spans="1:23">
      <c r="A93" s="1" t="s">
        <v>676</v>
      </c>
      <c r="B93" s="1" t="str" cm="1">
        <f t="array" ref="B93">IF(A93="","",_xlfn.IFS(COUNTIF($U:$U,A93)&gt;0,"All uploaded",COUNTIF($V:$V,A93)&gt;0,"Partly uploaded",COUNTIF($W:$X,A93)&gt;0,"Not uploaded",TRUE,"Not classified"))</f>
        <v>All uploaded</v>
      </c>
      <c r="C93" s="1" t="str" cm="1">
        <f t="array" ref="C93">_xlfn.SWITCH(TRIM(I93),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3" s="1" t="s">
        <v>1</v>
      </c>
      <c r="E93" s="1" t="s">
        <v>4</v>
      </c>
      <c r="F93" s="1" t="str" cm="1">
        <f t="array" ref="F93">_xlfn.LET(
_xlpm.status,UPPER(TRIM(B93&amp;"")),
_xlpm.risk,UPPER(TRIM(C93&amp;"")),
_xlpm.notify,UPPER(TRIM(D93&amp;"")),
_xlpm.form,UPPER(TRIM(E93&amp;"")),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93" s="1" t="str">
        <f t="shared" si="1"/>
        <v>NA</v>
      </c>
      <c r="H93" s="5" t="s">
        <v>679</v>
      </c>
      <c r="I93" s="1" t="s">
        <v>66</v>
      </c>
      <c r="J93" s="1" t="s">
        <v>678</v>
      </c>
      <c r="K93" s="1" t="s">
        <v>674</v>
      </c>
      <c r="L93" s="1" t="s">
        <v>27</v>
      </c>
      <c r="M93" s="1" t="s">
        <v>28</v>
      </c>
      <c r="N93" s="1" t="s">
        <v>677</v>
      </c>
      <c r="O93" s="1" t="s">
        <v>19</v>
      </c>
      <c r="P93" s="1" t="s">
        <v>18</v>
      </c>
      <c r="Q93" s="1" t="s">
        <v>20</v>
      </c>
      <c r="R93" s="1" t="s">
        <v>656</v>
      </c>
      <c r="S93" s="1">
        <v>2</v>
      </c>
      <c r="T93" s="1" t="s">
        <v>680</v>
      </c>
      <c r="U93" t="s">
        <v>2442</v>
      </c>
      <c r="V93" t="s">
        <v>1254</v>
      </c>
      <c r="W93" t="s">
        <v>975</v>
      </c>
    </row>
    <row r="94" spans="1:23">
      <c r="A94" s="1" t="s">
        <v>695</v>
      </c>
      <c r="B94" s="1" t="str" cm="1">
        <f t="array" ref="B94">IF(A94="","",_xlfn.IFS(COUNTIF($U:$U,A94)&gt;0,"All uploaded",COUNTIF($V:$V,A94)&gt;0,"Partly uploaded",COUNTIF($W:$X,A94)&gt;0,"Not uploaded",TRUE,"Not classified"))</f>
        <v>Partly uploaded</v>
      </c>
      <c r="C94" s="1" t="str" cm="1">
        <f t="array" ref="C94">_xlfn.SWITCH(TRIM(I94),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4" s="1" t="s">
        <v>1</v>
      </c>
      <c r="E94" s="1" t="s">
        <v>4</v>
      </c>
      <c r="F94" s="1" t="str" cm="1">
        <f t="array" ref="F94">_xlfn.LET(
_xlpm.status,UPPER(TRIM(B94&amp;"")),
_xlpm.risk,UPPER(TRIM(C94&amp;"")),
_xlpm.notify,UPPER(TRIM(D94&amp;"")),
_xlpm.form,UPPER(TRIM(E94&amp;"")),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94" s="1" t="str">
        <f t="shared" si="1"/>
        <v>Required</v>
      </c>
      <c r="H94" s="5" t="s">
        <v>697</v>
      </c>
      <c r="I94" s="1" t="s">
        <v>47</v>
      </c>
      <c r="J94" s="1" t="s">
        <v>696</v>
      </c>
      <c r="K94" s="1" t="s">
        <v>684</v>
      </c>
      <c r="L94" s="1" t="s">
        <v>27</v>
      </c>
      <c r="M94" s="1" t="s">
        <v>28</v>
      </c>
      <c r="N94" s="1" t="s">
        <v>94</v>
      </c>
      <c r="O94" s="1" t="s">
        <v>19</v>
      </c>
      <c r="P94" s="1" t="s">
        <v>18</v>
      </c>
      <c r="Q94" s="1" t="s">
        <v>20</v>
      </c>
      <c r="R94" s="1" t="s">
        <v>656</v>
      </c>
      <c r="S94" s="1">
        <v>4</v>
      </c>
      <c r="T94" s="1" t="s">
        <v>698</v>
      </c>
      <c r="U94" t="s">
        <v>2448</v>
      </c>
      <c r="V94" t="s">
        <v>1313</v>
      </c>
      <c r="W94" t="s">
        <v>980</v>
      </c>
    </row>
    <row r="95" spans="1:23">
      <c r="A95" s="1" t="s">
        <v>687</v>
      </c>
      <c r="B95" s="1" t="str" cm="1">
        <f t="array" ref="B95">IF(A95="","",_xlfn.IFS(COUNTIF($U:$U,A95)&gt;0,"All uploaded",COUNTIF($V:$V,A95)&gt;0,"Partly uploaded",COUNTIF($W:$X,A95)&gt;0,"Not uploaded",TRUE,"Not classified"))</f>
        <v>All uploaded</v>
      </c>
      <c r="C95" s="1" t="str" cm="1">
        <f t="array" ref="C95">_xlfn.SWITCH(TRIM(I95),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5" s="1" t="s">
        <v>1</v>
      </c>
      <c r="E95" s="1" t="s">
        <v>4</v>
      </c>
      <c r="F95" s="1" t="str" cm="1">
        <f t="array" ref="F95">_xlfn.LET(
_xlpm.status,UPPER(TRIM(B95&amp;"")),
_xlpm.risk,UPPER(TRIM(C95&amp;"")),
_xlpm.notify,UPPER(TRIM(D95&amp;"")),
_xlpm.form,UPPER(TRIM(E95&amp;"")),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95" s="1" t="str">
        <f t="shared" si="1"/>
        <v>Required</v>
      </c>
      <c r="H95" s="5" t="s">
        <v>691</v>
      </c>
      <c r="I95" s="1" t="s">
        <v>53</v>
      </c>
      <c r="J95" s="1" t="s">
        <v>690</v>
      </c>
      <c r="K95" s="1" t="s">
        <v>684</v>
      </c>
      <c r="L95" s="1" t="s">
        <v>27</v>
      </c>
      <c r="M95" s="1" t="s">
        <v>28</v>
      </c>
      <c r="N95" s="1" t="s">
        <v>688</v>
      </c>
      <c r="O95" s="1" t="s">
        <v>19</v>
      </c>
      <c r="P95" s="1" t="s">
        <v>18</v>
      </c>
      <c r="Q95" s="1" t="s">
        <v>20</v>
      </c>
      <c r="R95" s="1" t="s">
        <v>689</v>
      </c>
      <c r="S95" s="1">
        <v>2</v>
      </c>
      <c r="T95" s="1" t="s">
        <v>692</v>
      </c>
      <c r="U95" t="s">
        <v>2513</v>
      </c>
      <c r="V95" t="s">
        <v>1358</v>
      </c>
      <c r="W95" t="s">
        <v>994</v>
      </c>
    </row>
    <row r="96" spans="1:23">
      <c r="A96" s="1" t="s">
        <v>687</v>
      </c>
      <c r="B96" s="1" t="str" cm="1">
        <f t="array" ref="B96">IF(A96="","",_xlfn.IFS(COUNTIF($U:$U,A96)&gt;0,"All uploaded",COUNTIF($V:$V,A96)&gt;0,"Partly uploaded",COUNTIF($W:$X,A96)&gt;0,"Not uploaded",TRUE,"Not classified"))</f>
        <v>All uploaded</v>
      </c>
      <c r="C96" s="1" t="str" cm="1">
        <f t="array" ref="C96">_xlfn.SWITCH(TRIM(I96),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6" s="1" t="s">
        <v>1</v>
      </c>
      <c r="E96" s="1" t="s">
        <v>2</v>
      </c>
      <c r="F96" s="1" t="str" cm="1">
        <f t="array" ref="F96">_xlfn.LET(
_xlpm.status,UPPER(TRIM(B96&amp;"")),
_xlpm.risk,UPPER(TRIM(C96&amp;"")),
_xlpm.notify,UPPER(TRIM(D96&amp;"")),
_xlpm.form,UPPER(TRIM(E96&amp;"")),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96" s="1" t="str">
        <f t="shared" si="1"/>
        <v>NA</v>
      </c>
      <c r="H96" s="5" t="s">
        <v>691</v>
      </c>
      <c r="I96" s="1" t="s">
        <v>53</v>
      </c>
      <c r="J96" s="1" t="s">
        <v>693</v>
      </c>
      <c r="K96" s="1" t="s">
        <v>684</v>
      </c>
      <c r="L96" s="1" t="s">
        <v>27</v>
      </c>
      <c r="M96" s="1" t="s">
        <v>28</v>
      </c>
      <c r="N96" s="1" t="s">
        <v>688</v>
      </c>
      <c r="O96" s="1" t="s">
        <v>19</v>
      </c>
      <c r="P96" s="1" t="s">
        <v>18</v>
      </c>
      <c r="Q96" s="1" t="s">
        <v>20</v>
      </c>
      <c r="R96" s="1" t="s">
        <v>78</v>
      </c>
      <c r="S96" s="1">
        <v>2</v>
      </c>
      <c r="T96" s="1" t="s">
        <v>692</v>
      </c>
      <c r="U96" t="s">
        <v>2518</v>
      </c>
      <c r="V96" t="s">
        <v>1332</v>
      </c>
      <c r="W96" t="s">
        <v>985</v>
      </c>
    </row>
    <row r="97" spans="1:23">
      <c r="A97" s="1" t="s">
        <v>687</v>
      </c>
      <c r="B97" s="1" t="str" cm="1">
        <f t="array" ref="B97">IF(A97="","",_xlfn.IFS(COUNTIF($U:$U,A97)&gt;0,"All uploaded",COUNTIF($V:$V,A97)&gt;0,"Partly uploaded",COUNTIF($W:$X,A97)&gt;0,"Not uploaded",TRUE,"Not classified"))</f>
        <v>All uploaded</v>
      </c>
      <c r="C97" s="1" t="str" cm="1">
        <f t="array" ref="C97">_xlfn.SWITCH(TRIM(I97),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7" s="1" t="s">
        <v>1</v>
      </c>
      <c r="E97" s="1" t="s">
        <v>4</v>
      </c>
      <c r="F97" s="1" t="str" cm="1">
        <f t="array" ref="F97">_xlfn.LET(
_xlpm.status,UPPER(TRIM(B97&amp;"")),
_xlpm.risk,UPPER(TRIM(C97&amp;"")),
_xlpm.notify,UPPER(TRIM(D97&amp;"")),
_xlpm.form,UPPER(TRIM(E97&amp;"")),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97" s="1" t="str">
        <f t="shared" si="1"/>
        <v>Required</v>
      </c>
      <c r="H97" s="5" t="s">
        <v>700</v>
      </c>
      <c r="I97" s="1" t="s">
        <v>53</v>
      </c>
      <c r="J97" s="1" t="s">
        <v>699</v>
      </c>
      <c r="K97" s="1" t="s">
        <v>684</v>
      </c>
      <c r="L97" s="1" t="s">
        <v>27</v>
      </c>
      <c r="M97" s="1" t="s">
        <v>80</v>
      </c>
      <c r="N97" s="1" t="s">
        <v>688</v>
      </c>
      <c r="O97" s="1" t="s">
        <v>19</v>
      </c>
      <c r="P97" s="1" t="s">
        <v>18</v>
      </c>
      <c r="Q97" s="1" t="s">
        <v>20</v>
      </c>
      <c r="R97" s="1" t="s">
        <v>532</v>
      </c>
      <c r="S97" s="1">
        <v>1</v>
      </c>
      <c r="T97" s="1" t="s">
        <v>701</v>
      </c>
      <c r="U97" t="s">
        <v>2506</v>
      </c>
      <c r="V97" t="s">
        <v>1346</v>
      </c>
      <c r="W97" t="s">
        <v>885</v>
      </c>
    </row>
    <row r="98" spans="1:23">
      <c r="A98" s="1" t="s">
        <v>706</v>
      </c>
      <c r="B98" s="1" t="str" cm="1">
        <f t="array" ref="B98">IF(A98="","",_xlfn.IFS(COUNTIF($U:$U,A98)&gt;0,"All uploaded",COUNTIF($V:$V,A98)&gt;0,"Partly uploaded",COUNTIF($W:$X,A98)&gt;0,"Not uploaded",TRUE,"Not classified"))</f>
        <v>Partly uploaded</v>
      </c>
      <c r="C98" s="1" t="str" cm="1">
        <f t="array" ref="C98">_xlfn.SWITCH(TRIM(I98),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8" s="1" t="s">
        <v>1</v>
      </c>
      <c r="E98" s="1" t="s">
        <v>4</v>
      </c>
      <c r="F98" s="1" t="str" cm="1">
        <f t="array" ref="F98">_xlfn.LET(
_xlpm.status,UPPER(TRIM(B98&amp;"")),
_xlpm.risk,UPPER(TRIM(C98&amp;"")),
_xlpm.notify,UPPER(TRIM(D98&amp;"")),
_xlpm.form,UPPER(TRIM(E98&amp;"")),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98" s="1" t="str">
        <f t="shared" si="1"/>
        <v>Required</v>
      </c>
      <c r="H98" s="5" t="s">
        <v>709</v>
      </c>
      <c r="I98" s="1" t="s">
        <v>101</v>
      </c>
      <c r="J98" s="1" t="s">
        <v>708</v>
      </c>
      <c r="K98" s="1" t="s">
        <v>684</v>
      </c>
      <c r="L98" s="1" t="s">
        <v>27</v>
      </c>
      <c r="M98" s="1" t="s">
        <v>28</v>
      </c>
      <c r="N98" s="1" t="s">
        <v>449</v>
      </c>
      <c r="O98" s="1" t="s">
        <v>19</v>
      </c>
      <c r="P98" s="1" t="s">
        <v>18</v>
      </c>
      <c r="Q98" s="1" t="s">
        <v>20</v>
      </c>
      <c r="R98" s="1" t="s">
        <v>707</v>
      </c>
      <c r="S98" s="1">
        <v>2</v>
      </c>
      <c r="T98" s="1" t="s">
        <v>142</v>
      </c>
      <c r="U98" t="s">
        <v>2499</v>
      </c>
      <c r="V98" t="s">
        <v>1371</v>
      </c>
      <c r="W98" t="s">
        <v>1013</v>
      </c>
    </row>
    <row r="99" spans="1:23">
      <c r="A99" s="1" t="s">
        <v>702</v>
      </c>
      <c r="B99" s="1" t="str" cm="1">
        <f t="array" ref="B99">IF(A99="","",_xlfn.IFS(COUNTIF($U:$U,A99)&gt;0,"All uploaded",COUNTIF($V:$V,A99)&gt;0,"Partly uploaded",COUNTIF($W:$X,A99)&gt;0,"Not uploaded",TRUE,"Not classified"))</f>
        <v>Partly uploaded</v>
      </c>
      <c r="C99" s="1" t="str" cm="1">
        <f t="array" ref="C99">_xlfn.SWITCH(TRIM(I99),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9" s="1" t="s">
        <v>1</v>
      </c>
      <c r="E99" s="1" t="s">
        <v>4</v>
      </c>
      <c r="F99" s="1" t="str" cm="1">
        <f t="array" ref="F99">_xlfn.LET(
_xlpm.status,UPPER(TRIM(B99&amp;"")),
_xlpm.risk,UPPER(TRIM(C99&amp;"")),
_xlpm.notify,UPPER(TRIM(D99&amp;"")),
_xlpm.form,UPPER(TRIM(E99&amp;"")),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99" s="1" t="str">
        <f t="shared" si="1"/>
        <v>Required</v>
      </c>
      <c r="H99" s="5" t="s">
        <v>705</v>
      </c>
      <c r="I99" s="1" t="s">
        <v>510</v>
      </c>
      <c r="J99" s="1" t="s">
        <v>704</v>
      </c>
      <c r="K99" s="1" t="s">
        <v>684</v>
      </c>
      <c r="L99" s="1" t="s">
        <v>25</v>
      </c>
      <c r="M99" s="1" t="s">
        <v>80</v>
      </c>
      <c r="N99" s="1" t="s">
        <v>703</v>
      </c>
      <c r="O99" s="1" t="s">
        <v>19</v>
      </c>
      <c r="P99" s="1" t="s">
        <v>18</v>
      </c>
      <c r="Q99" s="1" t="s">
        <v>20</v>
      </c>
      <c r="R99" s="1" t="s">
        <v>689</v>
      </c>
      <c r="S99" s="1">
        <v>1</v>
      </c>
      <c r="T99" s="1" t="s">
        <v>137</v>
      </c>
      <c r="U99" t="s">
        <v>2494</v>
      </c>
      <c r="V99" t="s">
        <v>1436</v>
      </c>
      <c r="W99" t="s">
        <v>884</v>
      </c>
    </row>
    <row r="100" spans="1:23">
      <c r="A100" s="1" t="s">
        <v>711</v>
      </c>
      <c r="B100" s="1" t="str" cm="1">
        <f t="array" ref="B100">IF(A100="","",_xlfn.IFS(COUNTIF($U:$U,A100)&gt;0,"All uploaded",COUNTIF($V:$V,A100)&gt;0,"Partly uploaded",COUNTIF($W:$X,A100)&gt;0,"Not uploaded",TRUE,"Not classified"))</f>
        <v>Partly uploaded</v>
      </c>
      <c r="C100" s="1" t="str" cm="1">
        <f t="array" ref="C100">_xlfn.SWITCH(TRIM(I100),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0" s="1" t="s">
        <v>0</v>
      </c>
      <c r="E100" s="1" t="s">
        <v>2</v>
      </c>
      <c r="F100" s="1" t="str" cm="1">
        <f t="array" ref="F100">_xlfn.LET(
_xlpm.status,UPPER(TRIM(B100&amp;"")),
_xlpm.risk,UPPER(TRIM(C100&amp;"")),
_xlpm.notify,UPPER(TRIM(D100&amp;"")),
_xlpm.form,UPPER(TRIM(E100&amp;"")),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00" s="1" t="str">
        <f t="shared" si="1"/>
        <v>NA</v>
      </c>
      <c r="H100" s="5" t="s">
        <v>715</v>
      </c>
      <c r="I100" s="1" t="s">
        <v>29</v>
      </c>
      <c r="J100" s="1" t="s">
        <v>714</v>
      </c>
      <c r="K100" s="1" t="s">
        <v>710</v>
      </c>
      <c r="L100" s="1" t="s">
        <v>23</v>
      </c>
      <c r="M100" s="1" t="s">
        <v>75</v>
      </c>
      <c r="N100" s="1" t="s">
        <v>712</v>
      </c>
      <c r="O100" s="1" t="s">
        <v>19</v>
      </c>
      <c r="P100" s="1" t="s">
        <v>18</v>
      </c>
      <c r="Q100" s="1" t="s">
        <v>20</v>
      </c>
      <c r="R100" s="1" t="s">
        <v>713</v>
      </c>
      <c r="S100" s="1">
        <v>1</v>
      </c>
      <c r="T100" s="1" t="s">
        <v>716</v>
      </c>
      <c r="U100" t="s">
        <v>2524</v>
      </c>
      <c r="V100" t="s">
        <v>1388</v>
      </c>
      <c r="W100" t="s">
        <v>1010</v>
      </c>
    </row>
    <row r="101" spans="1:23">
      <c r="A101" s="1" t="s">
        <v>740</v>
      </c>
      <c r="B101" s="1" t="str" cm="1">
        <f t="array" ref="B101">IF(A101="","",_xlfn.IFS(COUNTIF($U:$U,A101)&gt;0,"All uploaded",COUNTIF($V:$V,A101)&gt;0,"Partly uploaded",COUNTIF($W:$X,A101)&gt;0,"Not uploaded",TRUE,"Not classified"))</f>
        <v>Partly uploaded</v>
      </c>
      <c r="C101" s="1" t="str" cm="1">
        <f t="array" ref="C101">_xlfn.SWITCH(TRIM(I101),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1" s="1" t="s">
        <v>1</v>
      </c>
      <c r="E101" s="1" t="s">
        <v>4</v>
      </c>
      <c r="F101" s="1" t="str" cm="1">
        <f t="array" ref="F101">_xlfn.LET(
_xlpm.status,UPPER(TRIM(B101&amp;"")),
_xlpm.risk,UPPER(TRIM(C101&amp;"")),
_xlpm.notify,UPPER(TRIM(D101&amp;"")),
_xlpm.form,UPPER(TRIM(E101&amp;"")),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01" s="1" t="str">
        <f t="shared" si="1"/>
        <v>Required</v>
      </c>
      <c r="H101" s="5" t="s">
        <v>743</v>
      </c>
      <c r="I101" s="1" t="s">
        <v>54</v>
      </c>
      <c r="J101" s="1" t="s">
        <v>742</v>
      </c>
      <c r="K101" s="1" t="s">
        <v>739</v>
      </c>
      <c r="L101" s="1" t="s">
        <v>22</v>
      </c>
      <c r="M101" s="1" t="s">
        <v>77</v>
      </c>
      <c r="N101" s="1" t="s">
        <v>741</v>
      </c>
      <c r="O101" s="1" t="s">
        <v>19</v>
      </c>
      <c r="P101" s="1" t="s">
        <v>18</v>
      </c>
      <c r="Q101" s="1" t="s">
        <v>20</v>
      </c>
      <c r="R101" s="1" t="s">
        <v>128</v>
      </c>
      <c r="S101" s="1">
        <v>1</v>
      </c>
      <c r="T101" s="1" t="s">
        <v>99</v>
      </c>
      <c r="U101" t="s">
        <v>2661</v>
      </c>
      <c r="V101" t="s">
        <v>1412</v>
      </c>
      <c r="W101" t="s">
        <v>1016</v>
      </c>
    </row>
    <row r="102" spans="1:23">
      <c r="A102" s="1" t="s">
        <v>726</v>
      </c>
      <c r="B102" s="1" t="str" cm="1">
        <f t="array" ref="B102">IF(A102="","",_xlfn.IFS(COUNTIF($U:$U,A102)&gt;0,"All uploaded",COUNTIF($V:$V,A102)&gt;0,"Partly uploaded",COUNTIF($W:$X,A102)&gt;0,"Not uploaded",TRUE,"Not classified"))</f>
        <v>All uploaded</v>
      </c>
      <c r="C102" s="1" t="str" cm="1">
        <f t="array" ref="C102">_xlfn.SWITCH(TRIM(I102),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2" s="1" t="s">
        <v>1</v>
      </c>
      <c r="E102" s="1" t="s">
        <v>4</v>
      </c>
      <c r="F102" s="1" t="str" cm="1">
        <f t="array" ref="F102">_xlfn.LET(
_xlpm.status,UPPER(TRIM(B102&amp;"")),
_xlpm.risk,UPPER(TRIM(C102&amp;"")),
_xlpm.notify,UPPER(TRIM(D102&amp;"")),
_xlpm.form,UPPER(TRIM(E102&amp;"")),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02" s="1" t="str">
        <f t="shared" si="1"/>
        <v>Required</v>
      </c>
      <c r="H102" s="5" t="s">
        <v>734</v>
      </c>
      <c r="I102" s="1" t="s">
        <v>26</v>
      </c>
      <c r="J102" s="1" t="s">
        <v>733</v>
      </c>
      <c r="K102" s="1" t="s">
        <v>717</v>
      </c>
      <c r="L102" s="1" t="s">
        <v>25</v>
      </c>
      <c r="M102" s="1" t="s">
        <v>28</v>
      </c>
      <c r="N102" s="1" t="s">
        <v>727</v>
      </c>
      <c r="O102" s="1" t="s">
        <v>19</v>
      </c>
      <c r="P102" s="1" t="s">
        <v>18</v>
      </c>
      <c r="Q102" s="1" t="s">
        <v>20</v>
      </c>
      <c r="R102" s="1" t="s">
        <v>732</v>
      </c>
      <c r="S102" s="1">
        <v>1</v>
      </c>
      <c r="T102" s="1" t="s">
        <v>735</v>
      </c>
      <c r="U102" t="s">
        <v>2679</v>
      </c>
      <c r="V102" t="s">
        <v>1404</v>
      </c>
      <c r="W102" t="s">
        <v>1026</v>
      </c>
    </row>
    <row r="103" spans="1:23">
      <c r="A103" s="1" t="s">
        <v>726</v>
      </c>
      <c r="B103" s="1" t="str" cm="1">
        <f t="array" ref="B103">IF(A103="","",_xlfn.IFS(COUNTIF($U:$U,A103)&gt;0,"All uploaded",COUNTIF($V:$V,A103)&gt;0,"Partly uploaded",COUNTIF($W:$X,A103)&gt;0,"Not uploaded",TRUE,"Not classified"))</f>
        <v>All uploaded</v>
      </c>
      <c r="C103" s="1" t="str" cm="1">
        <f t="array" ref="C103">_xlfn.SWITCH(TRIM(I103),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3" s="1" t="s">
        <v>1</v>
      </c>
      <c r="E103" s="1" t="s">
        <v>4</v>
      </c>
      <c r="F103" s="1" t="str" cm="1">
        <f t="array" ref="F103">_xlfn.LET(
_xlpm.status,UPPER(TRIM(B103&amp;"")),
_xlpm.risk,UPPER(TRIM(C103&amp;"")),
_xlpm.notify,UPPER(TRIM(D103&amp;"")),
_xlpm.form,UPPER(TRIM(E103&amp;"")),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03" s="1" t="str">
        <f t="shared" si="1"/>
        <v>Required</v>
      </c>
      <c r="H103" s="5" t="s">
        <v>729</v>
      </c>
      <c r="I103" s="1" t="s">
        <v>26</v>
      </c>
      <c r="J103" s="1" t="s">
        <v>728</v>
      </c>
      <c r="K103" s="1" t="s">
        <v>717</v>
      </c>
      <c r="L103" s="1" t="s">
        <v>25</v>
      </c>
      <c r="M103" s="1" t="s">
        <v>28</v>
      </c>
      <c r="N103" s="1" t="s">
        <v>727</v>
      </c>
      <c r="O103" s="1" t="s">
        <v>19</v>
      </c>
      <c r="P103" s="1" t="s">
        <v>18</v>
      </c>
      <c r="Q103" s="1" t="s">
        <v>20</v>
      </c>
      <c r="R103" s="1" t="s">
        <v>517</v>
      </c>
      <c r="S103" s="1">
        <v>1</v>
      </c>
      <c r="T103" s="1" t="s">
        <v>730</v>
      </c>
      <c r="U103" t="s">
        <v>2712</v>
      </c>
      <c r="V103" t="s">
        <v>1432</v>
      </c>
      <c r="W103" t="s">
        <v>1035</v>
      </c>
    </row>
    <row r="104" spans="1:23">
      <c r="A104" s="1" t="s">
        <v>751</v>
      </c>
      <c r="B104" s="1" t="str" cm="1">
        <f t="array" ref="B104">IF(A104="","",_xlfn.IFS(COUNTIF($U:$U,A104)&gt;0,"All uploaded",COUNTIF($V:$V,A104)&gt;0,"Partly uploaded",COUNTIF($W:$X,A104)&gt;0,"Not uploaded",TRUE,"Not classified"))</f>
        <v>Partly uploaded</v>
      </c>
      <c r="C104" s="1" t="str" cm="1">
        <f t="array" ref="C104">_xlfn.SWITCH(TRIM(I104),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4" s="1" t="s">
        <v>1</v>
      </c>
      <c r="E104" s="1" t="s">
        <v>4</v>
      </c>
      <c r="F104" s="1" t="str" cm="1">
        <f t="array" ref="F104">_xlfn.LET(
_xlpm.status,UPPER(TRIM(B104&amp;"")),
_xlpm.risk,UPPER(TRIM(C104&amp;"")),
_xlpm.notify,UPPER(TRIM(D104&amp;"")),
_xlpm.form,UPPER(TRIM(E104&amp;"")),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04" s="1" t="str">
        <f t="shared" si="1"/>
        <v>NA</v>
      </c>
      <c r="H104" s="5" t="s">
        <v>754</v>
      </c>
      <c r="I104" s="1" t="s">
        <v>29</v>
      </c>
      <c r="J104" s="1" t="s">
        <v>753</v>
      </c>
      <c r="K104" s="1" t="s">
        <v>750</v>
      </c>
      <c r="L104" s="1" t="s">
        <v>23</v>
      </c>
      <c r="M104" s="1" t="s">
        <v>28</v>
      </c>
      <c r="N104" s="1" t="s">
        <v>752</v>
      </c>
      <c r="O104" s="1" t="s">
        <v>19</v>
      </c>
      <c r="P104" s="1" t="s">
        <v>18</v>
      </c>
      <c r="Q104" s="1" t="s">
        <v>20</v>
      </c>
      <c r="R104" s="1" t="s">
        <v>689</v>
      </c>
      <c r="S104" s="1">
        <v>2</v>
      </c>
      <c r="T104" s="1" t="s">
        <v>272</v>
      </c>
      <c r="U104" t="s">
        <v>2719</v>
      </c>
      <c r="V104" t="s">
        <v>1447</v>
      </c>
      <c r="W104" t="s">
        <v>1028</v>
      </c>
    </row>
    <row r="105" spans="1:23">
      <c r="A105" s="1" t="s">
        <v>759</v>
      </c>
      <c r="B105" s="1" t="str" cm="1">
        <f t="array" ref="B105">IF(A105="","",_xlfn.IFS(COUNTIF($U:$U,A105)&gt;0,"All uploaded",COUNTIF($V:$V,A105)&gt;0,"Partly uploaded",COUNTIF($W:$X,A105)&gt;0,"Not uploaded",TRUE,"Not classified"))</f>
        <v>All uploaded</v>
      </c>
      <c r="C105" s="1" t="str" cm="1">
        <f t="array" ref="C105">_xlfn.SWITCH(TRIM(I105),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5" s="1" t="s">
        <v>1</v>
      </c>
      <c r="E105" s="1" t="s">
        <v>4</v>
      </c>
      <c r="F105" s="1" t="str" cm="1">
        <f t="array" ref="F105">_xlfn.LET(
_xlpm.status,UPPER(TRIM(B105&amp;"")),
_xlpm.risk,UPPER(TRIM(C105&amp;"")),
_xlpm.notify,UPPER(TRIM(D105&amp;"")),
_xlpm.form,UPPER(TRIM(E105&amp;"")),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05" s="1" t="str">
        <f t="shared" si="1"/>
        <v>Required</v>
      </c>
      <c r="H105" s="5" t="s">
        <v>763</v>
      </c>
      <c r="I105" s="1" t="s">
        <v>760</v>
      </c>
      <c r="J105" s="1" t="s">
        <v>762</v>
      </c>
      <c r="K105" s="1" t="s">
        <v>755</v>
      </c>
      <c r="L105" s="1" t="s">
        <v>27</v>
      </c>
      <c r="M105" s="1" t="s">
        <v>28</v>
      </c>
      <c r="N105" s="1" t="s">
        <v>655</v>
      </c>
      <c r="O105" s="1" t="s">
        <v>19</v>
      </c>
      <c r="P105" s="1" t="s">
        <v>18</v>
      </c>
      <c r="Q105" s="1" t="s">
        <v>20</v>
      </c>
      <c r="R105" s="1" t="s">
        <v>761</v>
      </c>
      <c r="S105" s="1">
        <v>1</v>
      </c>
      <c r="T105" s="1" t="s">
        <v>764</v>
      </c>
      <c r="U105" t="s">
        <v>2739</v>
      </c>
      <c r="V105" t="s">
        <v>1456</v>
      </c>
      <c r="W105" t="s">
        <v>1032</v>
      </c>
    </row>
    <row r="106" spans="1:23">
      <c r="A106" s="1" t="s">
        <v>773</v>
      </c>
      <c r="B106" s="1" t="str" cm="1">
        <f t="array" ref="B106">IF(A106="","",_xlfn.IFS(COUNTIF($U:$U,A106)&gt;0,"All uploaded",COUNTIF($V:$V,A106)&gt;0,"Partly uploaded",COUNTIF($W:$X,A106)&gt;0,"Not uploaded",TRUE,"Not classified"))</f>
        <v>Partly uploaded</v>
      </c>
      <c r="C106" s="1" t="str" cm="1">
        <f t="array" ref="C106">_xlfn.SWITCH(TRIM(I106),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6" s="1" t="s">
        <v>0</v>
      </c>
      <c r="E106" s="1" t="s">
        <v>4</v>
      </c>
      <c r="F106" s="1" t="str" cm="1">
        <f t="array" ref="F106">_xlfn.LET(
_xlpm.status,UPPER(TRIM(B106&amp;"")),
_xlpm.risk,UPPER(TRIM(C106&amp;"")),
_xlpm.notify,UPPER(TRIM(D106&amp;"")),
_xlpm.form,UPPER(TRIM(E106&amp;"")),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06" s="1" t="str">
        <f t="shared" si="1"/>
        <v>NA</v>
      </c>
      <c r="H106" s="5" t="s">
        <v>775</v>
      </c>
      <c r="I106" s="1" t="s">
        <v>29</v>
      </c>
      <c r="J106" s="1" t="s">
        <v>774</v>
      </c>
      <c r="K106" s="1" t="s">
        <v>771</v>
      </c>
      <c r="L106" s="1" t="s">
        <v>23</v>
      </c>
      <c r="M106" s="1" t="s">
        <v>75</v>
      </c>
      <c r="N106" s="1" t="s">
        <v>493</v>
      </c>
      <c r="O106" s="1" t="s">
        <v>19</v>
      </c>
      <c r="P106" s="1" t="s">
        <v>18</v>
      </c>
      <c r="Q106" s="1" t="s">
        <v>20</v>
      </c>
      <c r="R106" s="1" t="s">
        <v>689</v>
      </c>
      <c r="S106" s="1">
        <v>1</v>
      </c>
      <c r="T106" s="1" t="s">
        <v>776</v>
      </c>
      <c r="U106" t="s">
        <v>2804</v>
      </c>
      <c r="V106" t="s">
        <v>1469</v>
      </c>
      <c r="W106" t="s">
        <v>1041</v>
      </c>
    </row>
    <row r="107" spans="1:23">
      <c r="A107" s="1" t="s">
        <v>772</v>
      </c>
      <c r="B107" s="1" t="str" cm="1">
        <f t="array" ref="B107">IF(A107="","",_xlfn.IFS(COUNTIF($U:$U,A107)&gt;0,"All uploaded",COUNTIF($V:$V,A107)&gt;0,"Partly uploaded",COUNTIF($W:$X,A107)&gt;0,"Not uploaded",TRUE,"Not classified"))</f>
        <v>Partly uploaded</v>
      </c>
      <c r="C107" s="1" t="str" cm="1">
        <f t="array" ref="C107">_xlfn.SWITCH(TRIM(I107),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7" s="1" t="s">
        <v>1</v>
      </c>
      <c r="E107" s="1" t="s">
        <v>4</v>
      </c>
      <c r="F107" s="1" t="str" cm="1">
        <f t="array" ref="F107">_xlfn.LET(
_xlpm.status,UPPER(TRIM(B107&amp;"")),
_xlpm.risk,UPPER(TRIM(C107&amp;"")),
_xlpm.notify,UPPER(TRIM(D107&amp;"")),
_xlpm.form,UPPER(TRIM(E107&amp;"")),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07" s="1" t="str">
        <f t="shared" si="1"/>
        <v>NA</v>
      </c>
      <c r="H107" s="5" t="s">
        <v>778</v>
      </c>
      <c r="I107" s="1" t="s">
        <v>29</v>
      </c>
      <c r="J107" s="1" t="s">
        <v>777</v>
      </c>
      <c r="K107" s="1" t="s">
        <v>771</v>
      </c>
      <c r="L107" s="1" t="s">
        <v>35</v>
      </c>
      <c r="M107" s="1" t="s">
        <v>77</v>
      </c>
      <c r="N107" s="1" t="s">
        <v>36</v>
      </c>
      <c r="O107" s="1" t="s">
        <v>19</v>
      </c>
      <c r="P107" s="1" t="s">
        <v>18</v>
      </c>
      <c r="Q107" s="1" t="s">
        <v>20</v>
      </c>
      <c r="R107" s="1" t="s">
        <v>128</v>
      </c>
      <c r="S107" s="1">
        <v>1</v>
      </c>
      <c r="T107" s="1" t="s">
        <v>99</v>
      </c>
      <c r="U107" t="s">
        <v>2824</v>
      </c>
      <c r="V107" t="s">
        <v>1474</v>
      </c>
      <c r="W107" t="s">
        <v>1030</v>
      </c>
    </row>
    <row r="108" spans="1:23">
      <c r="A108" s="1" t="s">
        <v>780</v>
      </c>
      <c r="B108" s="1" t="str" cm="1">
        <f t="array" ref="B108">IF(A108="","",_xlfn.IFS(COUNTIF($U:$U,A108)&gt;0,"All uploaded",COUNTIF($V:$V,A108)&gt;0,"Partly uploaded",COUNTIF($W:$X,A108)&gt;0,"Not uploaded",TRUE,"Not classified"))</f>
        <v>Partly uploaded</v>
      </c>
      <c r="C108" s="1" t="str" cm="1">
        <f t="array" ref="C108">_xlfn.SWITCH(TRIM(I108),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8" s="1" t="s">
        <v>1</v>
      </c>
      <c r="E108" s="1" t="s">
        <v>4</v>
      </c>
      <c r="F108" s="1" t="str" cm="1">
        <f t="array" ref="F108">_xlfn.LET(
_xlpm.status,UPPER(TRIM(B108&amp;"")),
_xlpm.risk,UPPER(TRIM(C108&amp;"")),
_xlpm.notify,UPPER(TRIM(D108&amp;"")),
_xlpm.form,UPPER(TRIM(E108&amp;"")),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08" s="1" t="str">
        <f t="shared" si="1"/>
        <v>Required</v>
      </c>
      <c r="H108" s="5" t="s">
        <v>793</v>
      </c>
      <c r="I108" s="1" t="s">
        <v>87</v>
      </c>
      <c r="J108" s="1" t="s">
        <v>792</v>
      </c>
      <c r="K108" s="1" t="s">
        <v>788</v>
      </c>
      <c r="L108" s="1" t="s">
        <v>27</v>
      </c>
      <c r="M108" s="1" t="s">
        <v>28</v>
      </c>
      <c r="N108" s="1" t="s">
        <v>781</v>
      </c>
      <c r="O108" s="1" t="s">
        <v>19</v>
      </c>
      <c r="P108" s="1" t="s">
        <v>18</v>
      </c>
      <c r="Q108" s="1" t="s">
        <v>20</v>
      </c>
      <c r="R108" s="1" t="s">
        <v>791</v>
      </c>
      <c r="S108" s="1">
        <v>1</v>
      </c>
      <c r="T108" s="1" t="s">
        <v>794</v>
      </c>
      <c r="U108" t="s">
        <v>2834</v>
      </c>
      <c r="V108" t="s">
        <v>1495</v>
      </c>
      <c r="W108" t="s">
        <v>1038</v>
      </c>
    </row>
    <row r="109" spans="1:23">
      <c r="A109" s="1" t="s">
        <v>783</v>
      </c>
      <c r="B109" s="1" t="str" cm="1">
        <f t="array" ref="B109">IF(A109="","",_xlfn.IFS(COUNTIF($U:$U,A109)&gt;0,"All uploaded",COUNTIF($V:$V,A109)&gt;0,"Partly uploaded",COUNTIF($W:$X,A109)&gt;0,"Not uploaded",TRUE,"Not classified"))</f>
        <v>Partly uploaded</v>
      </c>
      <c r="C109" s="1" t="str" cm="1">
        <f t="array" ref="C109">_xlfn.SWITCH(TRIM(I109),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9" s="1" t="s">
        <v>1</v>
      </c>
      <c r="E109" s="1" t="s">
        <v>4</v>
      </c>
      <c r="F109" s="1" t="str" cm="1">
        <f t="array" ref="F109">_xlfn.LET(
_xlpm.status,UPPER(TRIM(B109&amp;"")),
_xlpm.risk,UPPER(TRIM(C109&amp;"")),
_xlpm.notify,UPPER(TRIM(D109&amp;"")),
_xlpm.form,UPPER(TRIM(E109&amp;"")),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09" s="1" t="str">
        <f t="shared" si="1"/>
        <v>Required</v>
      </c>
      <c r="H109" s="5" t="s">
        <v>786</v>
      </c>
      <c r="I109" s="1" t="s">
        <v>26</v>
      </c>
      <c r="J109" s="1" t="s">
        <v>785</v>
      </c>
      <c r="K109" s="1" t="s">
        <v>782</v>
      </c>
      <c r="L109" s="1" t="s">
        <v>25</v>
      </c>
      <c r="M109" s="1" t="s">
        <v>28</v>
      </c>
      <c r="N109" s="1" t="s">
        <v>107</v>
      </c>
      <c r="O109" s="1" t="s">
        <v>19</v>
      </c>
      <c r="P109" s="1" t="s">
        <v>18</v>
      </c>
      <c r="Q109" s="1" t="s">
        <v>20</v>
      </c>
      <c r="R109" s="1" t="s">
        <v>784</v>
      </c>
      <c r="S109" s="1">
        <v>3</v>
      </c>
      <c r="T109" s="1" t="s">
        <v>787</v>
      </c>
      <c r="U109" t="s">
        <v>2839</v>
      </c>
      <c r="V109" t="s">
        <v>1505</v>
      </c>
      <c r="W109" t="s">
        <v>1084</v>
      </c>
    </row>
    <row r="110" spans="1:23">
      <c r="A110" s="1" t="s">
        <v>810</v>
      </c>
      <c r="B110" s="1" t="str" cm="1">
        <f t="array" ref="B110">IF(A110="","",_xlfn.IFS(COUNTIF($U:$U,A110)&gt;0,"All uploaded",COUNTIF($V:$V,A110)&gt;0,"Partly uploaded",COUNTIF($W:$X,A110)&gt;0,"Not uploaded",TRUE,"Not classified"))</f>
        <v>Partly uploaded</v>
      </c>
      <c r="C110" s="1" t="str" cm="1">
        <f t="array" ref="C110">_xlfn.SWITCH(TRIM(I110),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0" s="1" t="s">
        <v>1</v>
      </c>
      <c r="E110" s="1" t="s">
        <v>4</v>
      </c>
      <c r="F110" s="1" t="str" cm="1">
        <f t="array" ref="F110">_xlfn.LET(
_xlpm.status,UPPER(TRIM(B110&amp;"")),
_xlpm.risk,UPPER(TRIM(C110&amp;"")),
_xlpm.notify,UPPER(TRIM(D110&amp;"")),
_xlpm.form,UPPER(TRIM(E110&amp;"")),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10" s="1" t="str">
        <f t="shared" si="1"/>
        <v>Required</v>
      </c>
      <c r="H110" s="5" t="s">
        <v>813</v>
      </c>
      <c r="I110" s="1" t="s">
        <v>342</v>
      </c>
      <c r="J110" s="1" t="s">
        <v>812</v>
      </c>
      <c r="K110" s="1" t="s">
        <v>795</v>
      </c>
      <c r="L110" s="1" t="s">
        <v>27</v>
      </c>
      <c r="M110" s="1" t="s">
        <v>28</v>
      </c>
      <c r="N110" s="1" t="s">
        <v>811</v>
      </c>
      <c r="O110" s="1" t="s">
        <v>19</v>
      </c>
      <c r="P110" s="1" t="s">
        <v>18</v>
      </c>
      <c r="Q110" s="1" t="s">
        <v>20</v>
      </c>
      <c r="R110" s="1" t="s">
        <v>532</v>
      </c>
      <c r="S110" s="1">
        <v>2</v>
      </c>
      <c r="T110" s="1" t="s">
        <v>814</v>
      </c>
      <c r="U110" t="s">
        <v>2881</v>
      </c>
      <c r="V110" t="s">
        <v>1521</v>
      </c>
      <c r="W110" t="s">
        <v>1087</v>
      </c>
    </row>
    <row r="111" spans="1:23">
      <c r="A111" s="1" t="s">
        <v>801</v>
      </c>
      <c r="B111" s="1" t="str" cm="1">
        <f t="array" ref="B111">IF(A111="","",_xlfn.IFS(COUNTIF($U:$U,A111)&gt;0,"All uploaded",COUNTIF($V:$V,A111)&gt;0,"Partly uploaded",COUNTIF($W:$X,A111)&gt;0,"Not uploaded",TRUE,"Not classified"))</f>
        <v>Partly uploaded</v>
      </c>
      <c r="C111" s="1" t="str" cm="1">
        <f t="array" ref="C111">_xlfn.SWITCH(TRIM(I111),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1" s="1" t="s">
        <v>1</v>
      </c>
      <c r="E111" s="1" t="s">
        <v>4</v>
      </c>
      <c r="F111" s="1" t="str" cm="1">
        <f t="array" ref="F111">_xlfn.LET(
_xlpm.status,UPPER(TRIM(B111&amp;"")),
_xlpm.risk,UPPER(TRIM(C111&amp;"")),
_xlpm.notify,UPPER(TRIM(D111&amp;"")),
_xlpm.form,UPPER(TRIM(E111&amp;"")),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11" s="1" t="str">
        <f t="shared" si="1"/>
        <v>Required</v>
      </c>
      <c r="H111" s="5" t="s">
        <v>804</v>
      </c>
      <c r="I111" s="1" t="s">
        <v>101</v>
      </c>
      <c r="J111" s="1" t="s">
        <v>803</v>
      </c>
      <c r="K111" s="1" t="s">
        <v>795</v>
      </c>
      <c r="L111" s="1" t="s">
        <v>27</v>
      </c>
      <c r="M111" s="1" t="s">
        <v>28</v>
      </c>
      <c r="N111" s="1" t="s">
        <v>440</v>
      </c>
      <c r="O111" s="1" t="s">
        <v>19</v>
      </c>
      <c r="P111" s="1" t="s">
        <v>18</v>
      </c>
      <c r="Q111" s="1" t="s">
        <v>20</v>
      </c>
      <c r="R111" s="1" t="s">
        <v>802</v>
      </c>
      <c r="S111" s="1">
        <v>2</v>
      </c>
      <c r="T111" s="1" t="s">
        <v>805</v>
      </c>
      <c r="U111" t="s">
        <v>2929</v>
      </c>
      <c r="V111" t="s">
        <v>1531</v>
      </c>
      <c r="W111" t="s">
        <v>1111</v>
      </c>
    </row>
    <row r="112" spans="1:23">
      <c r="A112" s="1" t="s">
        <v>796</v>
      </c>
      <c r="B112" s="1" t="str" cm="1">
        <f t="array" ref="B112">IF(A112="","",_xlfn.IFS(COUNTIF($U:$U,A112)&gt;0,"All uploaded",COUNTIF($V:$V,A112)&gt;0,"Partly uploaded",COUNTIF($W:$X,A112)&gt;0,"Not uploaded",TRUE,"Not classified"))</f>
        <v>Partly uploaded</v>
      </c>
      <c r="C112" s="1" t="str" cm="1">
        <f t="array" ref="C112">_xlfn.SWITCH(TRIM(I112),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2" s="1" t="s">
        <v>1</v>
      </c>
      <c r="E112" s="1" t="s">
        <v>4</v>
      </c>
      <c r="F112" s="1" t="str" cm="1">
        <f t="array" ref="F112">_xlfn.LET(
_xlpm.status,UPPER(TRIM(B112&amp;"")),
_xlpm.risk,UPPER(TRIM(C112&amp;"")),
_xlpm.notify,UPPER(TRIM(D112&amp;"")),
_xlpm.form,UPPER(TRIM(E112&amp;"")),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12" s="1" t="str">
        <f t="shared" si="1"/>
        <v>Required</v>
      </c>
      <c r="H112" s="5" t="s">
        <v>799</v>
      </c>
      <c r="I112" s="1" t="s">
        <v>342</v>
      </c>
      <c r="J112" s="1" t="s">
        <v>798</v>
      </c>
      <c r="K112" s="1" t="s">
        <v>795</v>
      </c>
      <c r="L112" s="1" t="s">
        <v>27</v>
      </c>
      <c r="M112" s="1" t="s">
        <v>28</v>
      </c>
      <c r="N112" s="1" t="s">
        <v>797</v>
      </c>
      <c r="O112" s="1" t="s">
        <v>19</v>
      </c>
      <c r="P112" s="1" t="s">
        <v>18</v>
      </c>
      <c r="Q112" s="1" t="s">
        <v>20</v>
      </c>
      <c r="R112" s="1" t="s">
        <v>784</v>
      </c>
      <c r="S112" s="1">
        <v>9</v>
      </c>
      <c r="T112" s="1" t="s">
        <v>800</v>
      </c>
      <c r="U112" t="s">
        <v>2953</v>
      </c>
      <c r="V112" t="s">
        <v>1537</v>
      </c>
      <c r="W112" t="s">
        <v>1107</v>
      </c>
    </row>
    <row r="113" spans="1:23">
      <c r="A113" s="1" t="s">
        <v>796</v>
      </c>
      <c r="B113" s="1" t="str" cm="1">
        <f t="array" ref="B113">IF(A113="","",_xlfn.IFS(COUNTIF($U:$U,A113)&gt;0,"All uploaded",COUNTIF($V:$V,A113)&gt;0,"Partly uploaded",COUNTIF($W:$X,A113)&gt;0,"Not uploaded",TRUE,"Not classified"))</f>
        <v>Partly uploaded</v>
      </c>
      <c r="C113" s="1" t="str" cm="1">
        <f t="array" ref="C113">_xlfn.SWITCH(TRIM(I113),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3" s="1" t="s">
        <v>0</v>
      </c>
      <c r="E113" s="1" t="s">
        <v>4</v>
      </c>
      <c r="F113" s="1" t="str" cm="1">
        <f t="array" ref="F113">_xlfn.LET(
_xlpm.status,UPPER(TRIM(B113&amp;"")),
_xlpm.risk,UPPER(TRIM(C113&amp;"")),
_xlpm.notify,UPPER(TRIM(D113&amp;"")),
_xlpm.form,UPPER(TRIM(E113&amp;"")),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13" s="1" t="str">
        <f t="shared" si="1"/>
        <v>Required</v>
      </c>
      <c r="H113" s="5" t="s">
        <v>816</v>
      </c>
      <c r="I113" s="1" t="s">
        <v>342</v>
      </c>
      <c r="J113" s="1" t="s">
        <v>815</v>
      </c>
      <c r="K113" s="1" t="s">
        <v>795</v>
      </c>
      <c r="L113" s="1" t="s">
        <v>27</v>
      </c>
      <c r="M113" s="1" t="s">
        <v>28</v>
      </c>
      <c r="N113" s="1" t="s">
        <v>797</v>
      </c>
      <c r="O113" s="1" t="s">
        <v>19</v>
      </c>
      <c r="P113" s="1" t="s">
        <v>18</v>
      </c>
      <c r="Q113" s="1" t="s">
        <v>20</v>
      </c>
      <c r="R113" s="1" t="s">
        <v>110</v>
      </c>
      <c r="S113" s="1">
        <v>5</v>
      </c>
      <c r="T113" s="1" t="s">
        <v>817</v>
      </c>
      <c r="U113" t="s">
        <v>2968</v>
      </c>
      <c r="V113" t="s">
        <v>1590</v>
      </c>
      <c r="W113" t="s">
        <v>1109</v>
      </c>
    </row>
    <row r="114" spans="1:23">
      <c r="A114" s="1" t="s">
        <v>796</v>
      </c>
      <c r="B114" s="1" t="str" cm="1">
        <f t="array" ref="B114">IF(A114="","",_xlfn.IFS(COUNTIF($U:$U,A114)&gt;0,"All uploaded",COUNTIF($V:$V,A114)&gt;0,"Partly uploaded",COUNTIF($W:$X,A114)&gt;0,"Not uploaded",TRUE,"Not classified"))</f>
        <v>Partly uploaded</v>
      </c>
      <c r="C114" s="1" t="str" cm="1">
        <f t="array" ref="C114">_xlfn.SWITCH(TRIM(I114),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4" s="1" t="s">
        <v>0</v>
      </c>
      <c r="E114" s="1" t="s">
        <v>4</v>
      </c>
      <c r="F114" s="1" t="str" cm="1">
        <f t="array" ref="F114">_xlfn.LET(
_xlpm.status,UPPER(TRIM(B114&amp;"")),
_xlpm.risk,UPPER(TRIM(C114&amp;"")),
_xlpm.notify,UPPER(TRIM(D114&amp;"")),
_xlpm.form,UPPER(TRIM(E114&amp;"")),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14" s="1" t="str">
        <f t="shared" si="1"/>
        <v>Required</v>
      </c>
      <c r="H114" s="5" t="s">
        <v>819</v>
      </c>
      <c r="I114" s="1" t="s">
        <v>342</v>
      </c>
      <c r="J114" s="1" t="s">
        <v>818</v>
      </c>
      <c r="K114" s="1" t="s">
        <v>795</v>
      </c>
      <c r="L114" s="1" t="s">
        <v>27</v>
      </c>
      <c r="M114" s="1" t="s">
        <v>28</v>
      </c>
      <c r="N114" s="1" t="s">
        <v>797</v>
      </c>
      <c r="O114" s="1" t="s">
        <v>19</v>
      </c>
      <c r="P114" s="1" t="s">
        <v>18</v>
      </c>
      <c r="Q114" s="1" t="s">
        <v>20</v>
      </c>
      <c r="R114" s="1" t="s">
        <v>110</v>
      </c>
      <c r="S114" s="1">
        <v>5</v>
      </c>
      <c r="T114" s="1" t="s">
        <v>817</v>
      </c>
      <c r="U114" t="s">
        <v>2988</v>
      </c>
      <c r="V114" t="s">
        <v>1558</v>
      </c>
      <c r="W114" t="s">
        <v>1144</v>
      </c>
    </row>
    <row r="115" spans="1:23">
      <c r="A115" s="1" t="s">
        <v>820</v>
      </c>
      <c r="B115" s="1" t="str" cm="1">
        <f t="array" ref="B115">IF(A115="","",_xlfn.IFS(COUNTIF($U:$U,A115)&gt;0,"All uploaded",COUNTIF($V:$V,A115)&gt;0,"Partly uploaded",COUNTIF($W:$X,A115)&gt;0,"Not uploaded",TRUE,"Not classified"))</f>
        <v>All uploaded</v>
      </c>
      <c r="C115" s="1" t="str" cm="1">
        <f t="array" ref="C115">_xlfn.SWITCH(TRIM(I115),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5" s="1" t="s">
        <v>0</v>
      </c>
      <c r="E115" s="1" t="s">
        <v>4</v>
      </c>
      <c r="F115" s="1" t="str" cm="1">
        <f t="array" ref="F115">_xlfn.LET(
_xlpm.status,UPPER(TRIM(B115&amp;"")),
_xlpm.risk,UPPER(TRIM(C115&amp;"")),
_xlpm.notify,UPPER(TRIM(D115&amp;"")),
_xlpm.form,UPPER(TRIM(E115&amp;"")),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15" s="1" t="str">
        <f t="shared" si="1"/>
        <v>Required</v>
      </c>
      <c r="H115" s="5" t="s">
        <v>823</v>
      </c>
      <c r="I115" s="1" t="s">
        <v>87</v>
      </c>
      <c r="J115" s="1" t="s">
        <v>822</v>
      </c>
      <c r="K115" s="1" t="s">
        <v>795</v>
      </c>
      <c r="L115" s="1" t="s">
        <v>27</v>
      </c>
      <c r="M115" s="1" t="s">
        <v>75</v>
      </c>
      <c r="N115" s="1" t="s">
        <v>821</v>
      </c>
      <c r="O115" s="1" t="s">
        <v>19</v>
      </c>
      <c r="P115" s="1" t="s">
        <v>18</v>
      </c>
      <c r="Q115" s="1" t="s">
        <v>20</v>
      </c>
      <c r="R115" s="1" t="s">
        <v>784</v>
      </c>
      <c r="S115" s="1">
        <v>1</v>
      </c>
      <c r="T115" s="1" t="s">
        <v>824</v>
      </c>
      <c r="U115" t="s">
        <v>3050</v>
      </c>
      <c r="V115" t="s">
        <v>1570</v>
      </c>
      <c r="W115" t="s">
        <v>1147</v>
      </c>
    </row>
    <row r="116" spans="1:23">
      <c r="A116" s="1" t="s">
        <v>846</v>
      </c>
      <c r="B116" s="1" t="str" cm="1">
        <f t="array" ref="B116">IF(A116="","",_xlfn.IFS(COUNTIF($U:$U,A116)&gt;0,"All uploaded",COUNTIF($V:$V,A116)&gt;0,"Partly uploaded",COUNTIF($W:$X,A116)&gt;0,"Not uploaded",TRUE,"Not classified"))</f>
        <v>All uploaded</v>
      </c>
      <c r="C116" s="1" t="str" cm="1">
        <f t="array" ref="C116">_xlfn.SWITCH(TRIM(I116),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6" s="1" t="s">
        <v>1</v>
      </c>
      <c r="E116" s="1" t="s">
        <v>2</v>
      </c>
      <c r="F116" s="1" t="str" cm="1">
        <f t="array" ref="F116">_xlfn.LET(
_xlpm.status,UPPER(TRIM(B116&amp;"")),
_xlpm.risk,UPPER(TRIM(C116&amp;"")),
_xlpm.notify,UPPER(TRIM(D116&amp;"")),
_xlpm.form,UPPER(TRIM(E116&amp;"")),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16" s="1" t="str">
        <f t="shared" si="1"/>
        <v>NA</v>
      </c>
      <c r="H116" s="5" t="s">
        <v>849</v>
      </c>
      <c r="I116" s="1" t="s">
        <v>29</v>
      </c>
      <c r="J116" s="1" t="s">
        <v>848</v>
      </c>
      <c r="K116" s="1" t="s">
        <v>828</v>
      </c>
      <c r="L116" s="1" t="s">
        <v>23</v>
      </c>
      <c r="M116" s="1" t="s">
        <v>28</v>
      </c>
      <c r="N116" s="1" t="s">
        <v>847</v>
      </c>
      <c r="O116" s="1" t="s">
        <v>19</v>
      </c>
      <c r="P116" s="1" t="s">
        <v>18</v>
      </c>
      <c r="Q116" s="1" t="s">
        <v>20</v>
      </c>
      <c r="R116" s="1" t="s">
        <v>833</v>
      </c>
      <c r="S116" s="1">
        <v>1</v>
      </c>
      <c r="T116" s="1" t="s">
        <v>850</v>
      </c>
      <c r="U116" t="s">
        <v>3075</v>
      </c>
      <c r="V116" t="s">
        <v>1579</v>
      </c>
      <c r="W116" t="s">
        <v>1150</v>
      </c>
    </row>
    <row r="117" spans="1:23">
      <c r="A117" s="1" t="s">
        <v>842</v>
      </c>
      <c r="B117" s="1" t="str" cm="1">
        <f t="array" ref="B117">IF(A117="","",_xlfn.IFS(COUNTIF($U:$U,A117)&gt;0,"All uploaded",COUNTIF($V:$V,A117)&gt;0,"Partly uploaded",COUNTIF($W:$X,A117)&gt;0,"Not uploaded",TRUE,"Not classified"))</f>
        <v>All uploaded</v>
      </c>
      <c r="C117" s="1" t="str" cm="1">
        <f t="array" ref="C117">_xlfn.SWITCH(TRIM(I117),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7" s="1" t="s">
        <v>1</v>
      </c>
      <c r="E117" s="1" t="s">
        <v>4</v>
      </c>
      <c r="F117" s="1" t="str" cm="1">
        <f t="array" ref="F117">_xlfn.LET(
_xlpm.status,UPPER(TRIM(B117&amp;"")),
_xlpm.risk,UPPER(TRIM(C117&amp;"")),
_xlpm.notify,UPPER(TRIM(D117&amp;"")),
_xlpm.form,UPPER(TRIM(E117&amp;"")),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17" s="1" t="str">
        <f t="shared" si="1"/>
        <v>Required</v>
      </c>
      <c r="H117" s="5" t="s">
        <v>844</v>
      </c>
      <c r="I117" s="1" t="s">
        <v>56</v>
      </c>
      <c r="J117" s="1" t="s">
        <v>843</v>
      </c>
      <c r="K117" s="1" t="s">
        <v>828</v>
      </c>
      <c r="L117" s="1" t="s">
        <v>25</v>
      </c>
      <c r="M117" s="1" t="s">
        <v>28</v>
      </c>
      <c r="N117" s="1" t="s">
        <v>71</v>
      </c>
      <c r="O117" s="1" t="s">
        <v>19</v>
      </c>
      <c r="P117" s="1" t="s">
        <v>18</v>
      </c>
      <c r="Q117" s="1" t="s">
        <v>20</v>
      </c>
      <c r="R117" s="1" t="s">
        <v>833</v>
      </c>
      <c r="S117" s="1">
        <v>1</v>
      </c>
      <c r="T117" s="1" t="s">
        <v>845</v>
      </c>
      <c r="U117" t="s">
        <v>3091</v>
      </c>
      <c r="V117" t="s">
        <v>1577</v>
      </c>
      <c r="W117" t="s">
        <v>1153</v>
      </c>
    </row>
    <row r="118" spans="1:23">
      <c r="A118" s="1" t="s">
        <v>837</v>
      </c>
      <c r="B118" s="1" t="str" cm="1">
        <f t="array" ref="B118">IF(A118="","",_xlfn.IFS(COUNTIF($U:$U,A118)&gt;0,"All uploaded",COUNTIF($V:$V,A118)&gt;0,"Partly uploaded",COUNTIF($W:$X,A118)&gt;0,"Not uploaded",TRUE,"Not classified"))</f>
        <v>Partly uploaded</v>
      </c>
      <c r="C118" s="1" t="str" cm="1">
        <f t="array" ref="C118">_xlfn.SWITCH(TRIM(I118),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8" s="1" t="s">
        <v>1</v>
      </c>
      <c r="E118" s="1" t="s">
        <v>4</v>
      </c>
      <c r="F118" s="1" t="str" cm="1">
        <f t="array" ref="F118">_xlfn.LET(
_xlpm.status,UPPER(TRIM(B118&amp;"")),
_xlpm.risk,UPPER(TRIM(C118&amp;"")),
_xlpm.notify,UPPER(TRIM(D118&amp;"")),
_xlpm.form,UPPER(TRIM(E118&amp;"")),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18" s="1" t="str">
        <f t="shared" si="1"/>
        <v>Required</v>
      </c>
      <c r="H118" s="5" t="s">
        <v>840</v>
      </c>
      <c r="I118" s="1" t="s">
        <v>26</v>
      </c>
      <c r="J118" s="1" t="s">
        <v>839</v>
      </c>
      <c r="K118" s="1" t="s">
        <v>828</v>
      </c>
      <c r="L118" s="1" t="s">
        <v>25</v>
      </c>
      <c r="M118" s="1" t="s">
        <v>28</v>
      </c>
      <c r="N118" s="1" t="s">
        <v>838</v>
      </c>
      <c r="O118" s="1" t="s">
        <v>19</v>
      </c>
      <c r="P118" s="1" t="s">
        <v>18</v>
      </c>
      <c r="Q118" s="1" t="s">
        <v>20</v>
      </c>
      <c r="R118" s="1" t="s">
        <v>833</v>
      </c>
      <c r="S118" s="1">
        <v>1</v>
      </c>
      <c r="T118" s="1" t="s">
        <v>841</v>
      </c>
      <c r="U118" t="s">
        <v>3104</v>
      </c>
      <c r="V118" t="s">
        <v>1564</v>
      </c>
      <c r="W118" t="s">
        <v>1167</v>
      </c>
    </row>
    <row r="119" spans="1:23">
      <c r="A119" s="1" t="s">
        <v>831</v>
      </c>
      <c r="B119" s="1" t="str" cm="1">
        <f t="array" ref="B119">IF(A119="","",_xlfn.IFS(COUNTIF($U:$U,A119)&gt;0,"All uploaded",COUNTIF($V:$V,A119)&gt;0,"Partly uploaded",COUNTIF($W:$X,A119)&gt;0,"Not uploaded",TRUE,"Not classified"))</f>
        <v>Partly uploaded</v>
      </c>
      <c r="C119" s="1" t="str" cm="1">
        <f t="array" ref="C119">_xlfn.SWITCH(TRIM(I119),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9" s="1" t="s">
        <v>0</v>
      </c>
      <c r="E119" s="1" t="s">
        <v>4</v>
      </c>
      <c r="F119" s="1" t="str" cm="1">
        <f t="array" ref="F119">_xlfn.LET(
_xlpm.status,UPPER(TRIM(B119&amp;"")),
_xlpm.risk,UPPER(TRIM(C119&amp;"")),
_xlpm.notify,UPPER(TRIM(D119&amp;"")),
_xlpm.form,UPPER(TRIM(E119&amp;"")),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19" s="1" t="str">
        <f t="shared" si="1"/>
        <v>Required</v>
      </c>
      <c r="H119" s="5" t="s">
        <v>835</v>
      </c>
      <c r="I119" s="1" t="s">
        <v>87</v>
      </c>
      <c r="J119" s="1" t="s">
        <v>834</v>
      </c>
      <c r="K119" s="1" t="s">
        <v>828</v>
      </c>
      <c r="L119" s="1" t="s">
        <v>27</v>
      </c>
      <c r="M119" s="1" t="s">
        <v>75</v>
      </c>
      <c r="N119" s="1" t="s">
        <v>832</v>
      </c>
      <c r="O119" s="1" t="s">
        <v>19</v>
      </c>
      <c r="P119" s="1" t="s">
        <v>18</v>
      </c>
      <c r="Q119" s="1" t="s">
        <v>20</v>
      </c>
      <c r="R119" s="1" t="s">
        <v>833</v>
      </c>
      <c r="S119" s="1">
        <v>1</v>
      </c>
      <c r="T119" s="1" t="s">
        <v>836</v>
      </c>
      <c r="U119" t="s">
        <v>3112</v>
      </c>
      <c r="V119" t="s">
        <v>1609</v>
      </c>
      <c r="W119" t="s">
        <v>1166</v>
      </c>
    </row>
    <row r="120" spans="1:23">
      <c r="A120" s="1" t="s">
        <v>831</v>
      </c>
      <c r="B120" s="1" t="str" cm="1">
        <f t="array" ref="B120">IF(A120="","",_xlfn.IFS(COUNTIF($U:$U,A120)&gt;0,"All uploaded",COUNTIF($V:$V,A120)&gt;0,"Partly uploaded",COUNTIF($W:$X,A120)&gt;0,"Not uploaded",TRUE,"Not classified"))</f>
        <v>Partly uploaded</v>
      </c>
      <c r="C120" s="1" t="str" cm="1">
        <f t="array" ref="C120">_xlfn.SWITCH(TRIM(I120),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0" s="1" t="s">
        <v>1</v>
      </c>
      <c r="E120" s="1" t="s">
        <v>4</v>
      </c>
      <c r="F120" s="1" t="str" cm="1">
        <f t="array" ref="F120">_xlfn.LET(
_xlpm.status,UPPER(TRIM(B120&amp;"")),
_xlpm.risk,UPPER(TRIM(C120&amp;"")),
_xlpm.notify,UPPER(TRIM(D120&amp;"")),
_xlpm.form,UPPER(TRIM(E120&amp;"")),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20" s="1" t="str">
        <f t="shared" si="1"/>
        <v>Required</v>
      </c>
      <c r="H120" s="5" t="s">
        <v>923</v>
      </c>
      <c r="I120" s="1" t="s">
        <v>87</v>
      </c>
      <c r="J120" s="1" t="s">
        <v>922</v>
      </c>
      <c r="K120" s="1" t="s">
        <v>887</v>
      </c>
      <c r="L120" s="1" t="s">
        <v>27</v>
      </c>
      <c r="M120" s="1" t="s">
        <v>28</v>
      </c>
      <c r="N120" s="1" t="s">
        <v>832</v>
      </c>
      <c r="O120" s="1" t="s">
        <v>19</v>
      </c>
      <c r="P120" s="1" t="s">
        <v>18</v>
      </c>
      <c r="Q120" s="1" t="s">
        <v>20</v>
      </c>
      <c r="R120" s="1" t="s">
        <v>93</v>
      </c>
      <c r="S120" s="1">
        <v>1</v>
      </c>
      <c r="T120" s="1" t="s">
        <v>924</v>
      </c>
      <c r="U120" t="s">
        <v>3127</v>
      </c>
      <c r="V120" t="s">
        <v>1615</v>
      </c>
      <c r="W120" t="s">
        <v>1170</v>
      </c>
    </row>
    <row r="121" spans="1:23">
      <c r="A121" s="1" t="s">
        <v>831</v>
      </c>
      <c r="B121" s="1" t="str" cm="1">
        <f t="array" ref="B121">IF(A121="","",_xlfn.IFS(COUNTIF($U:$U,A121)&gt;0,"All uploaded",COUNTIF($V:$V,A121)&gt;0,"Partly uploaded",COUNTIF($W:$X,A121)&gt;0,"Not uploaded",TRUE,"Not classified"))</f>
        <v>Partly uploaded</v>
      </c>
      <c r="C121" s="1" t="str" cm="1">
        <f t="array" ref="C121">_xlfn.SWITCH(TRIM(I121),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1" s="1" t="s">
        <v>1</v>
      </c>
      <c r="E121" s="1" t="s">
        <v>4</v>
      </c>
      <c r="F121" s="1" t="str" cm="1">
        <f t="array" ref="F121">_xlfn.LET(
_xlpm.status,UPPER(TRIM(B121&amp;"")),
_xlpm.risk,UPPER(TRIM(C121&amp;"")),
_xlpm.notify,UPPER(TRIM(D121&amp;"")),
_xlpm.form,UPPER(TRIM(E121&amp;"")),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21" s="1" t="str">
        <f t="shared" si="1"/>
        <v>Required</v>
      </c>
      <c r="H121" s="5" t="s">
        <v>926</v>
      </c>
      <c r="I121" s="1" t="s">
        <v>87</v>
      </c>
      <c r="J121" s="1" t="s">
        <v>925</v>
      </c>
      <c r="K121" s="1" t="s">
        <v>887</v>
      </c>
      <c r="L121" s="1" t="s">
        <v>27</v>
      </c>
      <c r="M121" s="1" t="s">
        <v>28</v>
      </c>
      <c r="N121" s="1" t="s">
        <v>832</v>
      </c>
      <c r="O121" s="1" t="s">
        <v>19</v>
      </c>
      <c r="P121" s="1" t="s">
        <v>18</v>
      </c>
      <c r="Q121" s="1" t="s">
        <v>20</v>
      </c>
      <c r="R121" s="1" t="s">
        <v>902</v>
      </c>
      <c r="S121" s="1">
        <v>1</v>
      </c>
      <c r="T121" s="1" t="s">
        <v>924</v>
      </c>
      <c r="U121" t="s">
        <v>3176</v>
      </c>
      <c r="V121" t="s">
        <v>1621</v>
      </c>
      <c r="W121" t="s">
        <v>1173</v>
      </c>
    </row>
    <row r="122" spans="1:23">
      <c r="A122" s="1" t="s">
        <v>852</v>
      </c>
      <c r="B122" s="1" t="str" cm="1">
        <f t="array" ref="B122">IF(A122="","",_xlfn.IFS(COUNTIF($U:$U,A122)&gt;0,"All uploaded",COUNTIF($V:$V,A122)&gt;0,"Partly uploaded",COUNTIF($W:$X,A122)&gt;0,"Not uploaded",TRUE,"Not classified"))</f>
        <v>Partly uploaded</v>
      </c>
      <c r="C122" s="1" t="str" cm="1">
        <f t="array" ref="C122">_xlfn.SWITCH(TRIM(I122),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2" s="1" t="s">
        <v>1</v>
      </c>
      <c r="E122" s="1" t="s">
        <v>4</v>
      </c>
      <c r="F122" s="1" t="str" cm="1">
        <f t="array" ref="F122">_xlfn.LET(
_xlpm.status,UPPER(TRIM(B122&amp;"")),
_xlpm.risk,UPPER(TRIM(C122&amp;"")),
_xlpm.notify,UPPER(TRIM(D122&amp;"")),
_xlpm.form,UPPER(TRIM(E122&amp;"")),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22" s="1" t="str">
        <f t="shared" si="1"/>
        <v>NA</v>
      </c>
      <c r="H122" s="5" t="s">
        <v>856</v>
      </c>
      <c r="I122" s="1" t="s">
        <v>29</v>
      </c>
      <c r="J122" s="1" t="s">
        <v>855</v>
      </c>
      <c r="K122" s="1" t="s">
        <v>851</v>
      </c>
      <c r="L122" s="1" t="s">
        <v>22</v>
      </c>
      <c r="M122" s="1" t="s">
        <v>77</v>
      </c>
      <c r="N122" s="1" t="s">
        <v>853</v>
      </c>
      <c r="O122" s="1" t="s">
        <v>19</v>
      </c>
      <c r="P122" s="1" t="s">
        <v>18</v>
      </c>
      <c r="Q122" s="1" t="s">
        <v>20</v>
      </c>
      <c r="R122" s="1" t="s">
        <v>854</v>
      </c>
      <c r="S122" s="1">
        <v>44</v>
      </c>
      <c r="T122" s="1" t="s">
        <v>857</v>
      </c>
      <c r="U122" t="s">
        <v>3185</v>
      </c>
      <c r="V122" t="s">
        <v>1634</v>
      </c>
      <c r="W122" t="s">
        <v>1204</v>
      </c>
    </row>
    <row r="123" spans="1:23">
      <c r="A123" s="1" t="s">
        <v>867</v>
      </c>
      <c r="B123" s="1" t="str" cm="1">
        <f t="array" ref="B123">IF(A123="","",_xlfn.IFS(COUNTIF($U:$U,A123)&gt;0,"All uploaded",COUNTIF($V:$V,A123)&gt;0,"Partly uploaded",COUNTIF($W:$X,A123)&gt;0,"Not uploaded",TRUE,"Not classified"))</f>
        <v>All uploaded</v>
      </c>
      <c r="C123" s="1" t="str" cm="1">
        <f t="array" ref="C123">_xlfn.SWITCH(TRIM(I123),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3" s="1" t="s">
        <v>1</v>
      </c>
      <c r="E123" s="1" t="s">
        <v>4</v>
      </c>
      <c r="F123" s="1" t="str" cm="1">
        <f t="array" ref="F123">_xlfn.LET(
_xlpm.status,UPPER(TRIM(B123&amp;"")),
_xlpm.risk,UPPER(TRIM(C123&amp;"")),
_xlpm.notify,UPPER(TRIM(D123&amp;"")),
_xlpm.form,UPPER(TRIM(E123&amp;"")),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23" s="1" t="str">
        <f t="shared" si="1"/>
        <v>Required</v>
      </c>
      <c r="H123" s="5" t="s">
        <v>871</v>
      </c>
      <c r="I123" s="1" t="s">
        <v>47</v>
      </c>
      <c r="J123" s="1" t="s">
        <v>870</v>
      </c>
      <c r="K123" s="1" t="s">
        <v>866</v>
      </c>
      <c r="L123" s="1" t="s">
        <v>27</v>
      </c>
      <c r="M123" s="1" t="s">
        <v>28</v>
      </c>
      <c r="N123" s="1" t="s">
        <v>868</v>
      </c>
      <c r="O123" s="1" t="s">
        <v>19</v>
      </c>
      <c r="P123" s="1" t="s">
        <v>18</v>
      </c>
      <c r="Q123" s="1" t="s">
        <v>20</v>
      </c>
      <c r="R123" s="1" t="s">
        <v>869</v>
      </c>
      <c r="S123" s="1">
        <v>7</v>
      </c>
      <c r="T123" s="1" t="s">
        <v>872</v>
      </c>
      <c r="U123" t="s">
        <v>3215</v>
      </c>
      <c r="V123" t="s">
        <v>1688</v>
      </c>
      <c r="W123" t="s">
        <v>1207</v>
      </c>
    </row>
    <row r="124" spans="1:23">
      <c r="A124" s="1" t="s">
        <v>867</v>
      </c>
      <c r="B124" s="1" t="str" cm="1">
        <f t="array" ref="B124">IF(A124="","",_xlfn.IFS(COUNTIF($U:$U,A124)&gt;0,"All uploaded",COUNTIF($V:$V,A124)&gt;0,"Partly uploaded",COUNTIF($W:$X,A124)&gt;0,"Not uploaded",TRUE,"Not classified"))</f>
        <v>All uploaded</v>
      </c>
      <c r="C124" s="1" t="str" cm="1">
        <f t="array" ref="C124">_xlfn.SWITCH(TRIM(I124),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4" s="1" t="s">
        <v>1</v>
      </c>
      <c r="E124" s="1" t="s">
        <v>2</v>
      </c>
      <c r="F124" s="1" t="str" cm="1">
        <f t="array" ref="F124">_xlfn.LET(
_xlpm.status,UPPER(TRIM(B124&amp;"")),
_xlpm.risk,UPPER(TRIM(C124&amp;"")),
_xlpm.notify,UPPER(TRIM(D124&amp;"")),
_xlpm.form,UPPER(TRIM(E124&amp;"")),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24" s="1" t="str">
        <f t="shared" si="1"/>
        <v>NA</v>
      </c>
      <c r="H124" s="5" t="s">
        <v>876</v>
      </c>
      <c r="I124" s="1" t="s">
        <v>47</v>
      </c>
      <c r="J124" s="1" t="s">
        <v>875</v>
      </c>
      <c r="K124" s="1" t="s">
        <v>866</v>
      </c>
      <c r="L124" s="1" t="s">
        <v>27</v>
      </c>
      <c r="M124" s="1" t="s">
        <v>28</v>
      </c>
      <c r="N124" s="1" t="s">
        <v>868</v>
      </c>
      <c r="O124" s="1" t="s">
        <v>19</v>
      </c>
      <c r="P124" s="1" t="s">
        <v>18</v>
      </c>
      <c r="Q124" s="1" t="s">
        <v>20</v>
      </c>
      <c r="R124" s="1" t="s">
        <v>650</v>
      </c>
      <c r="S124" s="1">
        <v>3</v>
      </c>
      <c r="T124" s="1" t="s">
        <v>877</v>
      </c>
      <c r="U124" t="s">
        <v>3205</v>
      </c>
      <c r="V124" t="s">
        <v>1652</v>
      </c>
      <c r="W124" t="s">
        <v>1210</v>
      </c>
    </row>
    <row r="125" spans="1:23">
      <c r="A125" s="1" t="s">
        <v>888</v>
      </c>
      <c r="B125" s="1" t="str" cm="1">
        <f t="array" ref="B125">IF(A125="","",_xlfn.IFS(COUNTIF($U:$U,A125)&gt;0,"All uploaded",COUNTIF($V:$V,A125)&gt;0,"Partly uploaded",COUNTIF($W:$X,A125)&gt;0,"Not uploaded",TRUE,"Not classified"))</f>
        <v>Partly uploaded</v>
      </c>
      <c r="C125" s="1" t="str" cm="1">
        <f t="array" ref="C125">_xlfn.SWITCH(TRIM(I125),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5" s="1" t="s">
        <v>1</v>
      </c>
      <c r="E125" s="1" t="s">
        <v>4</v>
      </c>
      <c r="F125" s="1" t="str" cm="1">
        <f t="array" ref="F125">_xlfn.LET(
_xlpm.status,UPPER(TRIM(B125&amp;"")),
_xlpm.risk,UPPER(TRIM(C125&amp;"")),
_xlpm.notify,UPPER(TRIM(D125&amp;"")),
_xlpm.form,UPPER(TRIM(E125&amp;"")),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25" s="1" t="str">
        <f t="shared" si="1"/>
        <v>NA</v>
      </c>
      <c r="H125" s="5" t="s">
        <v>907</v>
      </c>
      <c r="I125" s="1" t="s">
        <v>29</v>
      </c>
      <c r="J125" s="1" t="s">
        <v>906</v>
      </c>
      <c r="K125" s="1" t="s">
        <v>887</v>
      </c>
      <c r="L125" s="1" t="s">
        <v>23</v>
      </c>
      <c r="M125" s="1" t="s">
        <v>28</v>
      </c>
      <c r="N125" s="1" t="s">
        <v>889</v>
      </c>
      <c r="O125" s="1" t="s">
        <v>19</v>
      </c>
      <c r="P125" s="1" t="s">
        <v>18</v>
      </c>
      <c r="Q125" s="1" t="s">
        <v>20</v>
      </c>
      <c r="R125" s="1" t="s">
        <v>869</v>
      </c>
      <c r="S125" s="1">
        <v>4</v>
      </c>
      <c r="T125" s="1" t="s">
        <v>908</v>
      </c>
      <c r="U125" t="s">
        <v>3247</v>
      </c>
      <c r="V125" t="s">
        <v>1653</v>
      </c>
      <c r="W125" t="s">
        <v>1299</v>
      </c>
    </row>
    <row r="126" spans="1:23">
      <c r="A126" s="1" t="s">
        <v>890</v>
      </c>
      <c r="B126" s="1" t="str" cm="1">
        <f t="array" ref="B126">IF(A126="","",_xlfn.IFS(COUNTIF($U:$U,A126)&gt;0,"All uploaded",COUNTIF($V:$V,A126)&gt;0,"Partly uploaded",COUNTIF($W:$X,A126)&gt;0,"Not uploaded",TRUE,"Not classified"))</f>
        <v>Partly uploaded</v>
      </c>
      <c r="C126" s="1" t="str" cm="1">
        <f t="array" ref="C126">_xlfn.SWITCH(TRIM(I126),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6" s="1" t="s">
        <v>1</v>
      </c>
      <c r="E126" s="1" t="s">
        <v>4</v>
      </c>
      <c r="F126" s="1" t="str" cm="1">
        <f t="array" ref="F126">_xlfn.LET(
_xlpm.status,UPPER(TRIM(B126&amp;"")),
_xlpm.risk,UPPER(TRIM(C126&amp;"")),
_xlpm.notify,UPPER(TRIM(D126&amp;"")),
_xlpm.form,UPPER(TRIM(E126&amp;"")),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26" s="1" t="str">
        <f t="shared" si="1"/>
        <v>Required</v>
      </c>
      <c r="H126" s="5" t="s">
        <v>893</v>
      </c>
      <c r="I126" s="1" t="s">
        <v>87</v>
      </c>
      <c r="J126" s="1" t="s">
        <v>892</v>
      </c>
      <c r="K126" s="1" t="s">
        <v>887</v>
      </c>
      <c r="L126" s="1" t="s">
        <v>27</v>
      </c>
      <c r="M126" s="1" t="s">
        <v>28</v>
      </c>
      <c r="N126" s="1" t="s">
        <v>891</v>
      </c>
      <c r="O126" s="1" t="s">
        <v>19</v>
      </c>
      <c r="P126" s="1" t="s">
        <v>18</v>
      </c>
      <c r="Q126" s="1" t="s">
        <v>20</v>
      </c>
      <c r="R126" s="1" t="s">
        <v>802</v>
      </c>
      <c r="S126" s="1">
        <v>11</v>
      </c>
      <c r="T126" s="1" t="s">
        <v>894</v>
      </c>
      <c r="U126" t="s">
        <v>3268</v>
      </c>
      <c r="V126" t="s">
        <v>1684</v>
      </c>
      <c r="W126" t="s">
        <v>1301</v>
      </c>
    </row>
    <row r="127" spans="1:23">
      <c r="A127" s="1" t="s">
        <v>890</v>
      </c>
      <c r="B127" s="1" t="str" cm="1">
        <f t="array" ref="B127">IF(A127="","",_xlfn.IFS(COUNTIF($U:$U,A127)&gt;0,"All uploaded",COUNTIF($V:$V,A127)&gt;0,"Partly uploaded",COUNTIF($W:$X,A127)&gt;0,"Not uploaded",TRUE,"Not classified"))</f>
        <v>Partly uploaded</v>
      </c>
      <c r="C127" s="1" t="str" cm="1">
        <f t="array" ref="C127">_xlfn.SWITCH(TRIM(I127),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7" s="1" t="s">
        <v>1</v>
      </c>
      <c r="E127" s="1" t="s">
        <v>4</v>
      </c>
      <c r="F127" s="1" t="str" cm="1">
        <f t="array" ref="F127">_xlfn.LET(
_xlpm.status,UPPER(TRIM(B127&amp;"")),
_xlpm.risk,UPPER(TRIM(C127&amp;"")),
_xlpm.notify,UPPER(TRIM(D127&amp;"")),
_xlpm.form,UPPER(TRIM(E127&amp;"")),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27" s="1" t="str">
        <f t="shared" si="1"/>
        <v>Required</v>
      </c>
      <c r="H127" s="5" t="s">
        <v>901</v>
      </c>
      <c r="I127" s="1" t="s">
        <v>87</v>
      </c>
      <c r="J127" s="1" t="s">
        <v>900</v>
      </c>
      <c r="K127" s="1" t="s">
        <v>887</v>
      </c>
      <c r="L127" s="1" t="s">
        <v>27</v>
      </c>
      <c r="M127" s="1" t="s">
        <v>28</v>
      </c>
      <c r="N127" s="1" t="s">
        <v>891</v>
      </c>
      <c r="O127" s="1" t="s">
        <v>19</v>
      </c>
      <c r="P127" s="1" t="s">
        <v>18</v>
      </c>
      <c r="Q127" s="1" t="s">
        <v>20</v>
      </c>
      <c r="R127" s="1" t="s">
        <v>110</v>
      </c>
      <c r="S127" s="1">
        <v>6</v>
      </c>
      <c r="T127" s="1" t="s">
        <v>899</v>
      </c>
      <c r="U127" t="s">
        <v>3274</v>
      </c>
      <c r="V127" t="s">
        <v>1651</v>
      </c>
      <c r="W127" t="s">
        <v>1310</v>
      </c>
    </row>
    <row r="128" spans="1:23">
      <c r="A128" s="1" t="s">
        <v>890</v>
      </c>
      <c r="B128" s="1" t="str" cm="1">
        <f t="array" ref="B128">IF(A128="","",_xlfn.IFS(COUNTIF($U:$U,A128)&gt;0,"All uploaded",COUNTIF($V:$V,A128)&gt;0,"Partly uploaded",COUNTIF($W:$X,A128)&gt;0,"Not uploaded",TRUE,"Not classified"))</f>
        <v>Partly uploaded</v>
      </c>
      <c r="C128" s="1" t="str" cm="1">
        <f t="array" ref="C128">_xlfn.SWITCH(TRIM(I128),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8" s="1" t="s">
        <v>1</v>
      </c>
      <c r="E128" s="1" t="s">
        <v>4</v>
      </c>
      <c r="F128" s="1" t="str" cm="1">
        <f t="array" ref="F128">_xlfn.LET(
_xlpm.status,UPPER(TRIM(B128&amp;"")),
_xlpm.risk,UPPER(TRIM(C128&amp;"")),
_xlpm.notify,UPPER(TRIM(D128&amp;"")),
_xlpm.form,UPPER(TRIM(E128&amp;"")),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28" s="1" t="str">
        <f t="shared" si="1"/>
        <v>Required</v>
      </c>
      <c r="H128" s="5" t="s">
        <v>897</v>
      </c>
      <c r="I128" s="1" t="s">
        <v>87</v>
      </c>
      <c r="J128" s="1" t="s">
        <v>896</v>
      </c>
      <c r="K128" s="1" t="s">
        <v>887</v>
      </c>
      <c r="L128" s="1" t="s">
        <v>27</v>
      </c>
      <c r="M128" s="1" t="s">
        <v>28</v>
      </c>
      <c r="N128" s="1" t="s">
        <v>891</v>
      </c>
      <c r="O128" s="1" t="s">
        <v>19</v>
      </c>
      <c r="P128" s="1" t="s">
        <v>18</v>
      </c>
      <c r="Q128" s="1" t="s">
        <v>20</v>
      </c>
      <c r="R128" s="1" t="s">
        <v>895</v>
      </c>
      <c r="S128" s="1">
        <v>9</v>
      </c>
      <c r="T128" s="1" t="s">
        <v>898</v>
      </c>
      <c r="U128" t="s">
        <v>3329</v>
      </c>
      <c r="V128" t="s">
        <v>1646</v>
      </c>
      <c r="W128" t="s">
        <v>1356</v>
      </c>
    </row>
    <row r="129" spans="1:23">
      <c r="A129" s="1" t="s">
        <v>890</v>
      </c>
      <c r="B129" s="1" t="str" cm="1">
        <f t="array" ref="B129">IF(A129="","",_xlfn.IFS(COUNTIF($U:$U,A129)&gt;0,"All uploaded",COUNTIF($V:$V,A129)&gt;0,"Partly uploaded",COUNTIF($W:$X,A129)&gt;0,"Not uploaded",TRUE,"Not classified"))</f>
        <v>Partly uploaded</v>
      </c>
      <c r="C129" s="1" t="str" cm="1">
        <f t="array" ref="C129">_xlfn.SWITCH(TRIM(I129),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9" s="1" t="s">
        <v>1</v>
      </c>
      <c r="E129" s="1" t="s">
        <v>2</v>
      </c>
      <c r="F129" s="1" t="str" cm="1">
        <f t="array" ref="F129">_xlfn.LET(
_xlpm.status,UPPER(TRIM(B129&amp;"")),
_xlpm.risk,UPPER(TRIM(C129&amp;"")),
_xlpm.notify,UPPER(TRIM(D129&amp;"")),
_xlpm.form,UPPER(TRIM(E129&amp;"")),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29" s="1" t="str">
        <f t="shared" si="1"/>
        <v>NA</v>
      </c>
      <c r="H129" s="5" t="s">
        <v>939</v>
      </c>
      <c r="I129" s="1" t="s">
        <v>87</v>
      </c>
      <c r="J129" s="1" t="s">
        <v>938</v>
      </c>
      <c r="K129" s="1" t="s">
        <v>887</v>
      </c>
      <c r="L129" s="1" t="s">
        <v>27</v>
      </c>
      <c r="M129" s="1" t="s">
        <v>28</v>
      </c>
      <c r="N129" s="1" t="s">
        <v>891</v>
      </c>
      <c r="O129" s="1" t="s">
        <v>19</v>
      </c>
      <c r="P129" s="1" t="s">
        <v>18</v>
      </c>
      <c r="Q129" s="1" t="s">
        <v>20</v>
      </c>
      <c r="R129" s="1" t="s">
        <v>895</v>
      </c>
      <c r="S129" s="1">
        <v>1</v>
      </c>
      <c r="T129" s="1" t="s">
        <v>940</v>
      </c>
      <c r="U129" t="s">
        <v>3355</v>
      </c>
      <c r="V129" t="s">
        <v>1666</v>
      </c>
      <c r="W129" t="s">
        <v>1318</v>
      </c>
    </row>
    <row r="130" spans="1:23">
      <c r="A130" s="1" t="s">
        <v>890</v>
      </c>
      <c r="B130" s="1" t="str" cm="1">
        <f t="array" ref="B130">IF(A130="","",_xlfn.IFS(COUNTIF($U:$U,A130)&gt;0,"All uploaded",COUNTIF($V:$V,A130)&gt;0,"Partly uploaded",COUNTIF($W:$X,A130)&gt;0,"Not uploaded",TRUE,"Not classified"))</f>
        <v>Partly uploaded</v>
      </c>
      <c r="C130" s="1" t="str" cm="1">
        <f t="array" ref="C130">_xlfn.SWITCH(TRIM(I130),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30" s="1" t="s">
        <v>1</v>
      </c>
      <c r="E130" s="1" t="s">
        <v>4</v>
      </c>
      <c r="F130" s="1" t="str" cm="1">
        <f t="array" ref="F130">_xlfn.LET(
_xlpm.status,UPPER(TRIM(B130&amp;"")),
_xlpm.risk,UPPER(TRIM(C130&amp;"")),
_xlpm.notify,UPPER(TRIM(D130&amp;"")),
_xlpm.form,UPPER(TRIM(E130&amp;"")),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30" s="1" t="str">
        <f t="shared" si="1"/>
        <v>Required</v>
      </c>
      <c r="H130" s="5" t="s">
        <v>904</v>
      </c>
      <c r="I130" s="1" t="s">
        <v>87</v>
      </c>
      <c r="J130" s="1" t="s">
        <v>903</v>
      </c>
      <c r="K130" s="1" t="s">
        <v>887</v>
      </c>
      <c r="L130" s="1" t="s">
        <v>27</v>
      </c>
      <c r="M130" s="1" t="s">
        <v>28</v>
      </c>
      <c r="N130" s="1" t="s">
        <v>891</v>
      </c>
      <c r="O130" s="1" t="s">
        <v>19</v>
      </c>
      <c r="P130" s="1" t="s">
        <v>18</v>
      </c>
      <c r="Q130" s="1" t="s">
        <v>20</v>
      </c>
      <c r="R130" s="1" t="s">
        <v>902</v>
      </c>
      <c r="S130" s="1">
        <v>1</v>
      </c>
      <c r="T130" s="1" t="s">
        <v>905</v>
      </c>
      <c r="U130" t="s">
        <v>3371</v>
      </c>
      <c r="V130" t="s">
        <v>1713</v>
      </c>
      <c r="W130" t="s">
        <v>1339</v>
      </c>
    </row>
    <row r="131" spans="1:23">
      <c r="A131" s="1" t="s">
        <v>909</v>
      </c>
      <c r="B131" s="1" t="str" cm="1">
        <f t="array" ref="B131">IF(A131="","",_xlfn.IFS(COUNTIF($U:$U,A131)&gt;0,"All uploaded",COUNTIF($V:$V,A131)&gt;0,"Partly uploaded",COUNTIF($W:$X,A131)&gt;0,"Not uploaded",TRUE,"Not classified"))</f>
        <v>All uploaded</v>
      </c>
      <c r="C131" s="1" t="str" cm="1">
        <f t="array" ref="C131">_xlfn.SWITCH(TRIM(I131),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31" s="1" t="s">
        <v>1</v>
      </c>
      <c r="E131" s="1" t="s">
        <v>4</v>
      </c>
      <c r="F131" s="1" t="str" cm="1">
        <f t="array" ref="F131">_xlfn.LET(
_xlpm.status,UPPER(TRIM(B131&amp;"")),
_xlpm.risk,UPPER(TRIM(C131&amp;"")),
_xlpm.notify,UPPER(TRIM(D131&amp;"")),
_xlpm.form,UPPER(TRIM(E131&amp;"")),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31" s="1" t="str">
        <f t="shared" ref="G131:G194" si="2">IF(AND(UPPER(TRIM(C131&amp;""))="MAJOR",OR(TRIM(D131&amp;"")="",UPPER(TRIM(E131&amp;""))="REJECT")),"Required","NA")</f>
        <v>Required</v>
      </c>
      <c r="H131" s="5" t="s">
        <v>912</v>
      </c>
      <c r="I131" s="1" t="s">
        <v>47</v>
      </c>
      <c r="J131" s="1" t="s">
        <v>911</v>
      </c>
      <c r="K131" s="1" t="s">
        <v>887</v>
      </c>
      <c r="L131" s="1" t="s">
        <v>27</v>
      </c>
      <c r="M131" s="1" t="s">
        <v>28</v>
      </c>
      <c r="N131" s="1" t="s">
        <v>910</v>
      </c>
      <c r="O131" s="1" t="s">
        <v>19</v>
      </c>
      <c r="P131" s="1" t="s">
        <v>18</v>
      </c>
      <c r="Q131" s="1" t="s">
        <v>20</v>
      </c>
      <c r="R131" s="1" t="s">
        <v>93</v>
      </c>
      <c r="S131" s="1">
        <v>1</v>
      </c>
      <c r="T131" s="1" t="s">
        <v>913</v>
      </c>
      <c r="U131" t="s">
        <v>3483</v>
      </c>
      <c r="V131" t="s">
        <v>1711</v>
      </c>
      <c r="W131" t="s">
        <v>1343</v>
      </c>
    </row>
    <row r="132" spans="1:23">
      <c r="A132" s="1" t="s">
        <v>920</v>
      </c>
      <c r="B132" s="1" t="str" cm="1">
        <f t="array" ref="B132">IF(A132="","",_xlfn.IFS(COUNTIF($U:$U,A132)&gt;0,"All uploaded",COUNTIF($V:$V,A132)&gt;0,"Partly uploaded",COUNTIF($W:$X,A132)&gt;0,"Not uploaded",TRUE,"Not classified"))</f>
        <v>Partly uploaded</v>
      </c>
      <c r="C132" s="1" t="str" cm="1">
        <f t="array" ref="C132">_xlfn.SWITCH(TRIM(I132),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32" s="1" t="s">
        <v>0</v>
      </c>
      <c r="E132" s="1" t="s">
        <v>4</v>
      </c>
      <c r="F132" s="1" t="str" cm="1">
        <f t="array" ref="F132">_xlfn.LET(
_xlpm.status,UPPER(TRIM(B132&amp;"")),
_xlpm.risk,UPPER(TRIM(C132&amp;"")),
_xlpm.notify,UPPER(TRIM(D132&amp;"")),
_xlpm.form,UPPER(TRIM(E132&amp;"")),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32" s="1" t="str">
        <f t="shared" si="2"/>
        <v>Required</v>
      </c>
      <c r="H132" s="5" t="s">
        <v>928</v>
      </c>
      <c r="I132" s="1" t="s">
        <v>47</v>
      </c>
      <c r="J132" s="1" t="s">
        <v>927</v>
      </c>
      <c r="K132" s="1" t="s">
        <v>887</v>
      </c>
      <c r="L132" s="1" t="s">
        <v>27</v>
      </c>
      <c r="M132" s="1" t="s">
        <v>75</v>
      </c>
      <c r="N132" s="1" t="s">
        <v>921</v>
      </c>
      <c r="O132" s="1" t="s">
        <v>19</v>
      </c>
      <c r="P132" s="1" t="s">
        <v>18</v>
      </c>
      <c r="Q132" s="1" t="s">
        <v>20</v>
      </c>
      <c r="R132" s="1" t="s">
        <v>869</v>
      </c>
      <c r="S132" s="1">
        <v>4</v>
      </c>
      <c r="T132" s="1" t="s">
        <v>929</v>
      </c>
      <c r="U132" t="s">
        <v>3592</v>
      </c>
      <c r="V132" t="s">
        <v>1732</v>
      </c>
      <c r="W132" t="s">
        <v>1337</v>
      </c>
    </row>
    <row r="133" spans="1:23">
      <c r="A133" s="1" t="s">
        <v>914</v>
      </c>
      <c r="B133" s="1" t="str" cm="1">
        <f t="array" ref="B133">IF(A133="","",_xlfn.IFS(COUNTIF($U:$U,A133)&gt;0,"All uploaded",COUNTIF($V:$V,A133)&gt;0,"Partly uploaded",COUNTIF($W:$X,A133)&gt;0,"Not uploaded",TRUE,"Not classified"))</f>
        <v>Partly uploaded</v>
      </c>
      <c r="C133" s="1" t="str" cm="1">
        <f t="array" ref="C133">_xlfn.SWITCH(TRIM(I133),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33" s="1" t="s">
        <v>1</v>
      </c>
      <c r="E133" s="1" t="s">
        <v>4</v>
      </c>
      <c r="F133" s="1" t="str" cm="1">
        <f t="array" ref="F133">_xlfn.LET(
_xlpm.status,UPPER(TRIM(B133&amp;"")),
_xlpm.risk,UPPER(TRIM(C133&amp;"")),
_xlpm.notify,UPPER(TRIM(D133&amp;"")),
_xlpm.form,UPPER(TRIM(E133&amp;"")),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33" s="1" t="str">
        <f t="shared" si="2"/>
        <v>Required</v>
      </c>
      <c r="H133" s="5" t="s">
        <v>931</v>
      </c>
      <c r="I133" s="1" t="s">
        <v>87</v>
      </c>
      <c r="J133" s="1" t="s">
        <v>930</v>
      </c>
      <c r="K133" s="1" t="s">
        <v>887</v>
      </c>
      <c r="L133" s="1" t="s">
        <v>27</v>
      </c>
      <c r="M133" s="1" t="s">
        <v>28</v>
      </c>
      <c r="N133" s="1" t="s">
        <v>915</v>
      </c>
      <c r="O133" s="1" t="s">
        <v>19</v>
      </c>
      <c r="P133" s="1" t="s">
        <v>18</v>
      </c>
      <c r="Q133" s="1" t="s">
        <v>20</v>
      </c>
      <c r="R133" s="1" t="s">
        <v>802</v>
      </c>
      <c r="S133" s="1">
        <v>3</v>
      </c>
      <c r="T133" s="1" t="s">
        <v>932</v>
      </c>
      <c r="U133" t="s">
        <v>3807</v>
      </c>
      <c r="V133" t="s">
        <v>1867</v>
      </c>
      <c r="W133" t="s">
        <v>1385</v>
      </c>
    </row>
    <row r="134" spans="1:23">
      <c r="A134" s="1" t="s">
        <v>914</v>
      </c>
      <c r="B134" s="1" t="str" cm="1">
        <f t="array" ref="B134">IF(A134="","",_xlfn.IFS(COUNTIF($U:$U,A134)&gt;0,"All uploaded",COUNTIF($V:$V,A134)&gt;0,"Partly uploaded",COUNTIF($W:$X,A134)&gt;0,"Not uploaded",TRUE,"Not classified"))</f>
        <v>Partly uploaded</v>
      </c>
      <c r="C134" s="1" t="str" cm="1">
        <f t="array" ref="C134">_xlfn.SWITCH(TRIM(I134),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34" s="1" t="s">
        <v>1</v>
      </c>
      <c r="E134" s="1" t="s">
        <v>2</v>
      </c>
      <c r="F134" s="1" t="str" cm="1">
        <f t="array" ref="F134">_xlfn.LET(
_xlpm.status,UPPER(TRIM(B134&amp;"")),
_xlpm.risk,UPPER(TRIM(C134&amp;"")),
_xlpm.notify,UPPER(TRIM(D134&amp;"")),
_xlpm.form,UPPER(TRIM(E134&amp;"")),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34" s="1" t="str">
        <f t="shared" si="2"/>
        <v>NA</v>
      </c>
      <c r="H134" s="5" t="s">
        <v>918</v>
      </c>
      <c r="I134" s="1" t="s">
        <v>87</v>
      </c>
      <c r="J134" s="1" t="s">
        <v>917</v>
      </c>
      <c r="K134" s="1" t="s">
        <v>887</v>
      </c>
      <c r="L134" s="1" t="s">
        <v>27</v>
      </c>
      <c r="M134" s="1" t="s">
        <v>28</v>
      </c>
      <c r="N134" s="1" t="s">
        <v>915</v>
      </c>
      <c r="O134" s="1" t="s">
        <v>19</v>
      </c>
      <c r="P134" s="1" t="s">
        <v>18</v>
      </c>
      <c r="Q134" s="1" t="s">
        <v>20</v>
      </c>
      <c r="R134" s="1" t="s">
        <v>916</v>
      </c>
      <c r="S134" s="1">
        <v>3</v>
      </c>
      <c r="T134" s="1" t="s">
        <v>919</v>
      </c>
      <c r="U134" t="s">
        <v>3837</v>
      </c>
      <c r="V134" t="s">
        <v>1737</v>
      </c>
      <c r="W134" t="s">
        <v>1423</v>
      </c>
    </row>
    <row r="135" spans="1:23">
      <c r="A135" s="1" t="s">
        <v>933</v>
      </c>
      <c r="B135" s="1" t="str" cm="1">
        <f t="array" ref="B135">IF(A135="","",_xlfn.IFS(COUNTIF($U:$U,A135)&gt;0,"All uploaded",COUNTIF($V:$V,A135)&gt;0,"Partly uploaded",COUNTIF($W:$X,A135)&gt;0,"Not uploaded",TRUE,"Not classified"))</f>
        <v>All uploaded</v>
      </c>
      <c r="C135" s="1" t="str" cm="1">
        <f t="array" ref="C135">_xlfn.SWITCH(TRIM(I135),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35" s="1" t="s">
        <v>1</v>
      </c>
      <c r="E135" s="1" t="s">
        <v>4</v>
      </c>
      <c r="F135" s="1" t="str" cm="1">
        <f t="array" ref="F135">_xlfn.LET(
_xlpm.status,UPPER(TRIM(B135&amp;"")),
_xlpm.risk,UPPER(TRIM(C135&amp;"")),
_xlpm.notify,UPPER(TRIM(D135&amp;"")),
_xlpm.form,UPPER(TRIM(E135&amp;"")),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35" s="1" t="str">
        <f t="shared" si="2"/>
        <v>Required</v>
      </c>
      <c r="H135" s="5" t="s">
        <v>937</v>
      </c>
      <c r="I135" s="1" t="s">
        <v>47</v>
      </c>
      <c r="J135" s="1" t="s">
        <v>936</v>
      </c>
      <c r="K135" s="1" t="s">
        <v>887</v>
      </c>
      <c r="L135" s="1" t="s">
        <v>27</v>
      </c>
      <c r="M135" s="1" t="s">
        <v>28</v>
      </c>
      <c r="N135" s="1" t="s">
        <v>934</v>
      </c>
      <c r="O135" s="1" t="s">
        <v>19</v>
      </c>
      <c r="P135" s="1" t="s">
        <v>18</v>
      </c>
      <c r="Q135" s="1" t="s">
        <v>20</v>
      </c>
      <c r="R135" s="1" t="s">
        <v>935</v>
      </c>
      <c r="S135" s="1">
        <v>1</v>
      </c>
      <c r="T135" s="1" t="s">
        <v>141</v>
      </c>
      <c r="V135" t="s">
        <v>1781</v>
      </c>
      <c r="W135" t="s">
        <v>1444</v>
      </c>
    </row>
    <row r="136" spans="1:23">
      <c r="A136" s="1" t="s">
        <v>965</v>
      </c>
      <c r="B136" s="1" t="str" cm="1">
        <f t="array" ref="B136">IF(A136="","",_xlfn.IFS(COUNTIF($U:$U,A136)&gt;0,"All uploaded",COUNTIF($V:$V,A136)&gt;0,"Partly uploaded",COUNTIF($W:$X,A136)&gt;0,"Not uploaded",TRUE,"Not classified"))</f>
        <v>Partly uploaded</v>
      </c>
      <c r="C136" s="1" t="str" cm="1">
        <f t="array" ref="C136">_xlfn.SWITCH(TRIM(I136),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36" s="1" t="s">
        <v>1</v>
      </c>
      <c r="E136" s="1" t="s">
        <v>4</v>
      </c>
      <c r="F136" s="1" t="str" cm="1">
        <f t="array" ref="F136">_xlfn.LET(
_xlpm.status,UPPER(TRIM(B136&amp;"")),
_xlpm.risk,UPPER(TRIM(C136&amp;"")),
_xlpm.notify,UPPER(TRIM(D136&amp;"")),
_xlpm.form,UPPER(TRIM(E136&amp;"")),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36" s="1" t="str">
        <f t="shared" si="2"/>
        <v>Required</v>
      </c>
      <c r="H136" s="5" t="s">
        <v>968</v>
      </c>
      <c r="I136" s="1" t="s">
        <v>26</v>
      </c>
      <c r="J136" s="1" t="s">
        <v>967</v>
      </c>
      <c r="K136" s="1" t="s">
        <v>941</v>
      </c>
      <c r="L136" s="1" t="s">
        <v>25</v>
      </c>
      <c r="M136" s="1" t="s">
        <v>28</v>
      </c>
      <c r="N136" s="1" t="s">
        <v>966</v>
      </c>
      <c r="O136" s="1" t="s">
        <v>19</v>
      </c>
      <c r="P136" s="1" t="s">
        <v>18</v>
      </c>
      <c r="Q136" s="1" t="s">
        <v>20</v>
      </c>
      <c r="R136" s="1" t="s">
        <v>943</v>
      </c>
      <c r="S136" s="1">
        <v>12</v>
      </c>
      <c r="T136" s="1" t="s">
        <v>969</v>
      </c>
      <c r="V136" t="s">
        <v>2044</v>
      </c>
      <c r="W136" t="s">
        <v>1442</v>
      </c>
    </row>
    <row r="137" spans="1:23">
      <c r="A137" s="1" t="s">
        <v>953</v>
      </c>
      <c r="B137" s="1" t="str" cm="1">
        <f t="array" ref="B137">IF(A137="","",_xlfn.IFS(COUNTIF($U:$U,A137)&gt;0,"All uploaded",COUNTIF($V:$V,A137)&gt;0,"Partly uploaded",COUNTIF($W:$X,A137)&gt;0,"Not uploaded",TRUE,"Not classified"))</f>
        <v>Partly uploaded</v>
      </c>
      <c r="C137" s="1" t="str" cm="1">
        <f t="array" ref="C137">_xlfn.SWITCH(TRIM(I137),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37" s="1" t="s">
        <v>1</v>
      </c>
      <c r="E137" s="1" t="s">
        <v>4</v>
      </c>
      <c r="F137" s="1" t="str" cm="1">
        <f t="array" ref="F137">_xlfn.LET(
_xlpm.status,UPPER(TRIM(B137&amp;"")),
_xlpm.risk,UPPER(TRIM(C137&amp;"")),
_xlpm.notify,UPPER(TRIM(D137&amp;"")),
_xlpm.form,UPPER(TRIM(E137&amp;"")),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37" s="1" t="str">
        <f t="shared" si="2"/>
        <v>Required</v>
      </c>
      <c r="H137" s="5" t="s">
        <v>956</v>
      </c>
      <c r="I137" s="1" t="s">
        <v>101</v>
      </c>
      <c r="J137" s="1" t="s">
        <v>955</v>
      </c>
      <c r="K137" s="1" t="s">
        <v>941</v>
      </c>
      <c r="L137" s="1" t="s">
        <v>27</v>
      </c>
      <c r="M137" s="1" t="s">
        <v>28</v>
      </c>
      <c r="N137" s="1" t="s">
        <v>954</v>
      </c>
      <c r="O137" s="1" t="s">
        <v>19</v>
      </c>
      <c r="P137" s="1" t="s">
        <v>18</v>
      </c>
      <c r="Q137" s="1" t="s">
        <v>20</v>
      </c>
      <c r="R137" s="1" t="s">
        <v>943</v>
      </c>
      <c r="S137" s="1">
        <v>4</v>
      </c>
      <c r="T137" s="1" t="s">
        <v>957</v>
      </c>
      <c r="V137" t="s">
        <v>1805</v>
      </c>
      <c r="W137" t="s">
        <v>1440</v>
      </c>
    </row>
    <row r="138" spans="1:23">
      <c r="A138" s="1" t="s">
        <v>942</v>
      </c>
      <c r="B138" s="1" t="str" cm="1">
        <f t="array" ref="B138">IF(A138="","",_xlfn.IFS(COUNTIF($U:$U,A138)&gt;0,"All uploaded",COUNTIF($V:$V,A138)&gt;0,"Partly uploaded",COUNTIF($W:$X,A138)&gt;0,"Not uploaded",TRUE,"Not classified"))</f>
        <v>Partly uploaded</v>
      </c>
      <c r="C138" s="1" t="str" cm="1">
        <f t="array" ref="C138">_xlfn.SWITCH(TRIM(I138),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38" s="1" t="s">
        <v>1</v>
      </c>
      <c r="E138" s="1" t="s">
        <v>4</v>
      </c>
      <c r="F138" s="1" t="str" cm="1">
        <f t="array" ref="F138">_xlfn.LET(
_xlpm.status,UPPER(TRIM(B138&amp;"")),
_xlpm.risk,UPPER(TRIM(C138&amp;"")),
_xlpm.notify,UPPER(TRIM(D138&amp;"")),
_xlpm.form,UPPER(TRIM(E138&amp;"")),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38" s="1" t="str">
        <f t="shared" si="2"/>
        <v>Required</v>
      </c>
      <c r="H138" s="5" t="s">
        <v>945</v>
      </c>
      <c r="I138" s="1" t="s">
        <v>101</v>
      </c>
      <c r="J138" s="1" t="s">
        <v>944</v>
      </c>
      <c r="K138" s="1" t="s">
        <v>941</v>
      </c>
      <c r="L138" s="1" t="s">
        <v>27</v>
      </c>
      <c r="M138" s="1" t="s">
        <v>28</v>
      </c>
      <c r="N138" s="1" t="s">
        <v>440</v>
      </c>
      <c r="O138" s="1" t="s">
        <v>19</v>
      </c>
      <c r="P138" s="1" t="s">
        <v>18</v>
      </c>
      <c r="Q138" s="1" t="s">
        <v>20</v>
      </c>
      <c r="R138" s="1" t="s">
        <v>943</v>
      </c>
      <c r="S138" s="1">
        <v>2</v>
      </c>
      <c r="T138" s="1" t="s">
        <v>946</v>
      </c>
      <c r="V138" t="s">
        <v>1819</v>
      </c>
      <c r="W138" t="s">
        <v>1453</v>
      </c>
    </row>
    <row r="139" spans="1:23">
      <c r="A139" s="1" t="s">
        <v>947</v>
      </c>
      <c r="B139" s="1" t="str" cm="1">
        <f t="array" ref="B139">IF(A139="","",_xlfn.IFS(COUNTIF($U:$U,A139)&gt;0,"All uploaded",COUNTIF($V:$V,A139)&gt;0,"Partly uploaded",COUNTIF($W:$X,A139)&gt;0,"Not uploaded",TRUE,"Not classified"))</f>
        <v>Partly uploaded</v>
      </c>
      <c r="C139" s="1" t="str" cm="1">
        <f t="array" ref="C139">_xlfn.SWITCH(TRIM(I139),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39" s="1" t="s">
        <v>1</v>
      </c>
      <c r="E139" s="1" t="s">
        <v>4</v>
      </c>
      <c r="F139" s="1" t="str" cm="1">
        <f t="array" ref="F139">_xlfn.LET(
_xlpm.status,UPPER(TRIM(B139&amp;"")),
_xlpm.risk,UPPER(TRIM(C139&amp;"")),
_xlpm.notify,UPPER(TRIM(D139&amp;"")),
_xlpm.form,UPPER(TRIM(E139&amp;"")),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39" s="1" t="str">
        <f t="shared" si="2"/>
        <v>Required</v>
      </c>
      <c r="H139" s="5" t="s">
        <v>951</v>
      </c>
      <c r="I139" s="1" t="s">
        <v>948</v>
      </c>
      <c r="J139" s="1" t="s">
        <v>950</v>
      </c>
      <c r="K139" s="1" t="s">
        <v>941</v>
      </c>
      <c r="L139" s="1" t="s">
        <v>27</v>
      </c>
      <c r="M139" s="1" t="s">
        <v>28</v>
      </c>
      <c r="N139" s="1" t="s">
        <v>440</v>
      </c>
      <c r="O139" s="1" t="s">
        <v>19</v>
      </c>
      <c r="P139" s="1" t="s">
        <v>18</v>
      </c>
      <c r="Q139" s="1" t="s">
        <v>20</v>
      </c>
      <c r="R139" s="1" t="s">
        <v>949</v>
      </c>
      <c r="S139" s="1">
        <v>2</v>
      </c>
      <c r="T139" s="1" t="s">
        <v>952</v>
      </c>
      <c r="V139" t="s">
        <v>1824</v>
      </c>
      <c r="W139" t="s">
        <v>1479</v>
      </c>
    </row>
    <row r="140" spans="1:23">
      <c r="A140" s="1" t="s">
        <v>974</v>
      </c>
      <c r="B140" s="1" t="str" cm="1">
        <f t="array" ref="B140">IF(A140="","",_xlfn.IFS(COUNTIF($U:$U,A140)&gt;0,"All uploaded",COUNTIF($V:$V,A140)&gt;0,"Partly uploaded",COUNTIF($W:$X,A140)&gt;0,"Not uploaded",TRUE,"Not classified"))</f>
        <v>Partly uploaded</v>
      </c>
      <c r="C140" s="1" t="str" cm="1">
        <f t="array" ref="C140">_xlfn.SWITCH(TRIM(I140),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40" s="1" t="s">
        <v>1</v>
      </c>
      <c r="E140" s="1" t="s">
        <v>2</v>
      </c>
      <c r="F140" s="1" t="str" cm="1">
        <f t="array" ref="F140">_xlfn.LET(
_xlpm.status,UPPER(TRIM(B140&amp;"")),
_xlpm.risk,UPPER(TRIM(C140&amp;"")),
_xlpm.notify,UPPER(TRIM(D140&amp;"")),
_xlpm.form,UPPER(TRIM(E140&amp;"")),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40" s="1" t="str">
        <f t="shared" si="2"/>
        <v>NA</v>
      </c>
      <c r="H140" s="5" t="s">
        <v>983</v>
      </c>
      <c r="I140" s="1" t="s">
        <v>101</v>
      </c>
      <c r="J140" s="1" t="s">
        <v>982</v>
      </c>
      <c r="K140" s="1" t="s">
        <v>941</v>
      </c>
      <c r="L140" s="1" t="s">
        <v>27</v>
      </c>
      <c r="M140" s="1" t="s">
        <v>28</v>
      </c>
      <c r="N140" s="1" t="s">
        <v>655</v>
      </c>
      <c r="O140" s="1" t="s">
        <v>19</v>
      </c>
      <c r="P140" s="1" t="s">
        <v>18</v>
      </c>
      <c r="Q140" s="1" t="s">
        <v>20</v>
      </c>
      <c r="R140" s="1" t="s">
        <v>949</v>
      </c>
      <c r="S140" s="1">
        <v>2</v>
      </c>
      <c r="T140" s="1" t="s">
        <v>984</v>
      </c>
      <c r="V140" t="s">
        <v>1833</v>
      </c>
      <c r="W140" t="s">
        <v>1481</v>
      </c>
    </row>
    <row r="141" spans="1:23">
      <c r="A141" s="1" t="s">
        <v>973</v>
      </c>
      <c r="B141" s="1" t="str" cm="1">
        <f t="array" ref="B141">IF(A141="","",_xlfn.IFS(COUNTIF($U:$U,A141)&gt;0,"All uploaded",COUNTIF($V:$V,A141)&gt;0,"Partly uploaded",COUNTIF($W:$X,A141)&gt;0,"Not uploaded",TRUE,"Not classified"))</f>
        <v>Partly uploaded</v>
      </c>
      <c r="C141" s="1" t="str" cm="1">
        <f t="array" ref="C141">_xlfn.SWITCH(TRIM(I141),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41" s="1" t="s">
        <v>1</v>
      </c>
      <c r="E141" s="1" t="s">
        <v>4</v>
      </c>
      <c r="F141" s="1" t="str" cm="1">
        <f t="array" ref="F141">_xlfn.LET(
_xlpm.status,UPPER(TRIM(B141&amp;"")),
_xlpm.risk,UPPER(TRIM(C141&amp;"")),
_xlpm.notify,UPPER(TRIM(D141&amp;"")),
_xlpm.form,UPPER(TRIM(E141&amp;"")),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41" s="1" t="str">
        <f t="shared" si="2"/>
        <v>NA</v>
      </c>
      <c r="H141" s="5" t="s">
        <v>978</v>
      </c>
      <c r="I141" s="1" t="s">
        <v>49</v>
      </c>
      <c r="J141" s="1" t="s">
        <v>977</v>
      </c>
      <c r="K141" s="1" t="s">
        <v>941</v>
      </c>
      <c r="L141" s="1" t="s">
        <v>48</v>
      </c>
      <c r="M141" s="1" t="s">
        <v>28</v>
      </c>
      <c r="N141" s="1" t="s">
        <v>52</v>
      </c>
      <c r="O141" s="1" t="s">
        <v>19</v>
      </c>
      <c r="P141" s="1" t="s">
        <v>18</v>
      </c>
      <c r="Q141" s="1" t="s">
        <v>20</v>
      </c>
      <c r="R141" s="1" t="s">
        <v>731</v>
      </c>
      <c r="S141" s="1">
        <v>6</v>
      </c>
      <c r="T141" s="1" t="s">
        <v>979</v>
      </c>
      <c r="V141" t="s">
        <v>1838</v>
      </c>
      <c r="W141" t="s">
        <v>1697</v>
      </c>
    </row>
    <row r="142" spans="1:23">
      <c r="A142" s="1" t="s">
        <v>960</v>
      </c>
      <c r="B142" s="1" t="str" cm="1">
        <f t="array" ref="B142">IF(A142="","",_xlfn.IFS(COUNTIF($U:$U,A142)&gt;0,"All uploaded",COUNTIF($V:$V,A142)&gt;0,"Partly uploaded",COUNTIF($W:$X,A142)&gt;0,"Not uploaded",TRUE,"Not classified"))</f>
        <v>Partly uploaded</v>
      </c>
      <c r="C142" s="1" t="str" cm="1">
        <f t="array" ref="C142">_xlfn.SWITCH(TRIM(I142),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42" s="1" t="s">
        <v>1</v>
      </c>
      <c r="E142" s="1" t="s">
        <v>4</v>
      </c>
      <c r="F142" s="1" t="str" cm="1">
        <f t="array" ref="F142">_xlfn.LET(
_xlpm.status,UPPER(TRIM(B142&amp;"")),
_xlpm.risk,UPPER(TRIM(C142&amp;"")),
_xlpm.notify,UPPER(TRIM(D142&amp;"")),
_xlpm.form,UPPER(TRIM(E142&amp;"")),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42" s="1" t="str">
        <f t="shared" si="2"/>
        <v>NA</v>
      </c>
      <c r="H142" s="5" t="s">
        <v>963</v>
      </c>
      <c r="I142" s="1" t="s">
        <v>49</v>
      </c>
      <c r="J142" s="1" t="s">
        <v>962</v>
      </c>
      <c r="K142" s="1" t="s">
        <v>941</v>
      </c>
      <c r="L142" s="1" t="s">
        <v>48</v>
      </c>
      <c r="M142" s="1" t="s">
        <v>28</v>
      </c>
      <c r="N142" s="1" t="s">
        <v>961</v>
      </c>
      <c r="O142" s="1" t="s">
        <v>19</v>
      </c>
      <c r="P142" s="1" t="s">
        <v>18</v>
      </c>
      <c r="Q142" s="1" t="s">
        <v>20</v>
      </c>
      <c r="R142" s="1" t="s">
        <v>129</v>
      </c>
      <c r="S142" s="1">
        <v>12</v>
      </c>
      <c r="T142" s="1" t="s">
        <v>964</v>
      </c>
      <c r="V142" t="s">
        <v>1851</v>
      </c>
      <c r="W142" t="s">
        <v>1502</v>
      </c>
    </row>
    <row r="143" spans="1:23">
      <c r="A143" s="1" t="s">
        <v>992</v>
      </c>
      <c r="B143" s="1" t="str" cm="1">
        <f t="array" ref="B143">IF(A143="","",_xlfn.IFS(COUNTIF($U:$U,A143)&gt;0,"All uploaded",COUNTIF($V:$V,A143)&gt;0,"Partly uploaded",COUNTIF($W:$X,A143)&gt;0,"Not uploaded",TRUE,"Not classified"))</f>
        <v>Partly uploaded</v>
      </c>
      <c r="C143" s="1" t="str" cm="1">
        <f t="array" ref="C143">_xlfn.SWITCH(TRIM(I143),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43" s="1" t="s">
        <v>1</v>
      </c>
      <c r="E143" s="1" t="s">
        <v>4</v>
      </c>
      <c r="F143" s="1" t="str" cm="1">
        <f t="array" ref="F143">_xlfn.LET(
_xlpm.status,UPPER(TRIM(B143&amp;"")),
_xlpm.risk,UPPER(TRIM(C143&amp;"")),
_xlpm.notify,UPPER(TRIM(D143&amp;"")),
_xlpm.form,UPPER(TRIM(E143&amp;"")),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43" s="1" t="str">
        <f t="shared" si="2"/>
        <v>Required</v>
      </c>
      <c r="H143" s="5" t="s">
        <v>996</v>
      </c>
      <c r="I143" s="1" t="s">
        <v>53</v>
      </c>
      <c r="J143" s="1" t="s">
        <v>995</v>
      </c>
      <c r="K143" s="1" t="s">
        <v>941</v>
      </c>
      <c r="L143" s="1" t="s">
        <v>27</v>
      </c>
      <c r="M143" s="1" t="s">
        <v>80</v>
      </c>
      <c r="N143" s="1" t="s">
        <v>993</v>
      </c>
      <c r="O143" s="1" t="s">
        <v>19</v>
      </c>
      <c r="P143" s="1" t="s">
        <v>18</v>
      </c>
      <c r="Q143" s="1" t="s">
        <v>20</v>
      </c>
      <c r="R143" s="1" t="s">
        <v>949</v>
      </c>
      <c r="S143" s="1">
        <v>1</v>
      </c>
      <c r="T143" s="1" t="s">
        <v>997</v>
      </c>
      <c r="V143" t="s">
        <v>1846</v>
      </c>
      <c r="W143" t="s">
        <v>1504</v>
      </c>
    </row>
    <row r="144" spans="1:23">
      <c r="A144" s="1" t="s">
        <v>987</v>
      </c>
      <c r="B144" s="1" t="str" cm="1">
        <f t="array" ref="B144">IF(A144="","",_xlfn.IFS(COUNTIF($U:$U,A144)&gt;0,"All uploaded",COUNTIF($V:$V,A144)&gt;0,"Partly uploaded",COUNTIF($W:$X,A144)&gt;0,"Not uploaded",TRUE,"Not classified"))</f>
        <v>Partly uploaded</v>
      </c>
      <c r="C144" s="1" t="str" cm="1">
        <f t="array" ref="C144">_xlfn.SWITCH(TRIM(I144),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44" s="1" t="s">
        <v>0</v>
      </c>
      <c r="E144" s="1" t="s">
        <v>4</v>
      </c>
      <c r="F144" s="1" t="str" cm="1">
        <f t="array" ref="F144">_xlfn.LET(
_xlpm.status,UPPER(TRIM(B144&amp;"")),
_xlpm.risk,UPPER(TRIM(C144&amp;"")),
_xlpm.notify,UPPER(TRIM(D144&amp;"")),
_xlpm.form,UPPER(TRIM(E144&amp;"")),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44" s="1" t="str">
        <f t="shared" si="2"/>
        <v>NA</v>
      </c>
      <c r="H144" s="5" t="s">
        <v>990</v>
      </c>
      <c r="I144" s="1" t="s">
        <v>29</v>
      </c>
      <c r="J144" s="1" t="s">
        <v>989</v>
      </c>
      <c r="K144" s="1" t="s">
        <v>941</v>
      </c>
      <c r="L144" s="1" t="s">
        <v>23</v>
      </c>
      <c r="M144" s="1" t="s">
        <v>75</v>
      </c>
      <c r="N144" s="1" t="s">
        <v>988</v>
      </c>
      <c r="O144" s="1" t="s">
        <v>19</v>
      </c>
      <c r="P144" s="1" t="s">
        <v>18</v>
      </c>
      <c r="Q144" s="1" t="s">
        <v>20</v>
      </c>
      <c r="R144" s="1" t="s">
        <v>949</v>
      </c>
      <c r="S144" s="1">
        <v>1</v>
      </c>
      <c r="T144" s="1" t="s">
        <v>991</v>
      </c>
      <c r="V144" t="s">
        <v>1863</v>
      </c>
      <c r="W144" t="s">
        <v>1587</v>
      </c>
    </row>
    <row r="145" spans="1:23">
      <c r="A145" s="1" t="s">
        <v>958</v>
      </c>
      <c r="B145" s="1" t="str" cm="1">
        <f t="array" ref="B145">IF(A145="","",_xlfn.IFS(COUNTIF($U:$U,A145)&gt;0,"All uploaded",COUNTIF($V:$V,A145)&gt;0,"Partly uploaded",COUNTIF($W:$X,A145)&gt;0,"Not uploaded",TRUE,"Not classified"))</f>
        <v>Partly uploaded</v>
      </c>
      <c r="C145" s="1" t="str" cm="1">
        <f t="array" ref="C145">_xlfn.SWITCH(TRIM(I145),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45" s="1" t="s">
        <v>1</v>
      </c>
      <c r="E145" s="1" t="s">
        <v>3</v>
      </c>
      <c r="F145" s="1" t="str" cm="1">
        <f t="array" ref="F145">_xlfn.LET(
_xlpm.status,UPPER(TRIM(B145&amp;"")),
_xlpm.risk,UPPER(TRIM(C145&amp;"")),
_xlpm.notify,UPPER(TRIM(D145&amp;"")),
_xlpm.form,UPPER(TRIM(E145&amp;"")),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145" s="1" t="str">
        <f t="shared" si="2"/>
        <v>NA</v>
      </c>
      <c r="H145" s="5" t="s">
        <v>971</v>
      </c>
      <c r="I145" s="1" t="s">
        <v>26</v>
      </c>
      <c r="J145" s="1" t="s">
        <v>970</v>
      </c>
      <c r="K145" s="1" t="s">
        <v>941</v>
      </c>
      <c r="L145" s="1" t="s">
        <v>25</v>
      </c>
      <c r="M145" s="1" t="s">
        <v>28</v>
      </c>
      <c r="N145" s="1" t="s">
        <v>959</v>
      </c>
      <c r="O145" s="1" t="s">
        <v>19</v>
      </c>
      <c r="P145" s="1" t="s">
        <v>18</v>
      </c>
      <c r="Q145" s="1" t="s">
        <v>20</v>
      </c>
      <c r="R145" s="1" t="s">
        <v>731</v>
      </c>
      <c r="S145" s="1">
        <v>23</v>
      </c>
      <c r="T145" s="1" t="s">
        <v>972</v>
      </c>
      <c r="V145" t="s">
        <v>1878</v>
      </c>
      <c r="W145" t="s">
        <v>1575</v>
      </c>
    </row>
    <row r="146" spans="1:23">
      <c r="A146" s="1" t="s">
        <v>999</v>
      </c>
      <c r="B146" s="1" t="str" cm="1">
        <f t="array" ref="B146">IF(A146="","",_xlfn.IFS(COUNTIF($U:$U,A146)&gt;0,"All uploaded",COUNTIF($V:$V,A146)&gt;0,"Partly uploaded",COUNTIF($W:$X,A146)&gt;0,"Not uploaded",TRUE,"Not classified"))</f>
        <v>Partly uploaded</v>
      </c>
      <c r="C146" s="1" t="str" cm="1">
        <f t="array" ref="C146">_xlfn.SWITCH(TRIM(I146),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46" s="1" t="s">
        <v>1</v>
      </c>
      <c r="E146" s="1" t="s">
        <v>4</v>
      </c>
      <c r="F146" s="1" t="str" cm="1">
        <f t="array" ref="F146">_xlfn.LET(
_xlpm.status,UPPER(TRIM(B146&amp;"")),
_xlpm.risk,UPPER(TRIM(C146&amp;"")),
_xlpm.notify,UPPER(TRIM(D146&amp;"")),
_xlpm.form,UPPER(TRIM(E146&amp;"")),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46" s="1" t="str">
        <f t="shared" si="2"/>
        <v>Required</v>
      </c>
      <c r="H146" s="5" t="s">
        <v>1003</v>
      </c>
      <c r="I146" s="1" t="s">
        <v>118</v>
      </c>
      <c r="J146" s="1" t="s">
        <v>1002</v>
      </c>
      <c r="K146" s="1" t="s">
        <v>998</v>
      </c>
      <c r="L146" s="1" t="s">
        <v>25</v>
      </c>
      <c r="M146" s="1" t="s">
        <v>28</v>
      </c>
      <c r="N146" s="1" t="s">
        <v>1000</v>
      </c>
      <c r="O146" s="1" t="s">
        <v>19</v>
      </c>
      <c r="P146" s="1" t="s">
        <v>18</v>
      </c>
      <c r="Q146" s="1" t="s">
        <v>20</v>
      </c>
      <c r="R146" s="1" t="s">
        <v>1001</v>
      </c>
      <c r="S146" s="1">
        <v>10</v>
      </c>
      <c r="T146" s="1" t="s">
        <v>1004</v>
      </c>
      <c r="V146" t="s">
        <v>1889</v>
      </c>
      <c r="W146" t="s">
        <v>1604</v>
      </c>
    </row>
    <row r="147" spans="1:23">
      <c r="A147" s="1" t="s">
        <v>999</v>
      </c>
      <c r="B147" s="1" t="str" cm="1">
        <f t="array" ref="B147">IF(A147="","",_xlfn.IFS(COUNTIF($U:$U,A147)&gt;0,"All uploaded",COUNTIF($V:$V,A147)&gt;0,"Partly uploaded",COUNTIF($W:$X,A147)&gt;0,"Not uploaded",TRUE,"Not classified"))</f>
        <v>Partly uploaded</v>
      </c>
      <c r="C147" s="1" t="str" cm="1">
        <f t="array" ref="C147">_xlfn.SWITCH(TRIM(I147),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47" s="1" t="s">
        <v>1</v>
      </c>
      <c r="E147" s="1" t="s">
        <v>4</v>
      </c>
      <c r="F147" s="1" t="str" cm="1">
        <f t="array" ref="F147">_xlfn.LET(
_xlpm.status,UPPER(TRIM(B147&amp;"")),
_xlpm.risk,UPPER(TRIM(C147&amp;"")),
_xlpm.notify,UPPER(TRIM(D147&amp;"")),
_xlpm.form,UPPER(TRIM(E147&amp;"")),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47" s="1" t="str">
        <f t="shared" si="2"/>
        <v>Required</v>
      </c>
      <c r="H147" s="5" t="s">
        <v>1007</v>
      </c>
      <c r="I147" s="1" t="s">
        <v>118</v>
      </c>
      <c r="J147" s="1" t="s">
        <v>1006</v>
      </c>
      <c r="K147" s="1" t="s">
        <v>998</v>
      </c>
      <c r="L147" s="1" t="s">
        <v>25</v>
      </c>
      <c r="M147" s="1" t="s">
        <v>28</v>
      </c>
      <c r="N147" s="1" t="s">
        <v>1000</v>
      </c>
      <c r="O147" s="1" t="s">
        <v>19</v>
      </c>
      <c r="P147" s="1" t="s">
        <v>18</v>
      </c>
      <c r="Q147" s="1" t="s">
        <v>20</v>
      </c>
      <c r="R147" s="1" t="s">
        <v>1005</v>
      </c>
      <c r="S147" s="1">
        <v>2</v>
      </c>
      <c r="T147" s="1" t="s">
        <v>1008</v>
      </c>
      <c r="V147" t="s">
        <v>1897</v>
      </c>
      <c r="W147" t="s">
        <v>1606</v>
      </c>
    </row>
    <row r="148" spans="1:23">
      <c r="A148" s="1" t="s">
        <v>1022</v>
      </c>
      <c r="B148" s="1" t="str" cm="1">
        <f t="array" ref="B148">IF(A148="","",_xlfn.IFS(COUNTIF($U:$U,A148)&gt;0,"All uploaded",COUNTIF($V:$V,A148)&gt;0,"Partly uploaded",COUNTIF($W:$X,A148)&gt;0,"Not uploaded",TRUE,"Not classified"))</f>
        <v>Partly uploaded</v>
      </c>
      <c r="C148" s="1" t="str" cm="1">
        <f t="array" ref="C148">_xlfn.SWITCH(TRIM(I148),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48" s="1" t="s">
        <v>1</v>
      </c>
      <c r="E148" s="1" t="s">
        <v>4</v>
      </c>
      <c r="F148" s="1" t="str" cm="1">
        <f t="array" ref="F148">_xlfn.LET(
_xlpm.status,UPPER(TRIM(B148&amp;"")),
_xlpm.risk,UPPER(TRIM(C148&amp;"")),
_xlpm.notify,UPPER(TRIM(D148&amp;"")),
_xlpm.form,UPPER(TRIM(E148&amp;"")),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48" s="1" t="str">
        <f t="shared" si="2"/>
        <v>Required</v>
      </c>
      <c r="H148" s="5" t="s">
        <v>1024</v>
      </c>
      <c r="I148" s="1" t="s">
        <v>47</v>
      </c>
      <c r="J148" s="1" t="s">
        <v>1023</v>
      </c>
      <c r="K148" s="1" t="s">
        <v>1017</v>
      </c>
      <c r="L148" s="1" t="s">
        <v>27</v>
      </c>
      <c r="M148" s="1" t="s">
        <v>28</v>
      </c>
      <c r="N148" s="1" t="s">
        <v>94</v>
      </c>
      <c r="O148" s="1" t="s">
        <v>19</v>
      </c>
      <c r="P148" s="1" t="s">
        <v>18</v>
      </c>
      <c r="Q148" s="1" t="s">
        <v>20</v>
      </c>
      <c r="R148" s="1" t="s">
        <v>1001</v>
      </c>
      <c r="S148" s="1">
        <v>3</v>
      </c>
      <c r="T148" s="1" t="s">
        <v>1025</v>
      </c>
      <c r="V148" t="s">
        <v>1919</v>
      </c>
      <c r="W148" t="s">
        <v>1689</v>
      </c>
    </row>
    <row r="149" spans="1:23">
      <c r="A149" s="1" t="s">
        <v>1018</v>
      </c>
      <c r="B149" s="1" t="str" cm="1">
        <f t="array" ref="B149">IF(A149="","",_xlfn.IFS(COUNTIF($U:$U,A149)&gt;0,"All uploaded",COUNTIF($V:$V,A149)&gt;0,"Partly uploaded",COUNTIF($W:$X,A149)&gt;0,"Not uploaded",TRUE,"Not classified"))</f>
        <v>All uploaded</v>
      </c>
      <c r="C149" s="1" t="str" cm="1">
        <f t="array" ref="C149">_xlfn.SWITCH(TRIM(I149),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49" s="1" t="s">
        <v>1</v>
      </c>
      <c r="E149" s="1" t="s">
        <v>4</v>
      </c>
      <c r="F149" s="1" t="str" cm="1">
        <f t="array" ref="F149">_xlfn.LET(
_xlpm.status,UPPER(TRIM(B149&amp;"")),
_xlpm.risk,UPPER(TRIM(C149&amp;"")),
_xlpm.notify,UPPER(TRIM(D149&amp;"")),
_xlpm.form,UPPER(TRIM(E149&amp;"")),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49" s="1" t="str">
        <f t="shared" si="2"/>
        <v>Required</v>
      </c>
      <c r="H149" s="5" t="s">
        <v>1020</v>
      </c>
      <c r="I149" s="1" t="s">
        <v>101</v>
      </c>
      <c r="J149" s="1" t="s">
        <v>1019</v>
      </c>
      <c r="K149" s="1" t="s">
        <v>1017</v>
      </c>
      <c r="L149" s="1" t="s">
        <v>25</v>
      </c>
      <c r="M149" s="1" t="s">
        <v>80</v>
      </c>
      <c r="N149" s="1" t="s">
        <v>703</v>
      </c>
      <c r="O149" s="1" t="s">
        <v>19</v>
      </c>
      <c r="P149" s="1" t="s">
        <v>18</v>
      </c>
      <c r="Q149" s="1" t="s">
        <v>20</v>
      </c>
      <c r="R149" s="1" t="s">
        <v>1001</v>
      </c>
      <c r="S149" s="1">
        <v>1</v>
      </c>
      <c r="T149" s="1" t="s">
        <v>1021</v>
      </c>
      <c r="V149" t="s">
        <v>1941</v>
      </c>
      <c r="W149" t="s">
        <v>1602</v>
      </c>
    </row>
    <row r="150" spans="1:23">
      <c r="A150" s="1" t="s">
        <v>1040</v>
      </c>
      <c r="B150" s="1" t="str" cm="1">
        <f t="array" ref="B150">IF(A150="","",_xlfn.IFS(COUNTIF($U:$U,A150)&gt;0,"All uploaded",COUNTIF($V:$V,A150)&gt;0,"Partly uploaded",COUNTIF($W:$X,A150)&gt;0,"Not uploaded",TRUE,"Not classified"))</f>
        <v>Partly uploaded</v>
      </c>
      <c r="C150" s="1" t="str" cm="1">
        <f t="array" ref="C150">_xlfn.SWITCH(TRIM(I150),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50" s="1" t="s">
        <v>0</v>
      </c>
      <c r="E150" s="1" t="s">
        <v>4</v>
      </c>
      <c r="F150" s="1" t="str" cm="1">
        <f t="array" ref="F150">_xlfn.LET(
_xlpm.status,UPPER(TRIM(B150&amp;"")),
_xlpm.risk,UPPER(TRIM(C150&amp;"")),
_xlpm.notify,UPPER(TRIM(D150&amp;"")),
_xlpm.form,UPPER(TRIM(E150&amp;"")),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50" s="1" t="str">
        <f t="shared" si="2"/>
        <v>NA</v>
      </c>
      <c r="H150" s="5" t="s">
        <v>1052</v>
      </c>
      <c r="I150" s="1" t="s">
        <v>22</v>
      </c>
      <c r="J150" s="1" t="s">
        <v>1051</v>
      </c>
      <c r="K150" s="1" t="s">
        <v>1039</v>
      </c>
      <c r="L150" s="1" t="s">
        <v>22</v>
      </c>
      <c r="M150" s="1" t="s">
        <v>77</v>
      </c>
      <c r="N150" s="1" t="s">
        <v>105</v>
      </c>
      <c r="O150" s="1" t="s">
        <v>19</v>
      </c>
      <c r="P150" s="1" t="s">
        <v>18</v>
      </c>
      <c r="Q150" s="1" t="s">
        <v>20</v>
      </c>
      <c r="R150" s="1" t="s">
        <v>854</v>
      </c>
      <c r="S150" s="1">
        <v>4</v>
      </c>
      <c r="T150" s="1" t="s">
        <v>1053</v>
      </c>
      <c r="V150" t="s">
        <v>1931</v>
      </c>
      <c r="W150" t="s">
        <v>1694</v>
      </c>
    </row>
    <row r="151" spans="1:23">
      <c r="A151" s="1" t="s">
        <v>1063</v>
      </c>
      <c r="B151" s="1" t="str" cm="1">
        <f t="array" ref="B151">IF(A151="","",_xlfn.IFS(COUNTIF($U:$U,A151)&gt;0,"All uploaded",COUNTIF($V:$V,A151)&gt;0,"Partly uploaded",COUNTIF($W:$X,A151)&gt;0,"Not uploaded",TRUE,"Not classified"))</f>
        <v>Partly uploaded</v>
      </c>
      <c r="C151" s="1" t="str" cm="1">
        <f t="array" ref="C151">_xlfn.SWITCH(TRIM(I151),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51" s="1" t="s">
        <v>1</v>
      </c>
      <c r="E151" s="1" t="s">
        <v>2</v>
      </c>
      <c r="F151" s="1" t="str" cm="1">
        <f t="array" ref="F151">_xlfn.LET(
_xlpm.status,UPPER(TRIM(B151&amp;"")),
_xlpm.risk,UPPER(TRIM(C151&amp;"")),
_xlpm.notify,UPPER(TRIM(D151&amp;"")),
_xlpm.form,UPPER(TRIM(E151&amp;"")),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51" s="1" t="str">
        <f t="shared" si="2"/>
        <v>NA</v>
      </c>
      <c r="H151" s="5" t="s">
        <v>1066</v>
      </c>
      <c r="I151" s="1" t="s">
        <v>27</v>
      </c>
      <c r="J151" s="1" t="s">
        <v>1065</v>
      </c>
      <c r="K151" s="1" t="s">
        <v>1039</v>
      </c>
      <c r="L151" s="1" t="s">
        <v>27</v>
      </c>
      <c r="M151" s="1" t="s">
        <v>28</v>
      </c>
      <c r="N151" s="1" t="s">
        <v>1064</v>
      </c>
      <c r="O151" s="1" t="s">
        <v>19</v>
      </c>
      <c r="P151" s="1" t="s">
        <v>18</v>
      </c>
      <c r="Q151" s="1" t="s">
        <v>20</v>
      </c>
      <c r="R151" s="1" t="s">
        <v>791</v>
      </c>
      <c r="S151" s="1">
        <v>1</v>
      </c>
      <c r="T151" s="1" t="s">
        <v>1067</v>
      </c>
      <c r="V151" t="s">
        <v>1959</v>
      </c>
      <c r="W151" t="s">
        <v>1708</v>
      </c>
    </row>
    <row r="152" spans="1:23">
      <c r="A152" s="1" t="s">
        <v>1043</v>
      </c>
      <c r="B152" s="1" t="str" cm="1">
        <f t="array" ref="B152">IF(A152="","",_xlfn.IFS(COUNTIF($U:$U,A152)&gt;0,"All uploaded",COUNTIF($V:$V,A152)&gt;0,"Partly uploaded",COUNTIF($W:$X,A152)&gt;0,"Not uploaded",TRUE,"Not classified"))</f>
        <v>Partly uploaded</v>
      </c>
      <c r="C152" s="1" t="str" cm="1">
        <f t="array" ref="C152">_xlfn.SWITCH(TRIM(I152),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52" s="1" t="s">
        <v>1</v>
      </c>
      <c r="E152" s="1" t="s">
        <v>4</v>
      </c>
      <c r="F152" s="1" t="str" cm="1">
        <f t="array" ref="F152">_xlfn.LET(
_xlpm.status,UPPER(TRIM(B152&amp;"")),
_xlpm.risk,UPPER(TRIM(C152&amp;"")),
_xlpm.notify,UPPER(TRIM(D152&amp;"")),
_xlpm.form,UPPER(TRIM(E152&amp;"")),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52" s="1" t="str">
        <f t="shared" si="2"/>
        <v>Required</v>
      </c>
      <c r="H152" s="5" t="s">
        <v>1061</v>
      </c>
      <c r="I152" s="1" t="s">
        <v>27</v>
      </c>
      <c r="J152" s="1" t="s">
        <v>1060</v>
      </c>
      <c r="K152" s="1" t="s">
        <v>1039</v>
      </c>
      <c r="L152" s="1" t="s">
        <v>27</v>
      </c>
      <c r="M152" s="1" t="s">
        <v>28</v>
      </c>
      <c r="N152" s="1" t="s">
        <v>1044</v>
      </c>
      <c r="O152" s="1" t="s">
        <v>19</v>
      </c>
      <c r="P152" s="1" t="s">
        <v>18</v>
      </c>
      <c r="Q152" s="1" t="s">
        <v>20</v>
      </c>
      <c r="R152" s="1" t="s">
        <v>1059</v>
      </c>
      <c r="S152" s="1">
        <v>3</v>
      </c>
      <c r="T152" s="1" t="s">
        <v>1062</v>
      </c>
      <c r="V152" t="s">
        <v>1967</v>
      </c>
      <c r="W152" t="s">
        <v>1720</v>
      </c>
    </row>
    <row r="153" spans="1:23">
      <c r="A153" s="1" t="s">
        <v>1045</v>
      </c>
      <c r="B153" s="1" t="str" cm="1">
        <f t="array" ref="B153">IF(A153="","",_xlfn.IFS(COUNTIF($U:$U,A153)&gt;0,"All uploaded",COUNTIF($V:$V,A153)&gt;0,"Partly uploaded",COUNTIF($W:$X,A153)&gt;0,"Not uploaded",TRUE,"Not classified"))</f>
        <v>Partly uploaded</v>
      </c>
      <c r="C153" s="1" t="str" cm="1">
        <f t="array" ref="C153">_xlfn.SWITCH(TRIM(I153),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53" s="1" t="s">
        <v>1</v>
      </c>
      <c r="E153" s="1" t="s">
        <v>4</v>
      </c>
      <c r="F153" s="1" t="str" cm="1">
        <f t="array" ref="F153">_xlfn.LET(
_xlpm.status,UPPER(TRIM(B153&amp;"")),
_xlpm.risk,UPPER(TRIM(C153&amp;"")),
_xlpm.notify,UPPER(TRIM(D153&amp;"")),
_xlpm.form,UPPER(TRIM(E153&amp;"")),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53" s="1" t="str">
        <f t="shared" si="2"/>
        <v>Required</v>
      </c>
      <c r="H153" s="5" t="s">
        <v>1048</v>
      </c>
      <c r="I153" s="1" t="s">
        <v>27</v>
      </c>
      <c r="J153" s="1" t="s">
        <v>1047</v>
      </c>
      <c r="K153" s="1" t="s">
        <v>1039</v>
      </c>
      <c r="L153" s="1" t="s">
        <v>27</v>
      </c>
      <c r="M153" s="1" t="s">
        <v>28</v>
      </c>
      <c r="N153" s="1" t="s">
        <v>1046</v>
      </c>
      <c r="O153" s="1" t="s">
        <v>19</v>
      </c>
      <c r="P153" s="1" t="s">
        <v>18</v>
      </c>
      <c r="Q153" s="1" t="s">
        <v>20</v>
      </c>
      <c r="R153" s="1" t="s">
        <v>129</v>
      </c>
      <c r="S153" s="1">
        <v>5</v>
      </c>
      <c r="T153" s="1" t="s">
        <v>1049</v>
      </c>
      <c r="V153" t="s">
        <v>1979</v>
      </c>
      <c r="W153" t="s">
        <v>1727</v>
      </c>
    </row>
    <row r="154" spans="1:23">
      <c r="A154" s="1" t="s">
        <v>1054</v>
      </c>
      <c r="B154" s="1" t="str" cm="1">
        <f t="array" ref="B154">IF(A154="","",_xlfn.IFS(COUNTIF($U:$U,A154)&gt;0,"All uploaded",COUNTIF($V:$V,A154)&gt;0,"Partly uploaded",COUNTIF($W:$X,A154)&gt;0,"Not uploaded",TRUE,"Not classified"))</f>
        <v>All uploaded</v>
      </c>
      <c r="C154" s="1" t="str" cm="1">
        <f t="array" ref="C154">_xlfn.SWITCH(TRIM(I154),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54" s="1" t="s">
        <v>0</v>
      </c>
      <c r="E154" s="1" t="s">
        <v>4</v>
      </c>
      <c r="F154" s="1" t="str" cm="1">
        <f t="array" ref="F154">_xlfn.LET(
_xlpm.status,UPPER(TRIM(B154&amp;"")),
_xlpm.risk,UPPER(TRIM(C154&amp;"")),
_xlpm.notify,UPPER(TRIM(D154&amp;"")),
_xlpm.form,UPPER(TRIM(E154&amp;"")),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54" s="1" t="str">
        <f t="shared" si="2"/>
        <v>Required</v>
      </c>
      <c r="H154" s="5" t="s">
        <v>1057</v>
      </c>
      <c r="I154" s="1" t="s">
        <v>27</v>
      </c>
      <c r="J154" s="1" t="s">
        <v>1056</v>
      </c>
      <c r="K154" s="1" t="s">
        <v>1039</v>
      </c>
      <c r="L154" s="1" t="s">
        <v>27</v>
      </c>
      <c r="M154" s="1" t="s">
        <v>28</v>
      </c>
      <c r="N154" s="1" t="s">
        <v>1055</v>
      </c>
      <c r="O154" s="1" t="s">
        <v>19</v>
      </c>
      <c r="P154" s="1" t="s">
        <v>18</v>
      </c>
      <c r="Q154" s="1" t="s">
        <v>20</v>
      </c>
      <c r="R154" s="1" t="s">
        <v>1001</v>
      </c>
      <c r="S154" s="1">
        <v>1</v>
      </c>
      <c r="T154" s="1" t="s">
        <v>1058</v>
      </c>
      <c r="V154" t="s">
        <v>2024</v>
      </c>
      <c r="W154" t="s">
        <v>1725</v>
      </c>
    </row>
    <row r="155" spans="1:23">
      <c r="A155" s="1" t="s">
        <v>1069</v>
      </c>
      <c r="B155" s="1" t="str" cm="1">
        <f t="array" ref="B155">IF(A155="","",_xlfn.IFS(COUNTIF($U:$U,A155)&gt;0,"All uploaded",COUNTIF($V:$V,A155)&gt;0,"Partly uploaded",COUNTIF($W:$X,A155)&gt;0,"Not uploaded",TRUE,"Not classified"))</f>
        <v>All uploaded</v>
      </c>
      <c r="C155" s="1" t="str" cm="1">
        <f t="array" ref="C155">_xlfn.SWITCH(TRIM(I155),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55" s="1" t="s">
        <v>1</v>
      </c>
      <c r="E155" s="1" t="s">
        <v>4</v>
      </c>
      <c r="F155" s="1" t="str" cm="1">
        <f t="array" ref="F155">_xlfn.LET(
_xlpm.status,UPPER(TRIM(B155&amp;"")),
_xlpm.risk,UPPER(TRIM(C155&amp;"")),
_xlpm.notify,UPPER(TRIM(D155&amp;"")),
_xlpm.form,UPPER(TRIM(E155&amp;"")),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55" s="1" t="str">
        <f t="shared" si="2"/>
        <v>Required</v>
      </c>
      <c r="H155" s="5" t="s">
        <v>1072</v>
      </c>
      <c r="I155" s="1" t="s">
        <v>27</v>
      </c>
      <c r="J155" s="1" t="s">
        <v>1071</v>
      </c>
      <c r="K155" s="1" t="s">
        <v>1068</v>
      </c>
      <c r="L155" s="1" t="s">
        <v>27</v>
      </c>
      <c r="M155" s="1" t="s">
        <v>28</v>
      </c>
      <c r="N155" s="1" t="s">
        <v>1070</v>
      </c>
      <c r="O155" s="1" t="s">
        <v>19</v>
      </c>
      <c r="P155" s="1" t="s">
        <v>18</v>
      </c>
      <c r="Q155" s="1" t="s">
        <v>20</v>
      </c>
      <c r="R155" s="1" t="s">
        <v>1059</v>
      </c>
      <c r="S155" s="1">
        <v>1</v>
      </c>
      <c r="T155" s="1" t="s">
        <v>1073</v>
      </c>
      <c r="V155" t="s">
        <v>2019</v>
      </c>
      <c r="W155" t="s">
        <v>1730</v>
      </c>
    </row>
    <row r="156" spans="1:23">
      <c r="A156" s="1" t="s">
        <v>1075</v>
      </c>
      <c r="B156" s="1" t="str" cm="1">
        <f t="array" ref="B156">IF(A156="","",_xlfn.IFS(COUNTIF($U:$U,A156)&gt;0,"All uploaded",COUNTIF($V:$V,A156)&gt;0,"Partly uploaded",COUNTIF($W:$X,A156)&gt;0,"Not uploaded",TRUE,"Not classified"))</f>
        <v>Partly uploaded</v>
      </c>
      <c r="C156" s="1" t="str" cm="1">
        <f t="array" ref="C156">_xlfn.SWITCH(TRIM(I156),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56" s="1" t="s">
        <v>1</v>
      </c>
      <c r="E156" s="1" t="s">
        <v>4</v>
      </c>
      <c r="F156" s="1" t="str" cm="1">
        <f t="array" ref="F156">_xlfn.LET(
_xlpm.status,UPPER(TRIM(B156&amp;"")),
_xlpm.risk,UPPER(TRIM(C156&amp;"")),
_xlpm.notify,UPPER(TRIM(D156&amp;"")),
_xlpm.form,UPPER(TRIM(E156&amp;"")),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56" s="1" t="str">
        <f t="shared" si="2"/>
        <v>NA</v>
      </c>
      <c r="H156" s="5" t="s">
        <v>1078</v>
      </c>
      <c r="I156" s="1" t="s">
        <v>22</v>
      </c>
      <c r="J156" s="1" t="s">
        <v>1077</v>
      </c>
      <c r="K156" s="1" t="s">
        <v>1074</v>
      </c>
      <c r="L156" s="1" t="s">
        <v>22</v>
      </c>
      <c r="M156" s="1" t="s">
        <v>77</v>
      </c>
      <c r="N156" s="1" t="s">
        <v>1076</v>
      </c>
      <c r="O156" s="1" t="s">
        <v>19</v>
      </c>
      <c r="P156" s="1" t="s">
        <v>18</v>
      </c>
      <c r="Q156" s="1" t="s">
        <v>20</v>
      </c>
      <c r="R156" s="1" t="s">
        <v>112</v>
      </c>
      <c r="S156" s="1">
        <v>730</v>
      </c>
      <c r="T156" s="1" t="s">
        <v>1079</v>
      </c>
      <c r="V156" t="s">
        <v>2003</v>
      </c>
      <c r="W156" t="s">
        <v>1747</v>
      </c>
    </row>
    <row r="157" spans="1:23">
      <c r="A157" s="1" t="s">
        <v>1075</v>
      </c>
      <c r="B157" s="1" t="str" cm="1">
        <f t="array" ref="B157">IF(A157="","",_xlfn.IFS(COUNTIF($U:$U,A157)&gt;0,"All uploaded",COUNTIF($V:$V,A157)&gt;0,"Partly uploaded",COUNTIF($W:$X,A157)&gt;0,"Not uploaded",TRUE,"Not classified"))</f>
        <v>Partly uploaded</v>
      </c>
      <c r="C157" s="1" t="str" cm="1">
        <f t="array" ref="C157">_xlfn.SWITCH(TRIM(I157),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57" s="1" t="s">
        <v>1</v>
      </c>
      <c r="E157" s="1" t="s">
        <v>2</v>
      </c>
      <c r="F157" s="1" t="str" cm="1">
        <f t="array" ref="F157">_xlfn.LET(
_xlpm.status,UPPER(TRIM(B157&amp;"")),
_xlpm.risk,UPPER(TRIM(C157&amp;"")),
_xlpm.notify,UPPER(TRIM(D157&amp;"")),
_xlpm.form,UPPER(TRIM(E157&amp;"")),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57" s="1" t="str">
        <f t="shared" si="2"/>
        <v>NA</v>
      </c>
      <c r="H157" s="5" t="s">
        <v>1078</v>
      </c>
      <c r="I157" s="1" t="s">
        <v>22</v>
      </c>
      <c r="J157" s="1" t="s">
        <v>1081</v>
      </c>
      <c r="K157" s="1" t="s">
        <v>1074</v>
      </c>
      <c r="L157" s="1" t="s">
        <v>22</v>
      </c>
      <c r="M157" s="1" t="s">
        <v>77</v>
      </c>
      <c r="N157" s="1" t="s">
        <v>1076</v>
      </c>
      <c r="O157" s="1" t="s">
        <v>19</v>
      </c>
      <c r="P157" s="1" t="s">
        <v>18</v>
      </c>
      <c r="Q157" s="1" t="s">
        <v>20</v>
      </c>
      <c r="R157" s="1" t="s">
        <v>1080</v>
      </c>
      <c r="S157" s="1">
        <v>662</v>
      </c>
      <c r="T157" s="1" t="s">
        <v>1082</v>
      </c>
      <c r="V157" t="s">
        <v>2036</v>
      </c>
      <c r="W157" t="s">
        <v>1760</v>
      </c>
    </row>
    <row r="158" spans="1:23">
      <c r="A158" s="1" t="s">
        <v>1090</v>
      </c>
      <c r="B158" s="1" t="str" cm="1">
        <f t="array" ref="B158">IF(A158="","",_xlfn.IFS(COUNTIF($U:$U,A158)&gt;0,"All uploaded",COUNTIF($V:$V,A158)&gt;0,"Partly uploaded",COUNTIF($W:$X,A158)&gt;0,"Not uploaded",TRUE,"Not classified"))</f>
        <v>All uploaded</v>
      </c>
      <c r="C158" s="1" t="str" cm="1">
        <f t="array" ref="C158">_xlfn.SWITCH(TRIM(I158),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58" s="1" t="s">
        <v>1</v>
      </c>
      <c r="E158" s="1" t="s">
        <v>4</v>
      </c>
      <c r="F158" s="1" t="str" cm="1">
        <f t="array" ref="F158">_xlfn.LET(
_xlpm.status,UPPER(TRIM(B158&amp;"")),
_xlpm.risk,UPPER(TRIM(C158&amp;"")),
_xlpm.notify,UPPER(TRIM(D158&amp;"")),
_xlpm.form,UPPER(TRIM(E158&amp;"")),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58" s="1" t="str">
        <f t="shared" si="2"/>
        <v>Required</v>
      </c>
      <c r="H158" s="5" t="s">
        <v>1092</v>
      </c>
      <c r="I158" s="1" t="s">
        <v>25</v>
      </c>
      <c r="J158" s="1" t="s">
        <v>1091</v>
      </c>
      <c r="K158" s="1" t="s">
        <v>1089</v>
      </c>
      <c r="L158" s="1" t="s">
        <v>25</v>
      </c>
      <c r="M158" s="1" t="s">
        <v>77</v>
      </c>
      <c r="N158" s="1" t="s">
        <v>57</v>
      </c>
      <c r="O158" s="1" t="s">
        <v>19</v>
      </c>
      <c r="P158" s="1" t="s">
        <v>18</v>
      </c>
      <c r="Q158" s="1" t="s">
        <v>20</v>
      </c>
      <c r="R158" s="1" t="s">
        <v>92</v>
      </c>
      <c r="S158" s="1">
        <v>1</v>
      </c>
      <c r="T158" s="1" t="s">
        <v>1093</v>
      </c>
      <c r="V158" t="s">
        <v>2053</v>
      </c>
      <c r="W158" t="s">
        <v>1774</v>
      </c>
    </row>
    <row r="159" spans="1:23">
      <c r="A159" s="1" t="s">
        <v>1099</v>
      </c>
      <c r="B159" s="1" t="str" cm="1">
        <f t="array" ref="B159">IF(A159="","",_xlfn.IFS(COUNTIF($U:$U,A159)&gt;0,"All uploaded",COUNTIF($V:$V,A159)&gt;0,"Partly uploaded",COUNTIF($W:$X,A159)&gt;0,"Not uploaded",TRUE,"Not classified"))</f>
        <v>All uploaded</v>
      </c>
      <c r="C159" s="1" t="str" cm="1">
        <f t="array" ref="C159">_xlfn.SWITCH(TRIM(I159),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59" s="1" t="s">
        <v>1</v>
      </c>
      <c r="E159" s="1" t="s">
        <v>4</v>
      </c>
      <c r="F159" s="1" t="str" cm="1">
        <f t="array" ref="F159">_xlfn.LET(
_xlpm.status,UPPER(TRIM(B159&amp;"")),
_xlpm.risk,UPPER(TRIM(C159&amp;"")),
_xlpm.notify,UPPER(TRIM(D159&amp;"")),
_xlpm.form,UPPER(TRIM(E159&amp;"")),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59" s="1" t="str">
        <f t="shared" si="2"/>
        <v>Required</v>
      </c>
      <c r="H159" s="5" t="s">
        <v>1103</v>
      </c>
      <c r="I159" s="1" t="s">
        <v>27</v>
      </c>
      <c r="J159" s="1" t="s">
        <v>1102</v>
      </c>
      <c r="K159" s="1" t="s">
        <v>1089</v>
      </c>
      <c r="L159" s="1" t="s">
        <v>27</v>
      </c>
      <c r="M159" s="1" t="s">
        <v>28</v>
      </c>
      <c r="N159" s="1" t="s">
        <v>1100</v>
      </c>
      <c r="O159" s="1" t="s">
        <v>19</v>
      </c>
      <c r="P159" s="1" t="s">
        <v>18</v>
      </c>
      <c r="Q159" s="1" t="s">
        <v>20</v>
      </c>
      <c r="R159" s="1" t="s">
        <v>1101</v>
      </c>
      <c r="S159" s="1">
        <v>3</v>
      </c>
      <c r="T159" s="1" t="s">
        <v>1104</v>
      </c>
      <c r="V159" t="s">
        <v>2097</v>
      </c>
      <c r="W159" t="s">
        <v>1762</v>
      </c>
    </row>
    <row r="160" spans="1:23">
      <c r="A160" s="1" t="s">
        <v>1099</v>
      </c>
      <c r="B160" s="1" t="str" cm="1">
        <f t="array" ref="B160">IF(A160="","",_xlfn.IFS(COUNTIF($U:$U,A160)&gt;0,"All uploaded",COUNTIF($V:$V,A160)&gt;0,"Partly uploaded",COUNTIF($W:$X,A160)&gt;0,"Not uploaded",TRUE,"Not classified"))</f>
        <v>All uploaded</v>
      </c>
      <c r="C160" s="1" t="str" cm="1">
        <f t="array" ref="C160">_xlfn.SWITCH(TRIM(I160),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60" s="1" t="s">
        <v>0</v>
      </c>
      <c r="E160" s="1" t="s">
        <v>2</v>
      </c>
      <c r="F160" s="1" t="str" cm="1">
        <f t="array" ref="F160">_xlfn.LET(
_xlpm.status,UPPER(TRIM(B160&amp;"")),
_xlpm.risk,UPPER(TRIM(C160&amp;"")),
_xlpm.notify,UPPER(TRIM(D160&amp;"")),
_xlpm.form,UPPER(TRIM(E160&amp;"")),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60" s="1" t="str">
        <f t="shared" si="2"/>
        <v>NA</v>
      </c>
      <c r="H160" s="5" t="s">
        <v>1103</v>
      </c>
      <c r="I160" s="1" t="s">
        <v>27</v>
      </c>
      <c r="J160" s="1" t="s">
        <v>1105</v>
      </c>
      <c r="K160" s="1" t="s">
        <v>1089</v>
      </c>
      <c r="L160" s="1" t="s">
        <v>27</v>
      </c>
      <c r="M160" s="1" t="s">
        <v>28</v>
      </c>
      <c r="N160" s="1" t="s">
        <v>1100</v>
      </c>
      <c r="O160" s="1" t="s">
        <v>19</v>
      </c>
      <c r="P160" s="1" t="s">
        <v>18</v>
      </c>
      <c r="Q160" s="1" t="s">
        <v>20</v>
      </c>
      <c r="R160" s="1" t="s">
        <v>1080</v>
      </c>
      <c r="S160" s="1">
        <v>3</v>
      </c>
      <c r="T160" s="1" t="s">
        <v>1104</v>
      </c>
      <c r="V160" t="s">
        <v>2092</v>
      </c>
      <c r="W160" t="s">
        <v>1776</v>
      </c>
    </row>
    <row r="161" spans="1:23">
      <c r="A161" s="1" t="s">
        <v>1094</v>
      </c>
      <c r="B161" s="1" t="str" cm="1">
        <f t="array" ref="B161">IF(A161="","",_xlfn.IFS(COUNTIF($U:$U,A161)&gt;0,"All uploaded",COUNTIF($V:$V,A161)&gt;0,"Partly uploaded",COUNTIF($W:$X,A161)&gt;0,"Not uploaded",TRUE,"Not classified"))</f>
        <v>Partly uploaded</v>
      </c>
      <c r="C161" s="1" t="str" cm="1">
        <f t="array" ref="C161">_xlfn.SWITCH(TRIM(I161),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61" s="1" t="s">
        <v>0</v>
      </c>
      <c r="E161" s="1" t="s">
        <v>4</v>
      </c>
      <c r="F161" s="1" t="str" cm="1">
        <f t="array" ref="F161">_xlfn.LET(
_xlpm.status,UPPER(TRIM(B161&amp;"")),
_xlpm.risk,UPPER(TRIM(C161&amp;"")),
_xlpm.notify,UPPER(TRIM(D161&amp;"")),
_xlpm.form,UPPER(TRIM(E161&amp;"")),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61" s="1" t="str">
        <f t="shared" si="2"/>
        <v>NA</v>
      </c>
      <c r="H161" s="5" t="s">
        <v>1097</v>
      </c>
      <c r="I161" s="1" t="s">
        <v>22</v>
      </c>
      <c r="J161" s="1" t="s">
        <v>1096</v>
      </c>
      <c r="K161" s="1" t="s">
        <v>1089</v>
      </c>
      <c r="L161" s="1" t="s">
        <v>22</v>
      </c>
      <c r="M161" s="1" t="s">
        <v>77</v>
      </c>
      <c r="N161" s="1" t="s">
        <v>1095</v>
      </c>
      <c r="O161" s="1" t="s">
        <v>19</v>
      </c>
      <c r="P161" s="1" t="s">
        <v>18</v>
      </c>
      <c r="Q161" s="1" t="s">
        <v>20</v>
      </c>
      <c r="R161" s="1" t="s">
        <v>854</v>
      </c>
      <c r="S161" s="1">
        <v>10</v>
      </c>
      <c r="T161" s="1" t="s">
        <v>1098</v>
      </c>
      <c r="V161" t="s">
        <v>2096</v>
      </c>
      <c r="W161" t="s">
        <v>1778</v>
      </c>
    </row>
    <row r="162" spans="1:23">
      <c r="A162" s="1" t="s">
        <v>1122</v>
      </c>
      <c r="B162" s="1" t="str" cm="1">
        <f t="array" ref="B162">IF(A162="","",_xlfn.IFS(COUNTIF($U:$U,A162)&gt;0,"All uploaded",COUNTIF($V:$V,A162)&gt;0,"Partly uploaded",COUNTIF($W:$X,A162)&gt;0,"Not uploaded",TRUE,"Not classified"))</f>
        <v>All uploaded</v>
      </c>
      <c r="C162" s="1" t="str" cm="1">
        <f t="array" ref="C162">_xlfn.SWITCH(TRIM(I162),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62" s="1" t="s">
        <v>1</v>
      </c>
      <c r="E162" s="1" t="s">
        <v>4</v>
      </c>
      <c r="F162" s="1" t="str" cm="1">
        <f t="array" ref="F162">_xlfn.LET(
_xlpm.status,UPPER(TRIM(B162&amp;"")),
_xlpm.risk,UPPER(TRIM(C162&amp;"")),
_xlpm.notify,UPPER(TRIM(D162&amp;"")),
_xlpm.form,UPPER(TRIM(E162&amp;"")),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62" s="1" t="str">
        <f t="shared" si="2"/>
        <v>Required</v>
      </c>
      <c r="H162" s="5" t="s">
        <v>1126</v>
      </c>
      <c r="I162" s="1" t="s">
        <v>27</v>
      </c>
      <c r="J162" s="1" t="s">
        <v>1125</v>
      </c>
      <c r="K162" s="1" t="s">
        <v>1110</v>
      </c>
      <c r="L162" s="1" t="s">
        <v>27</v>
      </c>
      <c r="M162" s="1" t="s">
        <v>28</v>
      </c>
      <c r="N162" s="1" t="s">
        <v>1123</v>
      </c>
      <c r="O162" s="1" t="s">
        <v>19</v>
      </c>
      <c r="P162" s="1" t="s">
        <v>18</v>
      </c>
      <c r="Q162" s="1" t="s">
        <v>20</v>
      </c>
      <c r="R162" s="1" t="s">
        <v>1124</v>
      </c>
      <c r="S162" s="1">
        <v>1</v>
      </c>
      <c r="T162" s="1" t="s">
        <v>1127</v>
      </c>
      <c r="V162" t="s">
        <v>2078</v>
      </c>
      <c r="W162" t="s">
        <v>1800</v>
      </c>
    </row>
    <row r="163" spans="1:23">
      <c r="A163" s="1" t="s">
        <v>1118</v>
      </c>
      <c r="B163" s="1" t="str" cm="1">
        <f t="array" ref="B163">IF(A163="","",_xlfn.IFS(COUNTIF($U:$U,A163)&gt;0,"All uploaded",COUNTIF($V:$V,A163)&gt;0,"Partly uploaded",COUNTIF($W:$X,A163)&gt;0,"Not uploaded",TRUE,"Not classified"))</f>
        <v>Partly uploaded</v>
      </c>
      <c r="C163" s="1" t="str" cm="1">
        <f t="array" ref="C163">_xlfn.SWITCH(TRIM(I163),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63" s="1" t="s">
        <v>1</v>
      </c>
      <c r="E163" s="1" t="s">
        <v>4</v>
      </c>
      <c r="F163" s="1" t="str" cm="1">
        <f t="array" ref="F163">_xlfn.LET(
_xlpm.status,UPPER(TRIM(B163&amp;"")),
_xlpm.risk,UPPER(TRIM(C163&amp;"")),
_xlpm.notify,UPPER(TRIM(D163&amp;"")),
_xlpm.form,UPPER(TRIM(E163&amp;"")),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63" s="1" t="str">
        <f t="shared" si="2"/>
        <v>Required</v>
      </c>
      <c r="H163" s="5" t="s">
        <v>1120</v>
      </c>
      <c r="I163" s="1" t="s">
        <v>27</v>
      </c>
      <c r="J163" s="1" t="s">
        <v>1119</v>
      </c>
      <c r="K163" s="1" t="s">
        <v>1110</v>
      </c>
      <c r="L163" s="1" t="s">
        <v>27</v>
      </c>
      <c r="M163" s="1" t="s">
        <v>28</v>
      </c>
      <c r="N163" s="1" t="s">
        <v>1114</v>
      </c>
      <c r="O163" s="1" t="s">
        <v>19</v>
      </c>
      <c r="P163" s="1" t="s">
        <v>18</v>
      </c>
      <c r="Q163" s="1" t="s">
        <v>20</v>
      </c>
      <c r="R163" s="1" t="s">
        <v>1101</v>
      </c>
      <c r="S163" s="1">
        <v>1</v>
      </c>
      <c r="T163" s="1" t="s">
        <v>1121</v>
      </c>
      <c r="V163" t="s">
        <v>2115</v>
      </c>
      <c r="W163" t="s">
        <v>1786</v>
      </c>
    </row>
    <row r="164" spans="1:23">
      <c r="A164" s="1" t="s">
        <v>1113</v>
      </c>
      <c r="B164" s="1" t="str" cm="1">
        <f t="array" ref="B164">IF(A164="","",_xlfn.IFS(COUNTIF($U:$U,A164)&gt;0,"All uploaded",COUNTIF($V:$V,A164)&gt;0,"Partly uploaded",COUNTIF($W:$X,A164)&gt;0,"Not uploaded",TRUE,"Not classified"))</f>
        <v>All uploaded</v>
      </c>
      <c r="C164" s="1" t="str" cm="1">
        <f t="array" ref="C164">_xlfn.SWITCH(TRIM(I164),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64" s="1" t="s">
        <v>1</v>
      </c>
      <c r="E164" s="1" t="s">
        <v>4</v>
      </c>
      <c r="F164" s="1" t="str" cm="1">
        <f t="array" ref="F164">_xlfn.LET(
_xlpm.status,UPPER(TRIM(B164&amp;"")),
_xlpm.risk,UPPER(TRIM(C164&amp;"")),
_xlpm.notify,UPPER(TRIM(D164&amp;"")),
_xlpm.form,UPPER(TRIM(E164&amp;"")),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64" s="1" t="str">
        <f t="shared" si="2"/>
        <v>Required</v>
      </c>
      <c r="H164" s="5" t="s">
        <v>1116</v>
      </c>
      <c r="I164" s="1" t="s">
        <v>27</v>
      </c>
      <c r="J164" s="1" t="s">
        <v>1115</v>
      </c>
      <c r="K164" s="1" t="s">
        <v>1110</v>
      </c>
      <c r="L164" s="1" t="s">
        <v>27</v>
      </c>
      <c r="M164" s="1" t="s">
        <v>28</v>
      </c>
      <c r="N164" s="1" t="s">
        <v>1114</v>
      </c>
      <c r="O164" s="1" t="s">
        <v>19</v>
      </c>
      <c r="P164" s="1" t="s">
        <v>18</v>
      </c>
      <c r="Q164" s="1" t="s">
        <v>20</v>
      </c>
      <c r="R164" s="1" t="s">
        <v>1101</v>
      </c>
      <c r="S164" s="1">
        <v>1</v>
      </c>
      <c r="T164" s="1" t="s">
        <v>1117</v>
      </c>
      <c r="V164" t="s">
        <v>2107</v>
      </c>
      <c r="W164" t="s">
        <v>1795</v>
      </c>
    </row>
    <row r="165" spans="1:23">
      <c r="A165" s="1" t="s">
        <v>1131</v>
      </c>
      <c r="B165" s="1" t="str" cm="1">
        <f t="array" ref="B165">IF(A165="","",_xlfn.IFS(COUNTIF($U:$U,A165)&gt;0,"All uploaded",COUNTIF($V:$V,A165)&gt;0,"Partly uploaded",COUNTIF($W:$X,A165)&gt;0,"Not uploaded",TRUE,"Not classified"))</f>
        <v>Partly uploaded</v>
      </c>
      <c r="C165" s="1" t="str" cm="1">
        <f t="array" ref="C165">_xlfn.SWITCH(TRIM(I165),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65" s="1" t="s">
        <v>0</v>
      </c>
      <c r="E165" s="1" t="s">
        <v>3</v>
      </c>
      <c r="F165" s="1" t="str" cm="1">
        <f t="array" ref="F165">_xlfn.LET(
_xlpm.status,UPPER(TRIM(B165&amp;"")),
_xlpm.risk,UPPER(TRIM(C165&amp;"")),
_xlpm.notify,UPPER(TRIM(D165&amp;"")),
_xlpm.form,UPPER(TRIM(E165&amp;"")),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165" s="1" t="str">
        <f t="shared" si="2"/>
        <v>NA</v>
      </c>
      <c r="H165" s="5" t="s">
        <v>1133</v>
      </c>
      <c r="I165" s="1" t="s">
        <v>22</v>
      </c>
      <c r="J165" s="1" t="s">
        <v>1132</v>
      </c>
      <c r="K165" s="1" t="s">
        <v>1128</v>
      </c>
      <c r="L165" s="1" t="s">
        <v>22</v>
      </c>
      <c r="M165" s="1" t="s">
        <v>77</v>
      </c>
      <c r="N165" s="1" t="s">
        <v>45</v>
      </c>
      <c r="O165" s="1" t="s">
        <v>19</v>
      </c>
      <c r="P165" s="1" t="s">
        <v>18</v>
      </c>
      <c r="Q165" s="1" t="s">
        <v>20</v>
      </c>
      <c r="R165" s="1" t="s">
        <v>854</v>
      </c>
      <c r="S165" s="1">
        <v>6</v>
      </c>
      <c r="T165" s="1" t="s">
        <v>1134</v>
      </c>
      <c r="V165" t="s">
        <v>2165</v>
      </c>
      <c r="W165" t="s">
        <v>1860</v>
      </c>
    </row>
    <row r="166" spans="1:23">
      <c r="A166" s="1" t="s">
        <v>1135</v>
      </c>
      <c r="B166" s="1" t="str" cm="1">
        <f t="array" ref="B166">IF(A166="","",_xlfn.IFS(COUNTIF($U:$U,A166)&gt;0,"All uploaded",COUNTIF($V:$V,A166)&gt;0,"Partly uploaded",COUNTIF($W:$X,A166)&gt;0,"Not uploaded",TRUE,"Not classified"))</f>
        <v>Partly uploaded</v>
      </c>
      <c r="C166" s="1" t="str" cm="1">
        <f t="array" ref="C166">_xlfn.SWITCH(TRIM(I166),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66" s="1" t="s">
        <v>1</v>
      </c>
      <c r="E166" s="1" t="s">
        <v>2</v>
      </c>
      <c r="F166" s="1" t="str" cm="1">
        <f t="array" ref="F166">_xlfn.LET(
_xlpm.status,UPPER(TRIM(B166&amp;"")),
_xlpm.risk,UPPER(TRIM(C166&amp;"")),
_xlpm.notify,UPPER(TRIM(D166&amp;"")),
_xlpm.form,UPPER(TRIM(E166&amp;"")),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66" s="1" t="str">
        <f t="shared" si="2"/>
        <v>NA</v>
      </c>
      <c r="H166" s="5" t="s">
        <v>1139</v>
      </c>
      <c r="I166" s="1" t="s">
        <v>35</v>
      </c>
      <c r="J166" s="1" t="s">
        <v>1138</v>
      </c>
      <c r="K166" s="1" t="s">
        <v>1128</v>
      </c>
      <c r="L166" s="1" t="s">
        <v>35</v>
      </c>
      <c r="M166" s="1" t="s">
        <v>77</v>
      </c>
      <c r="N166" s="1" t="s">
        <v>1136</v>
      </c>
      <c r="O166" s="1" t="s">
        <v>19</v>
      </c>
      <c r="P166" s="1" t="s">
        <v>18</v>
      </c>
      <c r="Q166" s="1" t="s">
        <v>20</v>
      </c>
      <c r="R166" s="1" t="s">
        <v>1137</v>
      </c>
      <c r="S166" s="1">
        <v>1</v>
      </c>
      <c r="T166" s="1" t="s">
        <v>1140</v>
      </c>
      <c r="V166" t="s">
        <v>2189</v>
      </c>
      <c r="W166" t="s">
        <v>1803</v>
      </c>
    </row>
    <row r="167" spans="1:23">
      <c r="A167" s="1" t="s">
        <v>1129</v>
      </c>
      <c r="B167" s="1" t="str" cm="1">
        <f t="array" ref="B167">IF(A167="","",_xlfn.IFS(COUNTIF($U:$U,A167)&gt;0,"All uploaded",COUNTIF($V:$V,A167)&gt;0,"Partly uploaded",COUNTIF($W:$X,A167)&gt;0,"Not uploaded",TRUE,"Not classified"))</f>
        <v>Partly uploaded</v>
      </c>
      <c r="C167" s="1" t="str" cm="1">
        <f t="array" ref="C167">_xlfn.SWITCH(TRIM(I167),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67" s="1" t="s">
        <v>0</v>
      </c>
      <c r="E167" s="1" t="s">
        <v>3</v>
      </c>
      <c r="F167" s="1" t="str" cm="1">
        <f t="array" ref="F167">_xlfn.LET(
_xlpm.status,UPPER(TRIM(B167&amp;"")),
_xlpm.risk,UPPER(TRIM(C167&amp;"")),
_xlpm.notify,UPPER(TRIM(D167&amp;"")),
_xlpm.form,UPPER(TRIM(E167&amp;"")),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167" s="1" t="str">
        <f t="shared" si="2"/>
        <v>NA</v>
      </c>
      <c r="H167" s="5" t="s">
        <v>1142</v>
      </c>
      <c r="I167" s="1" t="s">
        <v>22</v>
      </c>
      <c r="J167" s="1" t="s">
        <v>1141</v>
      </c>
      <c r="K167" s="1" t="s">
        <v>1128</v>
      </c>
      <c r="L167" s="1" t="s">
        <v>22</v>
      </c>
      <c r="M167" s="1" t="s">
        <v>77</v>
      </c>
      <c r="N167" s="1" t="s">
        <v>1130</v>
      </c>
      <c r="O167" s="1" t="s">
        <v>19</v>
      </c>
      <c r="P167" s="1" t="s">
        <v>18</v>
      </c>
      <c r="Q167" s="1" t="s">
        <v>20</v>
      </c>
      <c r="R167" s="1" t="s">
        <v>132</v>
      </c>
      <c r="S167" s="1">
        <v>14</v>
      </c>
      <c r="T167" s="1" t="s">
        <v>1143</v>
      </c>
      <c r="V167" t="s">
        <v>2242</v>
      </c>
      <c r="W167" t="s">
        <v>1810</v>
      </c>
    </row>
    <row r="168" spans="1:23">
      <c r="A168" s="1" t="s">
        <v>1161</v>
      </c>
      <c r="B168" s="1" t="str" cm="1">
        <f t="array" ref="B168">IF(A168="","",_xlfn.IFS(COUNTIF($U:$U,A168)&gt;0,"All uploaded",COUNTIF($V:$V,A168)&gt;0,"Partly uploaded",COUNTIF($W:$X,A168)&gt;0,"Not uploaded",TRUE,"Not classified"))</f>
        <v>All uploaded</v>
      </c>
      <c r="C168" s="1" t="str" cm="1">
        <f t="array" ref="C168">_xlfn.SWITCH(TRIM(I168),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68" s="1" t="s">
        <v>1</v>
      </c>
      <c r="E168" s="1" t="s">
        <v>4</v>
      </c>
      <c r="F168" s="1" t="str" cm="1">
        <f t="array" ref="F168">_xlfn.LET(
_xlpm.status,UPPER(TRIM(B168&amp;"")),
_xlpm.risk,UPPER(TRIM(C168&amp;"")),
_xlpm.notify,UPPER(TRIM(D168&amp;"")),
_xlpm.form,UPPER(TRIM(E168&amp;"")),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68" s="1" t="str">
        <f t="shared" si="2"/>
        <v>Required</v>
      </c>
      <c r="H168" s="5" t="s">
        <v>1164</v>
      </c>
      <c r="I168" s="1" t="s">
        <v>27</v>
      </c>
      <c r="J168" s="1" t="s">
        <v>1163</v>
      </c>
      <c r="K168" s="1" t="s">
        <v>1155</v>
      </c>
      <c r="L168" s="1" t="s">
        <v>27</v>
      </c>
      <c r="M168" s="1" t="s">
        <v>28</v>
      </c>
      <c r="N168" s="1" t="s">
        <v>703</v>
      </c>
      <c r="O168" s="1" t="s">
        <v>19</v>
      </c>
      <c r="P168" s="1" t="s">
        <v>18</v>
      </c>
      <c r="Q168" s="1" t="s">
        <v>20</v>
      </c>
      <c r="R168" s="1" t="s">
        <v>1162</v>
      </c>
      <c r="S168" s="1">
        <v>1</v>
      </c>
      <c r="T168" s="1" t="s">
        <v>1165</v>
      </c>
      <c r="V168" t="s">
        <v>2211</v>
      </c>
      <c r="W168" t="s">
        <v>1830</v>
      </c>
    </row>
    <row r="169" spans="1:23">
      <c r="A169" s="1" t="s">
        <v>1156</v>
      </c>
      <c r="B169" s="1" t="str" cm="1">
        <f t="array" ref="B169">IF(A169="","",_xlfn.IFS(COUNTIF($U:$U,A169)&gt;0,"All uploaded",COUNTIF($V:$V,A169)&gt;0,"Partly uploaded",COUNTIF($W:$X,A169)&gt;0,"Not uploaded",TRUE,"Not classified"))</f>
        <v>All uploaded</v>
      </c>
      <c r="C169" s="1" t="str" cm="1">
        <f t="array" ref="C169">_xlfn.SWITCH(TRIM(I169),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69" s="1" t="s">
        <v>1</v>
      </c>
      <c r="E169" s="1" t="s">
        <v>4</v>
      </c>
      <c r="F169" s="1" t="str" cm="1">
        <f t="array" ref="F169">_xlfn.LET(
_xlpm.status,UPPER(TRIM(B169&amp;"")),
_xlpm.risk,UPPER(TRIM(C169&amp;"")),
_xlpm.notify,UPPER(TRIM(D169&amp;"")),
_xlpm.form,UPPER(TRIM(E169&amp;"")),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69" s="1" t="str">
        <f t="shared" si="2"/>
        <v>NA</v>
      </c>
      <c r="H169" s="5" t="s">
        <v>1159</v>
      </c>
      <c r="I169" s="1" t="s">
        <v>48</v>
      </c>
      <c r="J169" s="1" t="s">
        <v>1158</v>
      </c>
      <c r="K169" s="1" t="s">
        <v>1155</v>
      </c>
      <c r="L169" s="1" t="s">
        <v>48</v>
      </c>
      <c r="M169" s="1" t="s">
        <v>28</v>
      </c>
      <c r="N169" s="1" t="s">
        <v>1157</v>
      </c>
      <c r="O169" s="1" t="s">
        <v>19</v>
      </c>
      <c r="P169" s="1" t="s">
        <v>18</v>
      </c>
      <c r="Q169" s="1" t="s">
        <v>20</v>
      </c>
      <c r="R169" s="1" t="s">
        <v>129</v>
      </c>
      <c r="S169" s="1">
        <v>3</v>
      </c>
      <c r="T169" s="1" t="s">
        <v>1160</v>
      </c>
      <c r="V169" t="s">
        <v>2226</v>
      </c>
      <c r="W169" t="s">
        <v>1843</v>
      </c>
    </row>
    <row r="170" spans="1:23">
      <c r="A170" s="1" t="s">
        <v>1175</v>
      </c>
      <c r="B170" s="1" t="str" cm="1">
        <f t="array" ref="B170">IF(A170="","",_xlfn.IFS(COUNTIF($U:$U,A170)&gt;0,"All uploaded",COUNTIF($V:$V,A170)&gt;0,"Partly uploaded",COUNTIF($W:$X,A170)&gt;0,"Not uploaded",TRUE,"Not classified"))</f>
        <v>All uploaded</v>
      </c>
      <c r="C170" s="1" t="str" cm="1">
        <f t="array" ref="C170">_xlfn.SWITCH(TRIM(I170),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70" s="1" t="s">
        <v>1</v>
      </c>
      <c r="E170" s="1" t="s">
        <v>4</v>
      </c>
      <c r="F170" s="1" t="str" cm="1">
        <f t="array" ref="F170">_xlfn.LET(
_xlpm.status,UPPER(TRIM(B170&amp;"")),
_xlpm.risk,UPPER(TRIM(C170&amp;"")),
_xlpm.notify,UPPER(TRIM(D170&amp;"")),
_xlpm.form,UPPER(TRIM(E170&amp;"")),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70" s="1" t="str">
        <f t="shared" si="2"/>
        <v>Required</v>
      </c>
      <c r="H170" s="5" t="s">
        <v>1178</v>
      </c>
      <c r="I170" s="1" t="s">
        <v>27</v>
      </c>
      <c r="J170" s="1" t="s">
        <v>1177</v>
      </c>
      <c r="K170" s="1" t="s">
        <v>1174</v>
      </c>
      <c r="L170" s="1" t="s">
        <v>27</v>
      </c>
      <c r="M170" s="1" t="s">
        <v>28</v>
      </c>
      <c r="N170" s="1" t="s">
        <v>1176</v>
      </c>
      <c r="O170" s="1" t="s">
        <v>19</v>
      </c>
      <c r="P170" s="1" t="s">
        <v>18</v>
      </c>
      <c r="Q170" s="1" t="s">
        <v>20</v>
      </c>
      <c r="R170" s="1" t="s">
        <v>129</v>
      </c>
      <c r="S170" s="1">
        <v>1</v>
      </c>
      <c r="T170" s="1" t="s">
        <v>1179</v>
      </c>
      <c r="V170" t="s">
        <v>2220</v>
      </c>
      <c r="W170" t="s">
        <v>1840</v>
      </c>
    </row>
    <row r="171" spans="1:23">
      <c r="A171" s="1" t="s">
        <v>1181</v>
      </c>
      <c r="B171" s="1" t="str" cm="1">
        <f t="array" ref="B171">IF(A171="","",_xlfn.IFS(COUNTIF($U:$U,A171)&gt;0,"All uploaded",COUNTIF($V:$V,A171)&gt;0,"Partly uploaded",COUNTIF($W:$X,A171)&gt;0,"Not uploaded",TRUE,"Not classified"))</f>
        <v>Partly uploaded</v>
      </c>
      <c r="C171" s="1" t="str" cm="1">
        <f t="array" ref="C171">_xlfn.SWITCH(TRIM(I171),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71" s="1" t="s">
        <v>1</v>
      </c>
      <c r="E171" s="1" t="s">
        <v>4</v>
      </c>
      <c r="F171" s="1" t="str" cm="1">
        <f t="array" ref="F171">_xlfn.LET(
_xlpm.status,UPPER(TRIM(B171&amp;"")),
_xlpm.risk,UPPER(TRIM(C171&amp;"")),
_xlpm.notify,UPPER(TRIM(D171&amp;"")),
_xlpm.form,UPPER(TRIM(E171&amp;"")),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71" s="1" t="str">
        <f t="shared" si="2"/>
        <v>Required</v>
      </c>
      <c r="H171" s="5" t="s">
        <v>1190</v>
      </c>
      <c r="I171" s="1" t="s">
        <v>10</v>
      </c>
      <c r="J171" s="1" t="s">
        <v>1189</v>
      </c>
      <c r="K171" s="1" t="s">
        <v>1180</v>
      </c>
      <c r="L171" s="1" t="s">
        <v>10</v>
      </c>
      <c r="M171" s="1" t="s">
        <v>75</v>
      </c>
      <c r="N171" s="1" t="s">
        <v>51</v>
      </c>
      <c r="O171" s="1" t="s">
        <v>19</v>
      </c>
      <c r="P171" s="1" t="s">
        <v>18</v>
      </c>
      <c r="Q171" s="1" t="s">
        <v>20</v>
      </c>
      <c r="R171" s="1" t="s">
        <v>1188</v>
      </c>
      <c r="S171" s="1">
        <v>13</v>
      </c>
      <c r="T171" s="1" t="s">
        <v>1191</v>
      </c>
      <c r="V171" t="s">
        <v>2209</v>
      </c>
      <c r="W171" t="s">
        <v>1854</v>
      </c>
    </row>
    <row r="172" spans="1:23">
      <c r="A172" s="1" t="s">
        <v>1181</v>
      </c>
      <c r="B172" s="1" t="str" cm="1">
        <f t="array" ref="B172">IF(A172="","",_xlfn.IFS(COUNTIF($U:$U,A172)&gt;0,"All uploaded",COUNTIF($V:$V,A172)&gt;0,"Partly uploaded",COUNTIF($W:$X,A172)&gt;0,"Not uploaded",TRUE,"Not classified"))</f>
        <v>Partly uploaded</v>
      </c>
      <c r="C172" s="1" t="str" cm="1">
        <f t="array" ref="C172">_xlfn.SWITCH(TRIM(I172),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72" s="1" t="s">
        <v>1</v>
      </c>
      <c r="E172" s="1" t="s">
        <v>2</v>
      </c>
      <c r="F172" s="1" t="str" cm="1">
        <f t="array" ref="F172">_xlfn.LET(
_xlpm.status,UPPER(TRIM(B172&amp;"")),
_xlpm.risk,UPPER(TRIM(C172&amp;"")),
_xlpm.notify,UPPER(TRIM(D172&amp;"")),
_xlpm.form,UPPER(TRIM(E172&amp;"")),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72" s="1" t="str">
        <f t="shared" si="2"/>
        <v>NA</v>
      </c>
      <c r="H172" s="5" t="s">
        <v>1190</v>
      </c>
      <c r="I172" s="1" t="s">
        <v>10</v>
      </c>
      <c r="J172" s="1" t="s">
        <v>1193</v>
      </c>
      <c r="K172" s="1" t="s">
        <v>1180</v>
      </c>
      <c r="L172" s="1" t="s">
        <v>10</v>
      </c>
      <c r="M172" s="1" t="s">
        <v>75</v>
      </c>
      <c r="N172" s="1" t="s">
        <v>51</v>
      </c>
      <c r="O172" s="1" t="s">
        <v>19</v>
      </c>
      <c r="P172" s="1" t="s">
        <v>18</v>
      </c>
      <c r="Q172" s="1" t="s">
        <v>20</v>
      </c>
      <c r="R172" s="1" t="s">
        <v>1192</v>
      </c>
      <c r="S172" s="1">
        <v>14</v>
      </c>
      <c r="T172" s="1" t="s">
        <v>1194</v>
      </c>
      <c r="V172" t="s">
        <v>2264</v>
      </c>
      <c r="W172" t="s">
        <v>1852</v>
      </c>
    </row>
    <row r="173" spans="1:23">
      <c r="A173" s="1" t="s">
        <v>1198</v>
      </c>
      <c r="B173" s="1" t="str" cm="1">
        <f t="array" ref="B173">IF(A173="","",_xlfn.IFS(COUNTIF($U:$U,A173)&gt;0,"All uploaded",COUNTIF($V:$V,A173)&gt;0,"Partly uploaded",COUNTIF($W:$X,A173)&gt;0,"Not uploaded",TRUE,"Not classified"))</f>
        <v>All uploaded</v>
      </c>
      <c r="C173" s="1" t="str" cm="1">
        <f t="array" ref="C173">_xlfn.SWITCH(TRIM(I173),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73" s="1" t="s">
        <v>0</v>
      </c>
      <c r="E173" s="1" t="s">
        <v>4</v>
      </c>
      <c r="F173" s="1" t="str" cm="1">
        <f t="array" ref="F173">_xlfn.LET(
_xlpm.status,UPPER(TRIM(B173&amp;"")),
_xlpm.risk,UPPER(TRIM(C173&amp;"")),
_xlpm.notify,UPPER(TRIM(D173&amp;"")),
_xlpm.form,UPPER(TRIM(E173&amp;"")),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73" s="1" t="str">
        <f t="shared" si="2"/>
        <v>NA</v>
      </c>
      <c r="H173" s="5" t="s">
        <v>1202</v>
      </c>
      <c r="I173" s="1" t="s">
        <v>22</v>
      </c>
      <c r="J173" s="1" t="s">
        <v>1201</v>
      </c>
      <c r="K173" s="1" t="s">
        <v>1180</v>
      </c>
      <c r="L173" s="1" t="s">
        <v>22</v>
      </c>
      <c r="M173" s="1" t="s">
        <v>77</v>
      </c>
      <c r="N173" s="1" t="s">
        <v>1199</v>
      </c>
      <c r="O173" s="1" t="s">
        <v>19</v>
      </c>
      <c r="P173" s="1" t="s">
        <v>18</v>
      </c>
      <c r="Q173" s="1" t="s">
        <v>20</v>
      </c>
      <c r="R173" s="1" t="s">
        <v>1200</v>
      </c>
      <c r="S173" s="1">
        <v>5</v>
      </c>
      <c r="T173" s="1" t="s">
        <v>1203</v>
      </c>
      <c r="V173" t="s">
        <v>2251</v>
      </c>
      <c r="W173" t="s">
        <v>1894</v>
      </c>
    </row>
    <row r="174" spans="1:23">
      <c r="A174" s="1" t="s">
        <v>1182</v>
      </c>
      <c r="B174" s="1" t="str" cm="1">
        <f t="array" ref="B174">IF(A174="","",_xlfn.IFS(COUNTIF($U:$U,A174)&gt;0,"All uploaded",COUNTIF($V:$V,A174)&gt;0,"Partly uploaded",COUNTIF($W:$X,A174)&gt;0,"Not uploaded",TRUE,"Not classified"))</f>
        <v>Partly uploaded</v>
      </c>
      <c r="C174" s="1" t="str" cm="1">
        <f t="array" ref="C174">_xlfn.SWITCH(TRIM(I174),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74" s="1" t="s">
        <v>1</v>
      </c>
      <c r="E174" s="1" t="s">
        <v>4</v>
      </c>
      <c r="F174" s="1" t="str" cm="1">
        <f t="array" ref="F174">_xlfn.LET(
_xlpm.status,UPPER(TRIM(B174&amp;"")),
_xlpm.risk,UPPER(TRIM(C174&amp;"")),
_xlpm.notify,UPPER(TRIM(D174&amp;"")),
_xlpm.form,UPPER(TRIM(E174&amp;"")),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74" s="1" t="str">
        <f t="shared" si="2"/>
        <v>Required</v>
      </c>
      <c r="H174" s="5" t="s">
        <v>1196</v>
      </c>
      <c r="I174" s="1" t="s">
        <v>27</v>
      </c>
      <c r="J174" s="1" t="s">
        <v>1195</v>
      </c>
      <c r="K174" s="1" t="s">
        <v>1180</v>
      </c>
      <c r="L174" s="1" t="s">
        <v>27</v>
      </c>
      <c r="M174" s="1" t="s">
        <v>77</v>
      </c>
      <c r="N174" s="1" t="s">
        <v>1183</v>
      </c>
      <c r="O174" s="1" t="s">
        <v>19</v>
      </c>
      <c r="P174" s="1" t="s">
        <v>18</v>
      </c>
      <c r="Q174" s="1" t="s">
        <v>20</v>
      </c>
      <c r="R174" s="1" t="s">
        <v>1188</v>
      </c>
      <c r="S174" s="1">
        <v>3</v>
      </c>
      <c r="T174" s="1" t="s">
        <v>1197</v>
      </c>
      <c r="V174" t="s">
        <v>2304</v>
      </c>
      <c r="W174" t="s">
        <v>1903</v>
      </c>
    </row>
    <row r="175" spans="1:23">
      <c r="A175" s="1" t="s">
        <v>1182</v>
      </c>
      <c r="B175" s="1" t="str" cm="1">
        <f t="array" ref="B175">IF(A175="","",_xlfn.IFS(COUNTIF($U:$U,A175)&gt;0,"All uploaded",COUNTIF($V:$V,A175)&gt;0,"Partly uploaded",COUNTIF($W:$X,A175)&gt;0,"Not uploaded",TRUE,"Not classified"))</f>
        <v>Partly uploaded</v>
      </c>
      <c r="C175" s="1" t="str" cm="1">
        <f t="array" ref="C175">_xlfn.SWITCH(TRIM(I175),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75" s="1" t="s">
        <v>1</v>
      </c>
      <c r="E175" s="1" t="s">
        <v>4</v>
      </c>
      <c r="F175" s="1" t="str" cm="1">
        <f t="array" ref="F175">_xlfn.LET(
_xlpm.status,UPPER(TRIM(B175&amp;"")),
_xlpm.risk,UPPER(TRIM(C175&amp;"")),
_xlpm.notify,UPPER(TRIM(D175&amp;"")),
_xlpm.form,UPPER(TRIM(E175&amp;"")),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75" s="1" t="str">
        <f t="shared" si="2"/>
        <v>Required</v>
      </c>
      <c r="H175" s="5" t="s">
        <v>1186</v>
      </c>
      <c r="I175" s="1" t="s">
        <v>27</v>
      </c>
      <c r="J175" s="1" t="s">
        <v>1185</v>
      </c>
      <c r="K175" s="1" t="s">
        <v>1180</v>
      </c>
      <c r="L175" s="1" t="s">
        <v>27</v>
      </c>
      <c r="M175" s="1" t="s">
        <v>28</v>
      </c>
      <c r="N175" s="1" t="s">
        <v>1183</v>
      </c>
      <c r="O175" s="1" t="s">
        <v>19</v>
      </c>
      <c r="P175" s="1" t="s">
        <v>18</v>
      </c>
      <c r="Q175" s="1" t="s">
        <v>20</v>
      </c>
      <c r="R175" s="1" t="s">
        <v>1184</v>
      </c>
      <c r="S175" s="1">
        <v>1</v>
      </c>
      <c r="T175" s="1" t="s">
        <v>1187</v>
      </c>
      <c r="V175" t="s">
        <v>2286</v>
      </c>
      <c r="W175" t="s">
        <v>1914</v>
      </c>
    </row>
    <row r="176" spans="1:23">
      <c r="A176" s="1" t="s">
        <v>1227</v>
      </c>
      <c r="B176" s="1" t="str" cm="1">
        <f t="array" ref="B176">IF(A176="","",_xlfn.IFS(COUNTIF($U:$U,A176)&gt;0,"All uploaded",COUNTIF($V:$V,A176)&gt;0,"Partly uploaded",COUNTIF($W:$X,A176)&gt;0,"Not uploaded",TRUE,"Not classified"))</f>
        <v>Partly uploaded</v>
      </c>
      <c r="C176" s="1" t="str" cm="1">
        <f t="array" ref="C176">_xlfn.SWITCH(TRIM(I176),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76" s="1" t="s">
        <v>1</v>
      </c>
      <c r="E176" s="1" t="s">
        <v>2</v>
      </c>
      <c r="F176" s="1" t="str" cm="1">
        <f t="array" ref="F176">_xlfn.LET(
_xlpm.status,UPPER(TRIM(B176&amp;"")),
_xlpm.risk,UPPER(TRIM(C176&amp;"")),
_xlpm.notify,UPPER(TRIM(D176&amp;"")),
_xlpm.form,UPPER(TRIM(E176&amp;"")),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76" s="1" t="str">
        <f t="shared" si="2"/>
        <v>NA</v>
      </c>
      <c r="H176" s="5" t="s">
        <v>1229</v>
      </c>
      <c r="I176" s="1" t="s">
        <v>50</v>
      </c>
      <c r="J176" s="1" t="s">
        <v>1228</v>
      </c>
      <c r="K176" s="1" t="s">
        <v>1226</v>
      </c>
      <c r="L176" s="1" t="s">
        <v>50</v>
      </c>
      <c r="M176" s="1" t="s">
        <v>75</v>
      </c>
      <c r="N176" s="1" t="s">
        <v>51</v>
      </c>
      <c r="O176" s="1" t="s">
        <v>19</v>
      </c>
      <c r="P176" s="1" t="s">
        <v>18</v>
      </c>
      <c r="Q176" s="1" t="s">
        <v>20</v>
      </c>
      <c r="R176" s="1" t="s">
        <v>1214</v>
      </c>
      <c r="S176" s="1">
        <v>8</v>
      </c>
      <c r="T176" s="1" t="s">
        <v>1230</v>
      </c>
      <c r="V176" t="s">
        <v>2299</v>
      </c>
      <c r="W176" t="s">
        <v>1916</v>
      </c>
    </row>
    <row r="177" spans="1:23">
      <c r="A177" s="1" t="s">
        <v>1212</v>
      </c>
      <c r="B177" s="1" t="str" cm="1">
        <f t="array" ref="B177">IF(A177="","",_xlfn.IFS(COUNTIF($U:$U,A177)&gt;0,"All uploaded",COUNTIF($V:$V,A177)&gt;0,"Partly uploaded",COUNTIF($W:$X,A177)&gt;0,"Not uploaded",TRUE,"Not classified"))</f>
        <v>Partly uploaded</v>
      </c>
      <c r="C177" s="1" t="str" cm="1">
        <f t="array" ref="C177">_xlfn.SWITCH(TRIM(I177),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77" s="1" t="s">
        <v>1</v>
      </c>
      <c r="E177" s="1" t="s">
        <v>2</v>
      </c>
      <c r="F177" s="1" t="str" cm="1">
        <f t="array" ref="F177">_xlfn.LET(
_xlpm.status,UPPER(TRIM(B177&amp;"")),
_xlpm.risk,UPPER(TRIM(C177&amp;"")),
_xlpm.notify,UPPER(TRIM(D177&amp;"")),
_xlpm.form,UPPER(TRIM(E177&amp;"")),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77" s="1" t="str">
        <f t="shared" si="2"/>
        <v>NA</v>
      </c>
      <c r="H177" s="5" t="s">
        <v>1216</v>
      </c>
      <c r="I177" s="1" t="s">
        <v>10</v>
      </c>
      <c r="J177" s="1" t="s">
        <v>1215</v>
      </c>
      <c r="K177" s="1" t="s">
        <v>1211</v>
      </c>
      <c r="L177" s="1" t="s">
        <v>10</v>
      </c>
      <c r="M177" s="1" t="s">
        <v>75</v>
      </c>
      <c r="N177" s="1" t="s">
        <v>1213</v>
      </c>
      <c r="O177" s="1" t="s">
        <v>19</v>
      </c>
      <c r="P177" s="1" t="s">
        <v>18</v>
      </c>
      <c r="Q177" s="1" t="s">
        <v>20</v>
      </c>
      <c r="R177" s="1" t="s">
        <v>1214</v>
      </c>
      <c r="S177" s="1">
        <v>8</v>
      </c>
      <c r="T177" s="1" t="s">
        <v>1217</v>
      </c>
      <c r="V177" t="s">
        <v>2342</v>
      </c>
      <c r="W177" t="s">
        <v>1906</v>
      </c>
    </row>
    <row r="178" spans="1:23">
      <c r="A178" s="1" t="s">
        <v>1212</v>
      </c>
      <c r="B178" s="1" t="str" cm="1">
        <f t="array" ref="B178">IF(A178="","",_xlfn.IFS(COUNTIF($U:$U,A178)&gt;0,"All uploaded",COUNTIF($V:$V,A178)&gt;0,"Partly uploaded",COUNTIF($W:$X,A178)&gt;0,"Not uploaded",TRUE,"Not classified"))</f>
        <v>Partly uploaded</v>
      </c>
      <c r="C178" s="1" t="str" cm="1">
        <f t="array" ref="C178">_xlfn.SWITCH(TRIM(I178),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78" s="1" t="s">
        <v>1</v>
      </c>
      <c r="E178" s="1" t="s">
        <v>2</v>
      </c>
      <c r="F178" s="1" t="str" cm="1">
        <f t="array" ref="F178">_xlfn.LET(
_xlpm.status,UPPER(TRIM(B178&amp;"")),
_xlpm.risk,UPPER(TRIM(C178&amp;"")),
_xlpm.notify,UPPER(TRIM(D178&amp;"")),
_xlpm.form,UPPER(TRIM(E178&amp;"")),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78" s="1" t="str">
        <f t="shared" si="2"/>
        <v>NA</v>
      </c>
      <c r="H178" s="5" t="s">
        <v>1219</v>
      </c>
      <c r="I178" s="1" t="s">
        <v>10</v>
      </c>
      <c r="J178" s="1" t="s">
        <v>1218</v>
      </c>
      <c r="K178" s="1" t="s">
        <v>1211</v>
      </c>
      <c r="L178" s="1" t="s">
        <v>10</v>
      </c>
      <c r="M178" s="1" t="s">
        <v>75</v>
      </c>
      <c r="N178" s="1" t="s">
        <v>1213</v>
      </c>
      <c r="O178" s="1" t="s">
        <v>19</v>
      </c>
      <c r="P178" s="1" t="s">
        <v>18</v>
      </c>
      <c r="Q178" s="1" t="s">
        <v>20</v>
      </c>
      <c r="R178" s="1" t="s">
        <v>1214</v>
      </c>
      <c r="S178" s="1">
        <v>8</v>
      </c>
      <c r="T178" s="1" t="s">
        <v>1217</v>
      </c>
      <c r="V178" t="s">
        <v>2324</v>
      </c>
      <c r="W178" t="s">
        <v>1926</v>
      </c>
    </row>
    <row r="179" spans="1:23">
      <c r="A179" s="1" t="s">
        <v>1221</v>
      </c>
      <c r="B179" s="1" t="str" cm="1">
        <f t="array" ref="B179">IF(A179="","",_xlfn.IFS(COUNTIF($U:$U,A179)&gt;0,"All uploaded",COUNTIF($V:$V,A179)&gt;0,"Partly uploaded",COUNTIF($W:$X,A179)&gt;0,"Not uploaded",TRUE,"Not classified"))</f>
        <v>Partly uploaded</v>
      </c>
      <c r="C179" s="1" t="str" cm="1">
        <f t="array" ref="C179">_xlfn.SWITCH(TRIM(I179),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79" s="1" t="s">
        <v>1</v>
      </c>
      <c r="E179" s="1" t="s">
        <v>4</v>
      </c>
      <c r="F179" s="1" t="str" cm="1">
        <f t="array" ref="F179">_xlfn.LET(
_xlpm.status,UPPER(TRIM(B179&amp;"")),
_xlpm.risk,UPPER(TRIM(C179&amp;"")),
_xlpm.notify,UPPER(TRIM(D179&amp;"")),
_xlpm.form,UPPER(TRIM(E179&amp;"")),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79" s="1" t="str">
        <f t="shared" si="2"/>
        <v>NA</v>
      </c>
      <c r="H179" s="5" t="s">
        <v>1224</v>
      </c>
      <c r="I179" s="1" t="s">
        <v>23</v>
      </c>
      <c r="J179" s="1" t="s">
        <v>1223</v>
      </c>
      <c r="K179" s="1" t="s">
        <v>1220</v>
      </c>
      <c r="L179" s="1" t="s">
        <v>23</v>
      </c>
      <c r="M179" s="1" t="s">
        <v>28</v>
      </c>
      <c r="N179" s="1" t="s">
        <v>1222</v>
      </c>
      <c r="O179" s="1" t="s">
        <v>19</v>
      </c>
      <c r="P179" s="1" t="s">
        <v>18</v>
      </c>
      <c r="Q179" s="1" t="s">
        <v>20</v>
      </c>
      <c r="R179" s="1" t="s">
        <v>129</v>
      </c>
      <c r="S179" s="1">
        <v>3</v>
      </c>
      <c r="T179" s="1" t="s">
        <v>1225</v>
      </c>
      <c r="V179" t="s">
        <v>2313</v>
      </c>
      <c r="W179" t="s">
        <v>1924</v>
      </c>
    </row>
    <row r="180" spans="1:23">
      <c r="A180" s="1" t="s">
        <v>1232</v>
      </c>
      <c r="B180" s="1" t="str" cm="1">
        <f t="array" ref="B180">IF(A180="","",_xlfn.IFS(COUNTIF($U:$U,A180)&gt;0,"All uploaded",COUNTIF($V:$V,A180)&gt;0,"Partly uploaded",COUNTIF($W:$X,A180)&gt;0,"Not uploaded",TRUE,"Not classified"))</f>
        <v>Partly uploaded</v>
      </c>
      <c r="C180" s="1" t="str" cm="1">
        <f t="array" ref="C180">_xlfn.SWITCH(TRIM(I180),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80" s="1" t="s">
        <v>1</v>
      </c>
      <c r="E180" s="1" t="s">
        <v>4</v>
      </c>
      <c r="F180" s="1" t="str" cm="1">
        <f t="array" ref="F180">_xlfn.LET(
_xlpm.status,UPPER(TRIM(B180&amp;"")),
_xlpm.risk,UPPER(TRIM(C180&amp;"")),
_xlpm.notify,UPPER(TRIM(D180&amp;"")),
_xlpm.form,UPPER(TRIM(E180&amp;"")),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80" s="1" t="str">
        <f t="shared" si="2"/>
        <v>Required</v>
      </c>
      <c r="H180" s="5" t="s">
        <v>1235</v>
      </c>
      <c r="I180" s="1" t="s">
        <v>25</v>
      </c>
      <c r="J180" s="1" t="s">
        <v>1234</v>
      </c>
      <c r="K180" s="1" t="s">
        <v>1231</v>
      </c>
      <c r="L180" s="1" t="s">
        <v>25</v>
      </c>
      <c r="M180" s="1" t="s">
        <v>28</v>
      </c>
      <c r="N180" s="1" t="s">
        <v>104</v>
      </c>
      <c r="O180" s="1" t="s">
        <v>19</v>
      </c>
      <c r="P180" s="1" t="s">
        <v>18</v>
      </c>
      <c r="Q180" s="1" t="s">
        <v>20</v>
      </c>
      <c r="R180" s="1" t="s">
        <v>1233</v>
      </c>
      <c r="S180" s="1">
        <v>6</v>
      </c>
      <c r="T180" s="1" t="s">
        <v>1236</v>
      </c>
      <c r="V180" t="s">
        <v>2329</v>
      </c>
      <c r="W180" t="s">
        <v>1928</v>
      </c>
    </row>
    <row r="181" spans="1:23">
      <c r="A181" s="1" t="s">
        <v>1237</v>
      </c>
      <c r="B181" s="1" t="str" cm="1">
        <f t="array" ref="B181">IF(A181="","",_xlfn.IFS(COUNTIF($U:$U,A181)&gt;0,"All uploaded",COUNTIF($V:$V,A181)&gt;0,"Partly uploaded",COUNTIF($W:$X,A181)&gt;0,"Not uploaded",TRUE,"Not classified"))</f>
        <v>Partly uploaded</v>
      </c>
      <c r="C181" s="1" t="str" cm="1">
        <f t="array" ref="C181">_xlfn.SWITCH(TRIM(I181),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81" s="1" t="s">
        <v>1</v>
      </c>
      <c r="E181" s="1" t="s">
        <v>4</v>
      </c>
      <c r="F181" s="1" t="str" cm="1">
        <f t="array" ref="F181">_xlfn.LET(
_xlpm.status,UPPER(TRIM(B181&amp;"")),
_xlpm.risk,UPPER(TRIM(C181&amp;"")),
_xlpm.notify,UPPER(TRIM(D181&amp;"")),
_xlpm.form,UPPER(TRIM(E181&amp;"")),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81" s="1" t="str">
        <f t="shared" si="2"/>
        <v>Required</v>
      </c>
      <c r="H181" s="5" t="s">
        <v>1240</v>
      </c>
      <c r="I181" s="1" t="s">
        <v>27</v>
      </c>
      <c r="J181" s="1" t="s">
        <v>1239</v>
      </c>
      <c r="K181" s="1" t="s">
        <v>1231</v>
      </c>
      <c r="L181" s="1" t="s">
        <v>27</v>
      </c>
      <c r="M181" s="1" t="s">
        <v>28</v>
      </c>
      <c r="N181" s="1" t="s">
        <v>1238</v>
      </c>
      <c r="O181" s="1" t="s">
        <v>19</v>
      </c>
      <c r="P181" s="1" t="s">
        <v>18</v>
      </c>
      <c r="Q181" s="1" t="s">
        <v>20</v>
      </c>
      <c r="R181" s="1" t="s">
        <v>1184</v>
      </c>
      <c r="S181" s="1">
        <v>2</v>
      </c>
      <c r="T181" s="1" t="s">
        <v>1241</v>
      </c>
      <c r="V181" t="s">
        <v>2334</v>
      </c>
      <c r="W181" t="s">
        <v>1938</v>
      </c>
    </row>
    <row r="182" spans="1:23">
      <c r="A182" s="1" t="s">
        <v>1237</v>
      </c>
      <c r="B182" s="1" t="str" cm="1">
        <f t="array" ref="B182">IF(A182="","",_xlfn.IFS(COUNTIF($U:$U,A182)&gt;0,"All uploaded",COUNTIF($V:$V,A182)&gt;0,"Partly uploaded",COUNTIF($W:$X,A182)&gt;0,"Not uploaded",TRUE,"Not classified"))</f>
        <v>Partly uploaded</v>
      </c>
      <c r="C182" s="1" t="str" cm="1">
        <f t="array" ref="C182">_xlfn.SWITCH(TRIM(I182),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82" s="1" t="s">
        <v>1</v>
      </c>
      <c r="E182" s="1" t="s">
        <v>4</v>
      </c>
      <c r="F182" s="1" t="str" cm="1">
        <f t="array" ref="F182">_xlfn.LET(
_xlpm.status,UPPER(TRIM(B182&amp;"")),
_xlpm.risk,UPPER(TRIM(C182&amp;"")),
_xlpm.notify,UPPER(TRIM(D182&amp;"")),
_xlpm.form,UPPER(TRIM(E182&amp;"")),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82" s="1" t="str">
        <f t="shared" si="2"/>
        <v>Required</v>
      </c>
      <c r="H182" s="5" t="s">
        <v>1243</v>
      </c>
      <c r="I182" s="1" t="s">
        <v>27</v>
      </c>
      <c r="J182" s="1" t="s">
        <v>1242</v>
      </c>
      <c r="K182" s="1" t="s">
        <v>1231</v>
      </c>
      <c r="L182" s="1" t="s">
        <v>27</v>
      </c>
      <c r="M182" s="1" t="s">
        <v>28</v>
      </c>
      <c r="N182" s="1" t="s">
        <v>1238</v>
      </c>
      <c r="O182" s="1" t="s">
        <v>19</v>
      </c>
      <c r="P182" s="1" t="s">
        <v>18</v>
      </c>
      <c r="Q182" s="1" t="s">
        <v>20</v>
      </c>
      <c r="R182" s="1" t="s">
        <v>1184</v>
      </c>
      <c r="S182" s="1">
        <v>2</v>
      </c>
      <c r="T182" s="1" t="s">
        <v>1241</v>
      </c>
      <c r="V182" t="s">
        <v>2357</v>
      </c>
      <c r="W182" t="s">
        <v>1936</v>
      </c>
    </row>
    <row r="183" spans="1:23">
      <c r="A183" s="1" t="s">
        <v>1237</v>
      </c>
      <c r="B183" s="1" t="str" cm="1">
        <f t="array" ref="B183">IF(A183="","",_xlfn.IFS(COUNTIF($U:$U,A183)&gt;0,"All uploaded",COUNTIF($V:$V,A183)&gt;0,"Partly uploaded",COUNTIF($W:$X,A183)&gt;0,"Not uploaded",TRUE,"Not classified"))</f>
        <v>Partly uploaded</v>
      </c>
      <c r="C183" s="1" t="str" cm="1">
        <f t="array" ref="C183">_xlfn.SWITCH(TRIM(I183),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83" s="1" t="s">
        <v>1</v>
      </c>
      <c r="E183" s="1" t="s">
        <v>4</v>
      </c>
      <c r="F183" s="1" t="str" cm="1">
        <f t="array" ref="F183">_xlfn.LET(
_xlpm.status,UPPER(TRIM(B183&amp;"")),
_xlpm.risk,UPPER(TRIM(C183&amp;"")),
_xlpm.notify,UPPER(TRIM(D183&amp;"")),
_xlpm.form,UPPER(TRIM(E183&amp;"")),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83" s="1" t="str">
        <f t="shared" si="2"/>
        <v>Required</v>
      </c>
      <c r="H183" s="5" t="s">
        <v>1245</v>
      </c>
      <c r="I183" s="1" t="s">
        <v>27</v>
      </c>
      <c r="J183" s="1" t="s">
        <v>1244</v>
      </c>
      <c r="K183" s="1" t="s">
        <v>1231</v>
      </c>
      <c r="L183" s="1" t="s">
        <v>27</v>
      </c>
      <c r="M183" s="1" t="s">
        <v>28</v>
      </c>
      <c r="N183" s="1" t="s">
        <v>1238</v>
      </c>
      <c r="O183" s="1" t="s">
        <v>19</v>
      </c>
      <c r="P183" s="1" t="s">
        <v>18</v>
      </c>
      <c r="Q183" s="1" t="s">
        <v>20</v>
      </c>
      <c r="R183" s="1" t="s">
        <v>127</v>
      </c>
      <c r="S183" s="1">
        <v>2</v>
      </c>
      <c r="T183" s="1" t="s">
        <v>1241</v>
      </c>
      <c r="V183" t="s">
        <v>2403</v>
      </c>
      <c r="W183" t="s">
        <v>1971</v>
      </c>
    </row>
    <row r="184" spans="1:23">
      <c r="A184" s="1" t="s">
        <v>1237</v>
      </c>
      <c r="B184" s="1" t="str" cm="1">
        <f t="array" ref="B184">IF(A184="","",_xlfn.IFS(COUNTIF($U:$U,A184)&gt;0,"All uploaded",COUNTIF($V:$V,A184)&gt;0,"Partly uploaded",COUNTIF($W:$X,A184)&gt;0,"Not uploaded",TRUE,"Not classified"))</f>
        <v>Partly uploaded</v>
      </c>
      <c r="C184" s="1" t="str" cm="1">
        <f t="array" ref="C184">_xlfn.SWITCH(TRIM(I184),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84" s="1" t="s">
        <v>1</v>
      </c>
      <c r="E184" s="1" t="s">
        <v>4</v>
      </c>
      <c r="F184" s="1" t="str" cm="1">
        <f t="array" ref="F184">_xlfn.LET(
_xlpm.status,UPPER(TRIM(B184&amp;"")),
_xlpm.risk,UPPER(TRIM(C184&amp;"")),
_xlpm.notify,UPPER(TRIM(D184&amp;"")),
_xlpm.form,UPPER(TRIM(E184&amp;"")),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84" s="1" t="str">
        <f t="shared" si="2"/>
        <v>Required</v>
      </c>
      <c r="H184" s="5" t="s">
        <v>1247</v>
      </c>
      <c r="I184" s="1" t="s">
        <v>27</v>
      </c>
      <c r="J184" s="1" t="s">
        <v>1246</v>
      </c>
      <c r="K184" s="1" t="s">
        <v>1231</v>
      </c>
      <c r="L184" s="1" t="s">
        <v>27</v>
      </c>
      <c r="M184" s="1" t="s">
        <v>28</v>
      </c>
      <c r="N184" s="1" t="s">
        <v>1238</v>
      </c>
      <c r="O184" s="1" t="s">
        <v>19</v>
      </c>
      <c r="P184" s="1" t="s">
        <v>18</v>
      </c>
      <c r="Q184" s="1" t="s">
        <v>20</v>
      </c>
      <c r="R184" s="1" t="s">
        <v>127</v>
      </c>
      <c r="S184" s="1">
        <v>2</v>
      </c>
      <c r="T184" s="1" t="s">
        <v>1241</v>
      </c>
      <c r="V184" t="s">
        <v>2368</v>
      </c>
      <c r="W184" t="s">
        <v>1965</v>
      </c>
    </row>
    <row r="185" spans="1:23">
      <c r="A185" s="1" t="s">
        <v>1249</v>
      </c>
      <c r="B185" s="1" t="str" cm="1">
        <f t="array" ref="B185">IF(A185="","",_xlfn.IFS(COUNTIF($U:$U,A185)&gt;0,"All uploaded",COUNTIF($V:$V,A185)&gt;0,"Partly uploaded",COUNTIF($W:$X,A185)&gt;0,"Not uploaded",TRUE,"Not classified"))</f>
        <v>Partly uploaded</v>
      </c>
      <c r="C185" s="1" t="str" cm="1">
        <f t="array" ref="C185">_xlfn.SWITCH(TRIM(I185),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85" s="1" t="s">
        <v>1</v>
      </c>
      <c r="E185" s="1" t="s">
        <v>4</v>
      </c>
      <c r="F185" s="1" t="str" cm="1">
        <f t="array" ref="F185">_xlfn.LET(
_xlpm.status,UPPER(TRIM(B185&amp;"")),
_xlpm.risk,UPPER(TRIM(C185&amp;"")),
_xlpm.notify,UPPER(TRIM(D185&amp;"")),
_xlpm.form,UPPER(TRIM(E185&amp;"")),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85" s="1" t="str">
        <f t="shared" si="2"/>
        <v>Required</v>
      </c>
      <c r="H185" s="5" t="s">
        <v>1251</v>
      </c>
      <c r="I185" s="1" t="s">
        <v>10</v>
      </c>
      <c r="J185" s="1" t="s">
        <v>1250</v>
      </c>
      <c r="K185" s="1" t="s">
        <v>1248</v>
      </c>
      <c r="L185" s="1" t="s">
        <v>10</v>
      </c>
      <c r="M185" s="1" t="s">
        <v>75</v>
      </c>
      <c r="N185" s="1" t="s">
        <v>724</v>
      </c>
      <c r="O185" s="1" t="s">
        <v>19</v>
      </c>
      <c r="P185" s="1" t="s">
        <v>18</v>
      </c>
      <c r="Q185" s="1" t="s">
        <v>20</v>
      </c>
      <c r="R185" s="1" t="s">
        <v>1137</v>
      </c>
      <c r="S185" s="1">
        <v>16</v>
      </c>
      <c r="T185" s="1" t="s">
        <v>1252</v>
      </c>
      <c r="V185" t="s">
        <v>2390</v>
      </c>
      <c r="W185" t="s">
        <v>1957</v>
      </c>
    </row>
    <row r="186" spans="1:23">
      <c r="A186" s="1" t="s">
        <v>1283</v>
      </c>
      <c r="B186" s="1" t="str" cm="1">
        <f t="array" ref="B186">IF(A186="","",_xlfn.IFS(COUNTIF($U:$U,A186)&gt;0,"All uploaded",COUNTIF($V:$V,A186)&gt;0,"Partly uploaded",COUNTIF($W:$X,A186)&gt;0,"Not uploaded",TRUE,"Not classified"))</f>
        <v>Partly uploaded</v>
      </c>
      <c r="C186" s="1" t="str" cm="1">
        <f t="array" ref="C186">_xlfn.SWITCH(TRIM(I186),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86" s="1" t="s">
        <v>1</v>
      </c>
      <c r="E186" s="1" t="s">
        <v>4</v>
      </c>
      <c r="F186" s="1" t="str" cm="1">
        <f t="array" ref="F186">_xlfn.LET(
_xlpm.status,UPPER(TRIM(B186&amp;"")),
_xlpm.risk,UPPER(TRIM(C186&amp;"")),
_xlpm.notify,UPPER(TRIM(D186&amp;"")),
_xlpm.form,UPPER(TRIM(E186&amp;"")),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86" s="1" t="str">
        <f t="shared" si="2"/>
        <v>Required</v>
      </c>
      <c r="H186" s="5" t="s">
        <v>1285</v>
      </c>
      <c r="I186" s="1" t="s">
        <v>27</v>
      </c>
      <c r="J186" s="1" t="s">
        <v>1284</v>
      </c>
      <c r="K186" s="1" t="s">
        <v>1271</v>
      </c>
      <c r="L186" s="1" t="s">
        <v>27</v>
      </c>
      <c r="M186" s="1" t="s">
        <v>28</v>
      </c>
      <c r="N186" s="1" t="s">
        <v>1262</v>
      </c>
      <c r="O186" s="1" t="s">
        <v>19</v>
      </c>
      <c r="P186" s="1" t="s">
        <v>18</v>
      </c>
      <c r="Q186" s="1" t="s">
        <v>20</v>
      </c>
      <c r="R186" s="1" t="s">
        <v>1233</v>
      </c>
      <c r="S186" s="1">
        <v>2</v>
      </c>
      <c r="T186" s="1" t="s">
        <v>1286</v>
      </c>
      <c r="V186" t="s">
        <v>2386</v>
      </c>
      <c r="W186" t="s">
        <v>1977</v>
      </c>
    </row>
    <row r="187" spans="1:23">
      <c r="A187" s="1" t="s">
        <v>1290</v>
      </c>
      <c r="B187" s="1" t="str" cm="1">
        <f t="array" ref="B187">IF(A187="","",_xlfn.IFS(COUNTIF($U:$U,A187)&gt;0,"All uploaded",COUNTIF($V:$V,A187)&gt;0,"Partly uploaded",COUNTIF($W:$X,A187)&gt;0,"Not uploaded",TRUE,"Not classified"))</f>
        <v>All uploaded</v>
      </c>
      <c r="C187" s="1" t="str" cm="1">
        <f t="array" ref="C187">_xlfn.SWITCH(TRIM(I187),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87" s="1" t="s">
        <v>1</v>
      </c>
      <c r="E187" s="1" t="s">
        <v>4</v>
      </c>
      <c r="F187" s="1" t="str" cm="1">
        <f t="array" ref="F187">_xlfn.LET(
_xlpm.status,UPPER(TRIM(B187&amp;"")),
_xlpm.risk,UPPER(TRIM(C187&amp;"")),
_xlpm.notify,UPPER(TRIM(D187&amp;"")),
_xlpm.form,UPPER(TRIM(E187&amp;"")),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87" s="1" t="str">
        <f t="shared" si="2"/>
        <v>Required</v>
      </c>
      <c r="H187" s="5" t="s">
        <v>1292</v>
      </c>
      <c r="I187" s="1" t="s">
        <v>27</v>
      </c>
      <c r="J187" s="1" t="s">
        <v>1291</v>
      </c>
      <c r="K187" s="1" t="s">
        <v>1271</v>
      </c>
      <c r="L187" s="1" t="s">
        <v>27</v>
      </c>
      <c r="M187" s="1" t="s">
        <v>28</v>
      </c>
      <c r="N187" s="1" t="s">
        <v>1050</v>
      </c>
      <c r="O187" s="1" t="s">
        <v>19</v>
      </c>
      <c r="P187" s="1" t="s">
        <v>18</v>
      </c>
      <c r="Q187" s="1" t="s">
        <v>20</v>
      </c>
      <c r="R187" s="1" t="s">
        <v>96</v>
      </c>
      <c r="S187" s="1">
        <v>2</v>
      </c>
      <c r="T187" s="1" t="s">
        <v>1293</v>
      </c>
      <c r="V187" t="s">
        <v>2414</v>
      </c>
      <c r="W187" t="s">
        <v>1969</v>
      </c>
    </row>
    <row r="188" spans="1:23">
      <c r="A188" s="1" t="s">
        <v>1294</v>
      </c>
      <c r="B188" s="1" t="str" cm="1">
        <f t="array" ref="B188">IF(A188="","",_xlfn.IFS(COUNTIF($U:$U,A188)&gt;0,"All uploaded",COUNTIF($V:$V,A188)&gt;0,"Partly uploaded",COUNTIF($W:$X,A188)&gt;0,"Not uploaded",TRUE,"Not classified"))</f>
        <v>All uploaded</v>
      </c>
      <c r="C188" s="1" t="str" cm="1">
        <f t="array" ref="C188">_xlfn.SWITCH(TRIM(I188),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88" s="1" t="s">
        <v>1</v>
      </c>
      <c r="E188" s="1" t="s">
        <v>4</v>
      </c>
      <c r="F188" s="1" t="str" cm="1">
        <f t="array" ref="F188">_xlfn.LET(
_xlpm.status,UPPER(TRIM(B188&amp;"")),
_xlpm.risk,UPPER(TRIM(C188&amp;"")),
_xlpm.notify,UPPER(TRIM(D188&amp;"")),
_xlpm.form,UPPER(TRIM(E188&amp;"")),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88" s="1" t="str">
        <f t="shared" si="2"/>
        <v>Required</v>
      </c>
      <c r="H188" s="5" t="s">
        <v>1296</v>
      </c>
      <c r="I188" s="1" t="s">
        <v>27</v>
      </c>
      <c r="J188" s="1" t="s">
        <v>1295</v>
      </c>
      <c r="K188" s="1" t="s">
        <v>1271</v>
      </c>
      <c r="L188" s="1" t="s">
        <v>27</v>
      </c>
      <c r="M188" s="1" t="s">
        <v>28</v>
      </c>
      <c r="N188" s="1" t="s">
        <v>1262</v>
      </c>
      <c r="O188" s="1" t="s">
        <v>19</v>
      </c>
      <c r="P188" s="1" t="s">
        <v>18</v>
      </c>
      <c r="Q188" s="1" t="s">
        <v>20</v>
      </c>
      <c r="R188" s="1" t="s">
        <v>791</v>
      </c>
      <c r="S188" s="1">
        <v>1</v>
      </c>
      <c r="T188" s="1" t="s">
        <v>1297</v>
      </c>
      <c r="V188" t="s">
        <v>2419</v>
      </c>
      <c r="W188" t="s">
        <v>1984</v>
      </c>
    </row>
    <row r="189" spans="1:23">
      <c r="A189" s="1" t="s">
        <v>1276</v>
      </c>
      <c r="B189" s="1" t="str" cm="1">
        <f t="array" ref="B189">IF(A189="","",_xlfn.IFS(COUNTIF($U:$U,A189)&gt;0,"All uploaded",COUNTIF($V:$V,A189)&gt;0,"Partly uploaded",COUNTIF($W:$X,A189)&gt;0,"Not uploaded",TRUE,"Not classified"))</f>
        <v>Partly uploaded</v>
      </c>
      <c r="C189" s="1" t="str" cm="1">
        <f t="array" ref="C189">_xlfn.SWITCH(TRIM(I189),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89" s="1" t="s">
        <v>1</v>
      </c>
      <c r="E189" s="1" t="s">
        <v>4</v>
      </c>
      <c r="F189" s="1" t="str" cm="1">
        <f t="array" ref="F189">_xlfn.LET(
_xlpm.status,UPPER(TRIM(B189&amp;"")),
_xlpm.risk,UPPER(TRIM(C189&amp;"")),
_xlpm.notify,UPPER(TRIM(D189&amp;"")),
_xlpm.form,UPPER(TRIM(E189&amp;"")),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89" s="1" t="str">
        <f t="shared" si="2"/>
        <v>NA</v>
      </c>
      <c r="H189" s="5" t="s">
        <v>1279</v>
      </c>
      <c r="I189" s="1" t="s">
        <v>23</v>
      </c>
      <c r="J189" s="1" t="s">
        <v>1278</v>
      </c>
      <c r="K189" s="1" t="s">
        <v>1271</v>
      </c>
      <c r="L189" s="1" t="s">
        <v>23</v>
      </c>
      <c r="M189" s="1" t="s">
        <v>28</v>
      </c>
      <c r="N189" s="1" t="s">
        <v>1277</v>
      </c>
      <c r="O189" s="1" t="s">
        <v>19</v>
      </c>
      <c r="P189" s="1" t="s">
        <v>18</v>
      </c>
      <c r="Q189" s="1" t="s">
        <v>20</v>
      </c>
      <c r="R189" s="1" t="s">
        <v>93</v>
      </c>
      <c r="S189" s="1">
        <v>1</v>
      </c>
      <c r="T189" s="1" t="s">
        <v>1280</v>
      </c>
      <c r="V189" t="s">
        <v>2431</v>
      </c>
      <c r="W189" t="s">
        <v>2012</v>
      </c>
    </row>
    <row r="190" spans="1:23">
      <c r="A190" s="1" t="s">
        <v>1281</v>
      </c>
      <c r="B190" s="1" t="str" cm="1">
        <f t="array" ref="B190">IF(A190="","",_xlfn.IFS(COUNTIF($U:$U,A190)&gt;0,"All uploaded",COUNTIF($V:$V,A190)&gt;0,"Partly uploaded",COUNTIF($W:$X,A190)&gt;0,"Not uploaded",TRUE,"Not classified"))</f>
        <v>Partly uploaded</v>
      </c>
      <c r="C190" s="1" t="str" cm="1">
        <f t="array" ref="C190">_xlfn.SWITCH(TRIM(I190),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90" s="1" t="s">
        <v>1</v>
      </c>
      <c r="E190" s="1" t="s">
        <v>4</v>
      </c>
      <c r="F190" s="1" t="str" cm="1">
        <f t="array" ref="F190">_xlfn.LET(
_xlpm.status,UPPER(TRIM(B190&amp;"")),
_xlpm.risk,UPPER(TRIM(C190&amp;"")),
_xlpm.notify,UPPER(TRIM(D190&amp;"")),
_xlpm.form,UPPER(TRIM(E190&amp;"")),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90" s="1" t="str">
        <f t="shared" si="2"/>
        <v>Required</v>
      </c>
      <c r="H190" s="5" t="s">
        <v>1288</v>
      </c>
      <c r="I190" s="1" t="s">
        <v>27</v>
      </c>
      <c r="J190" s="1" t="s">
        <v>1287</v>
      </c>
      <c r="K190" s="1" t="s">
        <v>1271</v>
      </c>
      <c r="L190" s="1" t="s">
        <v>27</v>
      </c>
      <c r="M190" s="1" t="s">
        <v>28</v>
      </c>
      <c r="N190" s="1" t="s">
        <v>1282</v>
      </c>
      <c r="O190" s="1" t="s">
        <v>19</v>
      </c>
      <c r="P190" s="1" t="s">
        <v>18</v>
      </c>
      <c r="Q190" s="1" t="s">
        <v>20</v>
      </c>
      <c r="R190" s="1" t="s">
        <v>1233</v>
      </c>
      <c r="S190" s="1">
        <v>2</v>
      </c>
      <c r="T190" s="1" t="s">
        <v>1289</v>
      </c>
      <c r="V190" t="s">
        <v>2425</v>
      </c>
      <c r="W190" t="s">
        <v>2017</v>
      </c>
    </row>
    <row r="191" spans="1:23">
      <c r="A191" s="1" t="s">
        <v>1261</v>
      </c>
      <c r="B191" s="1" t="str" cm="1">
        <f t="array" ref="B191">IF(A191="","",_xlfn.IFS(COUNTIF($U:$U,A191)&gt;0,"All uploaded",COUNTIF($V:$V,A191)&gt;0,"Partly uploaded",COUNTIF($W:$X,A191)&gt;0,"Not uploaded",TRUE,"Not classified"))</f>
        <v>Partly uploaded</v>
      </c>
      <c r="C191" s="1" t="str" cm="1">
        <f t="array" ref="C191">_xlfn.SWITCH(TRIM(I191),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91" s="1" t="s">
        <v>1</v>
      </c>
      <c r="E191" s="1" t="s">
        <v>4</v>
      </c>
      <c r="F191" s="1" t="str" cm="1">
        <f t="array" ref="F191">_xlfn.LET(
_xlpm.status,UPPER(TRIM(B191&amp;"")),
_xlpm.risk,UPPER(TRIM(C191&amp;"")),
_xlpm.notify,UPPER(TRIM(D191&amp;"")),
_xlpm.form,UPPER(TRIM(E191&amp;"")),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91" s="1" t="str">
        <f t="shared" si="2"/>
        <v>Required</v>
      </c>
      <c r="H191" s="5" t="s">
        <v>1264</v>
      </c>
      <c r="I191" s="1" t="s">
        <v>27</v>
      </c>
      <c r="J191" s="1" t="s">
        <v>1263</v>
      </c>
      <c r="K191" s="1" t="s">
        <v>1253</v>
      </c>
      <c r="L191" s="1" t="s">
        <v>27</v>
      </c>
      <c r="M191" s="1" t="s">
        <v>28</v>
      </c>
      <c r="N191" s="1" t="s">
        <v>1262</v>
      </c>
      <c r="O191" s="1" t="s">
        <v>19</v>
      </c>
      <c r="P191" s="1" t="s">
        <v>18</v>
      </c>
      <c r="Q191" s="1" t="s">
        <v>20</v>
      </c>
      <c r="R191" s="1" t="s">
        <v>1233</v>
      </c>
      <c r="S191" s="1">
        <v>6</v>
      </c>
      <c r="T191" s="1" t="s">
        <v>1265</v>
      </c>
      <c r="V191" t="s">
        <v>2454</v>
      </c>
      <c r="W191" t="s">
        <v>2014</v>
      </c>
    </row>
    <row r="192" spans="1:23">
      <c r="A192" s="1" t="s">
        <v>1254</v>
      </c>
      <c r="B192" s="1" t="str" cm="1">
        <f t="array" ref="B192">IF(A192="","",_xlfn.IFS(COUNTIF($U:$U,A192)&gt;0,"All uploaded",COUNTIF($V:$V,A192)&gt;0,"Partly uploaded",COUNTIF($W:$X,A192)&gt;0,"Not uploaded",TRUE,"Not classified"))</f>
        <v>Partly uploaded</v>
      </c>
      <c r="C192" s="1" t="str" cm="1">
        <f t="array" ref="C192">_xlfn.SWITCH(TRIM(I192),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92" s="1" t="s">
        <v>1</v>
      </c>
      <c r="E192" s="1" t="s">
        <v>4</v>
      </c>
      <c r="F192" s="1" t="str" cm="1">
        <f t="array" ref="F192">_xlfn.LET(
_xlpm.status,UPPER(TRIM(B192&amp;"")),
_xlpm.risk,UPPER(TRIM(C192&amp;"")),
_xlpm.notify,UPPER(TRIM(D192&amp;"")),
_xlpm.form,UPPER(TRIM(E192&amp;"")),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92" s="1" t="str">
        <f t="shared" si="2"/>
        <v>Required</v>
      </c>
      <c r="H192" s="5" t="s">
        <v>1257</v>
      </c>
      <c r="I192" s="1" t="s">
        <v>27</v>
      </c>
      <c r="J192" s="1" t="s">
        <v>1256</v>
      </c>
      <c r="K192" s="1" t="s">
        <v>1253</v>
      </c>
      <c r="L192" s="1" t="s">
        <v>27</v>
      </c>
      <c r="M192" s="1" t="s">
        <v>28</v>
      </c>
      <c r="N192" s="1" t="s">
        <v>1255</v>
      </c>
      <c r="O192" s="1" t="s">
        <v>19</v>
      </c>
      <c r="P192" s="1" t="s">
        <v>18</v>
      </c>
      <c r="Q192" s="1" t="s">
        <v>20</v>
      </c>
      <c r="R192" s="1" t="s">
        <v>1137</v>
      </c>
      <c r="S192" s="1">
        <v>2</v>
      </c>
      <c r="T192" s="1" t="s">
        <v>1258</v>
      </c>
      <c r="V192" t="s">
        <v>2504</v>
      </c>
      <c r="W192" t="s">
        <v>2026</v>
      </c>
    </row>
    <row r="193" spans="1:23">
      <c r="A193" s="1" t="s">
        <v>1254</v>
      </c>
      <c r="B193" s="1" t="str" cm="1">
        <f t="array" ref="B193">IF(A193="","",_xlfn.IFS(COUNTIF($U:$U,A193)&gt;0,"All uploaded",COUNTIF($V:$V,A193)&gt;0,"Partly uploaded",COUNTIF($W:$X,A193)&gt;0,"Not uploaded",TRUE,"Not classified"))</f>
        <v>Partly uploaded</v>
      </c>
      <c r="C193" s="1" t="str" cm="1">
        <f t="array" ref="C193">_xlfn.SWITCH(TRIM(I193),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93" s="1" t="s">
        <v>0</v>
      </c>
      <c r="E193" s="1" t="s">
        <v>4</v>
      </c>
      <c r="F193" s="1" t="str" cm="1">
        <f t="array" ref="F193">_xlfn.LET(
_xlpm.status,UPPER(TRIM(B193&amp;"")),
_xlpm.risk,UPPER(TRIM(C193&amp;"")),
_xlpm.notify,UPPER(TRIM(D193&amp;"")),
_xlpm.form,UPPER(TRIM(E193&amp;"")),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93" s="1" t="str">
        <f t="shared" si="2"/>
        <v>Required</v>
      </c>
      <c r="H193" s="5" t="s">
        <v>1257</v>
      </c>
      <c r="I193" s="1" t="s">
        <v>27</v>
      </c>
      <c r="J193" s="1" t="s">
        <v>1259</v>
      </c>
      <c r="K193" s="1" t="s">
        <v>1253</v>
      </c>
      <c r="L193" s="1" t="s">
        <v>27</v>
      </c>
      <c r="M193" s="1" t="s">
        <v>28</v>
      </c>
      <c r="N193" s="1" t="s">
        <v>1255</v>
      </c>
      <c r="O193" s="1" t="s">
        <v>19</v>
      </c>
      <c r="P193" s="1" t="s">
        <v>18</v>
      </c>
      <c r="Q193" s="1" t="s">
        <v>20</v>
      </c>
      <c r="R193" s="1" t="s">
        <v>110</v>
      </c>
      <c r="S193" s="1">
        <v>1</v>
      </c>
      <c r="T193" s="1" t="s">
        <v>1260</v>
      </c>
      <c r="V193" t="s">
        <v>2483</v>
      </c>
      <c r="W193" t="s">
        <v>2032</v>
      </c>
    </row>
    <row r="194" spans="1:23">
      <c r="A194" s="1" t="s">
        <v>1254</v>
      </c>
      <c r="B194" s="1" t="str" cm="1">
        <f t="array" ref="B194">IF(A194="","",_xlfn.IFS(COUNTIF($U:$U,A194)&gt;0,"All uploaded",COUNTIF($V:$V,A194)&gt;0,"Partly uploaded",COUNTIF($W:$X,A194)&gt;0,"Not uploaded",TRUE,"Not classified"))</f>
        <v>Partly uploaded</v>
      </c>
      <c r="C194" s="1" t="str" cm="1">
        <f t="array" ref="C194">_xlfn.SWITCH(TRIM(I194),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94" s="1" t="s">
        <v>0</v>
      </c>
      <c r="E194" s="1" t="s">
        <v>2</v>
      </c>
      <c r="F194" s="1" t="str" cm="1">
        <f t="array" ref="F194">_xlfn.LET(
_xlpm.status,UPPER(TRIM(B194&amp;"")),
_xlpm.risk,UPPER(TRIM(C194&amp;"")),
_xlpm.notify,UPPER(TRIM(D194&amp;"")),
_xlpm.form,UPPER(TRIM(E194&amp;"")),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94" s="1" t="str">
        <f t="shared" si="2"/>
        <v>NA</v>
      </c>
      <c r="H194" s="5" t="s">
        <v>1257</v>
      </c>
      <c r="I194" s="1" t="s">
        <v>27</v>
      </c>
      <c r="J194" s="1" t="s">
        <v>1266</v>
      </c>
      <c r="K194" s="1" t="s">
        <v>1253</v>
      </c>
      <c r="L194" s="1" t="s">
        <v>27</v>
      </c>
      <c r="M194" s="1" t="s">
        <v>28</v>
      </c>
      <c r="N194" s="1" t="s">
        <v>1255</v>
      </c>
      <c r="O194" s="1" t="s">
        <v>19</v>
      </c>
      <c r="P194" s="1" t="s">
        <v>18</v>
      </c>
      <c r="Q194" s="1" t="s">
        <v>20</v>
      </c>
      <c r="R194" s="1" t="s">
        <v>110</v>
      </c>
      <c r="S194" s="1">
        <v>1</v>
      </c>
      <c r="T194" s="1" t="s">
        <v>1267</v>
      </c>
      <c r="V194" t="s">
        <v>2460</v>
      </c>
      <c r="W194" t="s">
        <v>2034</v>
      </c>
    </row>
    <row r="195" spans="1:23">
      <c r="A195" s="1" t="s">
        <v>1254</v>
      </c>
      <c r="B195" s="1" t="str" cm="1">
        <f t="array" ref="B195">IF(A195="","",_xlfn.IFS(COUNTIF($U:$U,A195)&gt;0,"All uploaded",COUNTIF($V:$V,A195)&gt;0,"Partly uploaded",COUNTIF($W:$X,A195)&gt;0,"Not uploaded",TRUE,"Not classified"))</f>
        <v>Partly uploaded</v>
      </c>
      <c r="C195" s="1" t="str" cm="1">
        <f t="array" ref="C195">_xlfn.SWITCH(TRIM(I195),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95" s="1" t="s">
        <v>1</v>
      </c>
      <c r="E195" s="1" t="s">
        <v>4</v>
      </c>
      <c r="F195" s="1" t="str" cm="1">
        <f t="array" ref="F195">_xlfn.LET(
_xlpm.status,UPPER(TRIM(B195&amp;"")),
_xlpm.risk,UPPER(TRIM(C195&amp;"")),
_xlpm.notify,UPPER(TRIM(D195&amp;"")),
_xlpm.form,UPPER(TRIM(E195&amp;"")),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95" s="1" t="str">
        <f t="shared" ref="G195:G258" si="3">IF(AND(UPPER(TRIM(C195&amp;""))="MAJOR",OR(TRIM(D195&amp;"")="",UPPER(TRIM(E195&amp;""))="REJECT")),"Required","NA")</f>
        <v>Required</v>
      </c>
      <c r="H195" s="5" t="s">
        <v>1269</v>
      </c>
      <c r="I195" s="1" t="s">
        <v>27</v>
      </c>
      <c r="J195" s="1" t="s">
        <v>1268</v>
      </c>
      <c r="K195" s="1" t="s">
        <v>1253</v>
      </c>
      <c r="L195" s="1" t="s">
        <v>27</v>
      </c>
      <c r="M195" s="1" t="s">
        <v>28</v>
      </c>
      <c r="N195" s="1" t="s">
        <v>1255</v>
      </c>
      <c r="O195" s="1" t="s">
        <v>19</v>
      </c>
      <c r="P195" s="1" t="s">
        <v>18</v>
      </c>
      <c r="Q195" s="1" t="s">
        <v>20</v>
      </c>
      <c r="R195" s="1" t="s">
        <v>1137</v>
      </c>
      <c r="S195" s="1">
        <v>1</v>
      </c>
      <c r="T195" s="1" t="s">
        <v>1270</v>
      </c>
      <c r="V195" t="s">
        <v>2468</v>
      </c>
      <c r="W195" t="s">
        <v>2041</v>
      </c>
    </row>
    <row r="196" spans="1:23">
      <c r="A196" s="1" t="s">
        <v>1272</v>
      </c>
      <c r="B196" s="1" t="str" cm="1">
        <f t="array" ref="B196">IF(A196="","",_xlfn.IFS(COUNTIF($U:$U,A196)&gt;0,"All uploaded",COUNTIF($V:$V,A196)&gt;0,"Partly uploaded",COUNTIF($W:$X,A196)&gt;0,"Not uploaded",TRUE,"Not classified"))</f>
        <v>All uploaded</v>
      </c>
      <c r="C196" s="1" t="str" cm="1">
        <f t="array" ref="C196">_xlfn.SWITCH(TRIM(I196),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96" s="1" t="s">
        <v>1</v>
      </c>
      <c r="E196" s="1" t="s">
        <v>2</v>
      </c>
      <c r="F196" s="1" t="str" cm="1">
        <f t="array" ref="F196">_xlfn.LET(
_xlpm.status,UPPER(TRIM(B196&amp;"")),
_xlpm.risk,UPPER(TRIM(C196&amp;"")),
_xlpm.notify,UPPER(TRIM(D196&amp;"")),
_xlpm.form,UPPER(TRIM(E196&amp;"")),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196" s="1" t="str">
        <f t="shared" si="3"/>
        <v>NA</v>
      </c>
      <c r="H196" s="5" t="s">
        <v>1275</v>
      </c>
      <c r="I196" s="1" t="s">
        <v>23</v>
      </c>
      <c r="J196" s="1" t="s">
        <v>1274</v>
      </c>
      <c r="K196" s="1" t="s">
        <v>1271</v>
      </c>
      <c r="L196" s="1" t="s">
        <v>23</v>
      </c>
      <c r="M196" s="1" t="s">
        <v>28</v>
      </c>
      <c r="N196" s="1" t="s">
        <v>1273</v>
      </c>
      <c r="O196" s="1" t="s">
        <v>19</v>
      </c>
      <c r="P196" s="1" t="s">
        <v>18</v>
      </c>
      <c r="Q196" s="1" t="s">
        <v>20</v>
      </c>
      <c r="R196" s="1" t="s">
        <v>1124</v>
      </c>
      <c r="S196" s="1">
        <v>1</v>
      </c>
      <c r="T196" s="1" t="s">
        <v>290</v>
      </c>
      <c r="V196" t="s">
        <v>2476</v>
      </c>
      <c r="W196" t="s">
        <v>2062</v>
      </c>
    </row>
    <row r="197" spans="1:23">
      <c r="A197" s="1" t="s">
        <v>1323</v>
      </c>
      <c r="B197" s="1" t="str" cm="1">
        <f t="array" ref="B197">IF(A197="","",_xlfn.IFS(COUNTIF($U:$U,A197)&gt;0,"All uploaded",COUNTIF($V:$V,A197)&gt;0,"Partly uploaded",COUNTIF($W:$X,A197)&gt;0,"Not uploaded",TRUE,"Not classified"))</f>
        <v>All uploaded</v>
      </c>
      <c r="C197" s="1" t="str" cm="1">
        <f t="array" ref="C197">_xlfn.SWITCH(TRIM(I197),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97" s="1" t="s">
        <v>1</v>
      </c>
      <c r="E197" s="1" t="s">
        <v>4</v>
      </c>
      <c r="F197" s="1" t="str" cm="1">
        <f t="array" ref="F197">_xlfn.LET(
_xlpm.status,UPPER(TRIM(B197&amp;"")),
_xlpm.risk,UPPER(TRIM(C197&amp;"")),
_xlpm.notify,UPPER(TRIM(D197&amp;"")),
_xlpm.form,UPPER(TRIM(E197&amp;"")),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97" s="1" t="str">
        <f t="shared" si="3"/>
        <v>NA</v>
      </c>
      <c r="H197" s="5" t="s">
        <v>1329</v>
      </c>
      <c r="I197" s="1" t="s">
        <v>23</v>
      </c>
      <c r="J197" s="1" t="s">
        <v>1328</v>
      </c>
      <c r="K197" s="1" t="s">
        <v>1322</v>
      </c>
      <c r="L197" s="1" t="s">
        <v>23</v>
      </c>
      <c r="M197" s="1" t="s">
        <v>28</v>
      </c>
      <c r="N197" s="1" t="s">
        <v>1324</v>
      </c>
      <c r="O197" s="1" t="s">
        <v>19</v>
      </c>
      <c r="P197" s="1" t="s">
        <v>18</v>
      </c>
      <c r="Q197" s="1" t="s">
        <v>20</v>
      </c>
      <c r="R197" s="1" t="s">
        <v>1327</v>
      </c>
      <c r="S197" s="1">
        <v>2</v>
      </c>
      <c r="T197" s="1" t="s">
        <v>1330</v>
      </c>
      <c r="V197" t="s">
        <v>2488</v>
      </c>
      <c r="W197" t="s">
        <v>2150</v>
      </c>
    </row>
    <row r="198" spans="1:23">
      <c r="A198" s="1" t="s">
        <v>1323</v>
      </c>
      <c r="B198" s="1" t="str" cm="1">
        <f t="array" ref="B198">IF(A198="","",_xlfn.IFS(COUNTIF($U:$U,A198)&gt;0,"All uploaded",COUNTIF($V:$V,A198)&gt;0,"Partly uploaded",COUNTIF($W:$X,A198)&gt;0,"Not uploaded",TRUE,"Not classified"))</f>
        <v>All uploaded</v>
      </c>
      <c r="C198" s="1" t="str" cm="1">
        <f t="array" ref="C198">_xlfn.SWITCH(TRIM(I198),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98" s="1" t="s">
        <v>1</v>
      </c>
      <c r="E198" s="1" t="s">
        <v>4</v>
      </c>
      <c r="F198" s="1" t="str" cm="1">
        <f t="array" ref="F198">_xlfn.LET(
_xlpm.status,UPPER(TRIM(B198&amp;"")),
_xlpm.risk,UPPER(TRIM(C198&amp;"")),
_xlpm.notify,UPPER(TRIM(D198&amp;"")),
_xlpm.form,UPPER(TRIM(E198&amp;"")),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198" s="1" t="str">
        <f t="shared" si="3"/>
        <v>NA</v>
      </c>
      <c r="H198" s="5" t="s">
        <v>1326</v>
      </c>
      <c r="I198" s="1" t="s">
        <v>23</v>
      </c>
      <c r="J198" s="1" t="s">
        <v>1325</v>
      </c>
      <c r="K198" s="1" t="s">
        <v>1322</v>
      </c>
      <c r="L198" s="1" t="s">
        <v>23</v>
      </c>
      <c r="M198" s="1" t="s">
        <v>28</v>
      </c>
      <c r="N198" s="1" t="s">
        <v>1324</v>
      </c>
      <c r="O198" s="1" t="s">
        <v>19</v>
      </c>
      <c r="P198" s="1" t="s">
        <v>18</v>
      </c>
      <c r="Q198" s="1" t="s">
        <v>20</v>
      </c>
      <c r="R198" s="1" t="s">
        <v>916</v>
      </c>
      <c r="S198" s="1">
        <v>2</v>
      </c>
      <c r="T198" s="1" t="s">
        <v>1008</v>
      </c>
      <c r="V198" t="s">
        <v>2574</v>
      </c>
      <c r="W198" t="s">
        <v>2084</v>
      </c>
    </row>
    <row r="199" spans="1:23">
      <c r="A199" s="1" t="s">
        <v>1304</v>
      </c>
      <c r="B199" s="1" t="str" cm="1">
        <f t="array" ref="B199">IF(A199="","",_xlfn.IFS(COUNTIF($U:$U,A199)&gt;0,"All uploaded",COUNTIF($V:$V,A199)&gt;0,"Partly uploaded",COUNTIF($W:$X,A199)&gt;0,"Not uploaded",TRUE,"Not classified"))</f>
        <v>All uploaded</v>
      </c>
      <c r="C199" s="1" t="str" cm="1">
        <f t="array" ref="C199">_xlfn.SWITCH(TRIM(I199),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99" s="1" t="s">
        <v>1</v>
      </c>
      <c r="E199" s="1" t="s">
        <v>4</v>
      </c>
      <c r="F199" s="1" t="str" cm="1">
        <f t="array" ref="F199">_xlfn.LET(
_xlpm.status,UPPER(TRIM(B199&amp;"")),
_xlpm.risk,UPPER(TRIM(C199&amp;"")),
_xlpm.notify,UPPER(TRIM(D199&amp;"")),
_xlpm.form,UPPER(TRIM(E199&amp;"")),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199" s="1" t="str">
        <f t="shared" si="3"/>
        <v>Required</v>
      </c>
      <c r="H199" s="5" t="s">
        <v>1308</v>
      </c>
      <c r="I199" s="1" t="s">
        <v>10</v>
      </c>
      <c r="J199" s="1" t="s">
        <v>1307</v>
      </c>
      <c r="K199" s="1" t="s">
        <v>1303</v>
      </c>
      <c r="L199" s="1" t="s">
        <v>10</v>
      </c>
      <c r="M199" s="1" t="s">
        <v>77</v>
      </c>
      <c r="N199" s="1" t="s">
        <v>1305</v>
      </c>
      <c r="O199" s="1" t="s">
        <v>19</v>
      </c>
      <c r="P199" s="1" t="s">
        <v>18</v>
      </c>
      <c r="Q199" s="1" t="s">
        <v>20</v>
      </c>
      <c r="R199" s="1" t="s">
        <v>1306</v>
      </c>
      <c r="S199" s="1">
        <v>1</v>
      </c>
      <c r="T199" s="1" t="s">
        <v>122</v>
      </c>
      <c r="V199" t="s">
        <v>2551</v>
      </c>
      <c r="W199" t="s">
        <v>2149</v>
      </c>
    </row>
    <row r="200" spans="1:23">
      <c r="A200" s="1" t="s">
        <v>1313</v>
      </c>
      <c r="B200" s="1" t="str" cm="1">
        <f t="array" ref="B200">IF(A200="","",_xlfn.IFS(COUNTIF($U:$U,A200)&gt;0,"All uploaded",COUNTIF($V:$V,A200)&gt;0,"Partly uploaded",COUNTIF($W:$X,A200)&gt;0,"Not uploaded",TRUE,"Not classified"))</f>
        <v>Partly uploaded</v>
      </c>
      <c r="C200" s="1" t="str" cm="1">
        <f t="array" ref="C200">_xlfn.SWITCH(TRIM(I200),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00" s="1" t="s">
        <v>1</v>
      </c>
      <c r="E200" s="1" t="s">
        <v>4</v>
      </c>
      <c r="F200" s="1" t="str" cm="1">
        <f t="array" ref="F200">_xlfn.LET(
_xlpm.status,UPPER(TRIM(B200&amp;"")),
_xlpm.risk,UPPER(TRIM(C200&amp;"")),
_xlpm.notify,UPPER(TRIM(D200&amp;"")),
_xlpm.form,UPPER(TRIM(E200&amp;"")),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00" s="1" t="str">
        <f t="shared" si="3"/>
        <v>Required</v>
      </c>
      <c r="H200" s="5" t="s">
        <v>1316</v>
      </c>
      <c r="I200" s="1" t="s">
        <v>27</v>
      </c>
      <c r="J200" s="1" t="s">
        <v>1315</v>
      </c>
      <c r="K200" s="1" t="s">
        <v>1312</v>
      </c>
      <c r="L200" s="1" t="s">
        <v>27</v>
      </c>
      <c r="M200" s="1" t="s">
        <v>28</v>
      </c>
      <c r="N200" s="1" t="s">
        <v>1314</v>
      </c>
      <c r="O200" s="1" t="s">
        <v>19</v>
      </c>
      <c r="P200" s="1" t="s">
        <v>18</v>
      </c>
      <c r="Q200" s="1" t="s">
        <v>20</v>
      </c>
      <c r="R200" s="1" t="s">
        <v>1124</v>
      </c>
      <c r="S200" s="1">
        <v>1</v>
      </c>
      <c r="T200" s="1" t="s">
        <v>1317</v>
      </c>
      <c r="V200" t="s">
        <v>2529</v>
      </c>
      <c r="W200" t="s">
        <v>2130</v>
      </c>
    </row>
    <row r="201" spans="1:23">
      <c r="A201" s="1" t="s">
        <v>1313</v>
      </c>
      <c r="B201" s="1" t="str" cm="1">
        <f t="array" ref="B201">IF(A201="","",_xlfn.IFS(COUNTIF($U:$U,A201)&gt;0,"All uploaded",COUNTIF($V:$V,A201)&gt;0,"Partly uploaded",COUNTIF($W:$X,A201)&gt;0,"Not uploaded",TRUE,"Not classified"))</f>
        <v>Partly uploaded</v>
      </c>
      <c r="C201" s="1" t="str" cm="1">
        <f t="array" ref="C201">_xlfn.SWITCH(TRIM(I201),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01" s="1" t="s">
        <v>1</v>
      </c>
      <c r="E201" s="1" t="s">
        <v>4</v>
      </c>
      <c r="F201" s="1" t="str" cm="1">
        <f t="array" ref="F201">_xlfn.LET(
_xlpm.status,UPPER(TRIM(B201&amp;"")),
_xlpm.risk,UPPER(TRIM(C201&amp;"")),
_xlpm.notify,UPPER(TRIM(D201&amp;"")),
_xlpm.form,UPPER(TRIM(E201&amp;"")),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01" s="1" t="str">
        <f t="shared" si="3"/>
        <v>Required</v>
      </c>
      <c r="H201" s="5" t="s">
        <v>1320</v>
      </c>
      <c r="I201" s="1" t="s">
        <v>27</v>
      </c>
      <c r="J201" s="1" t="s">
        <v>1319</v>
      </c>
      <c r="K201" s="1" t="s">
        <v>1312</v>
      </c>
      <c r="L201" s="1" t="s">
        <v>27</v>
      </c>
      <c r="M201" s="1" t="s">
        <v>28</v>
      </c>
      <c r="N201" s="1" t="s">
        <v>1314</v>
      </c>
      <c r="O201" s="1" t="s">
        <v>30</v>
      </c>
      <c r="P201" s="1" t="s">
        <v>58</v>
      </c>
      <c r="Q201" s="1" t="s">
        <v>59</v>
      </c>
      <c r="R201" s="1" t="s">
        <v>110</v>
      </c>
      <c r="S201" s="1">
        <v>1</v>
      </c>
      <c r="T201" s="1" t="s">
        <v>1321</v>
      </c>
      <c r="V201" t="s">
        <v>2538</v>
      </c>
      <c r="W201" t="s">
        <v>2106</v>
      </c>
    </row>
    <row r="202" spans="1:23">
      <c r="A202" s="1" t="s">
        <v>1358</v>
      </c>
      <c r="B202" s="1" t="str" cm="1">
        <f t="array" ref="B202">IF(A202="","",_xlfn.IFS(COUNTIF($U:$U,A202)&gt;0,"All uploaded",COUNTIF($V:$V,A202)&gt;0,"Partly uploaded",COUNTIF($W:$X,A202)&gt;0,"Not uploaded",TRUE,"Not classified"))</f>
        <v>Partly uploaded</v>
      </c>
      <c r="C202" s="1" t="str" cm="1">
        <f t="array" ref="C202">_xlfn.SWITCH(TRIM(I202),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02" s="1" t="s">
        <v>0</v>
      </c>
      <c r="E202" s="1" t="s">
        <v>3</v>
      </c>
      <c r="F202" s="1" t="str" cm="1">
        <f t="array" ref="F202">_xlfn.LET(
_xlpm.status,UPPER(TRIM(B202&amp;"")),
_xlpm.risk,UPPER(TRIM(C202&amp;"")),
_xlpm.notify,UPPER(TRIM(D202&amp;"")),
_xlpm.form,UPPER(TRIM(E202&amp;"")),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202" s="1" t="str">
        <f t="shared" si="3"/>
        <v>NA</v>
      </c>
      <c r="H202" s="5" t="s">
        <v>1361</v>
      </c>
      <c r="I202" s="1" t="s">
        <v>22</v>
      </c>
      <c r="J202" s="1" t="s">
        <v>1360</v>
      </c>
      <c r="K202" s="1" t="s">
        <v>1355</v>
      </c>
      <c r="L202" s="1" t="s">
        <v>22</v>
      </c>
      <c r="M202" s="1" t="s">
        <v>77</v>
      </c>
      <c r="N202" s="1" t="s">
        <v>1359</v>
      </c>
      <c r="O202" s="1" t="s">
        <v>19</v>
      </c>
      <c r="P202" s="1" t="s">
        <v>18</v>
      </c>
      <c r="Q202" s="1" t="s">
        <v>20</v>
      </c>
      <c r="R202" s="1" t="s">
        <v>132</v>
      </c>
      <c r="S202" s="1">
        <v>2</v>
      </c>
      <c r="T202" s="1" t="s">
        <v>1362</v>
      </c>
      <c r="V202" t="s">
        <v>2540</v>
      </c>
      <c r="W202" t="s">
        <v>2153</v>
      </c>
    </row>
    <row r="203" spans="1:23">
      <c r="A203" s="1" t="s">
        <v>1332</v>
      </c>
      <c r="B203" s="1" t="str" cm="1">
        <f t="array" ref="B203">IF(A203="","",_xlfn.IFS(COUNTIF($U:$U,A203)&gt;0,"All uploaded",COUNTIF($V:$V,A203)&gt;0,"Partly uploaded",COUNTIF($W:$X,A203)&gt;0,"Not uploaded",TRUE,"Not classified"))</f>
        <v>Partly uploaded</v>
      </c>
      <c r="C203" s="1" t="str" cm="1">
        <f t="array" ref="C203">_xlfn.SWITCH(TRIM(I203),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03" s="1" t="s">
        <v>1</v>
      </c>
      <c r="E203" s="1" t="s">
        <v>4</v>
      </c>
      <c r="F203" s="1" t="str" cm="1">
        <f t="array" ref="F203">_xlfn.LET(
_xlpm.status,UPPER(TRIM(B203&amp;"")),
_xlpm.risk,UPPER(TRIM(C203&amp;"")),
_xlpm.notify,UPPER(TRIM(D203&amp;"")),
_xlpm.form,UPPER(TRIM(E203&amp;"")),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03" s="1" t="str">
        <f t="shared" si="3"/>
        <v>Required</v>
      </c>
      <c r="H203" s="5" t="s">
        <v>1335</v>
      </c>
      <c r="I203" s="1" t="s">
        <v>27</v>
      </c>
      <c r="J203" s="1" t="s">
        <v>1334</v>
      </c>
      <c r="K203" s="1" t="s">
        <v>1331</v>
      </c>
      <c r="L203" s="1" t="s">
        <v>27</v>
      </c>
      <c r="M203" s="1" t="s">
        <v>28</v>
      </c>
      <c r="N203" s="1" t="s">
        <v>1333</v>
      </c>
      <c r="O203" s="1" t="s">
        <v>19</v>
      </c>
      <c r="P203" s="1" t="s">
        <v>18</v>
      </c>
      <c r="Q203" s="1" t="s">
        <v>20</v>
      </c>
      <c r="R203" s="1" t="s">
        <v>935</v>
      </c>
      <c r="S203" s="1">
        <v>6</v>
      </c>
      <c r="T203" s="1" t="s">
        <v>1336</v>
      </c>
      <c r="V203" t="s">
        <v>2557</v>
      </c>
      <c r="W203" t="s">
        <v>2155</v>
      </c>
    </row>
    <row r="204" spans="1:23">
      <c r="A204" s="1" t="s">
        <v>1332</v>
      </c>
      <c r="B204" s="1" t="str" cm="1">
        <f t="array" ref="B204">IF(A204="","",_xlfn.IFS(COUNTIF($U:$U,A204)&gt;0,"All uploaded",COUNTIF($V:$V,A204)&gt;0,"Partly uploaded",COUNTIF($W:$X,A204)&gt;0,"Not uploaded",TRUE,"Not classified"))</f>
        <v>Partly uploaded</v>
      </c>
      <c r="C204" s="1" t="str" cm="1">
        <f t="array" ref="C204">_xlfn.SWITCH(TRIM(I204),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04" s="1" t="s">
        <v>1</v>
      </c>
      <c r="E204" s="1" t="s">
        <v>4</v>
      </c>
      <c r="F204" s="1" t="str" cm="1">
        <f t="array" ref="F204">_xlfn.LET(
_xlpm.status,UPPER(TRIM(B204&amp;"")),
_xlpm.risk,UPPER(TRIM(C204&amp;"")),
_xlpm.notify,UPPER(TRIM(D204&amp;"")),
_xlpm.form,UPPER(TRIM(E204&amp;"")),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04" s="1" t="str">
        <f t="shared" si="3"/>
        <v>Required</v>
      </c>
      <c r="H204" s="5" t="s">
        <v>1341</v>
      </c>
      <c r="I204" s="1" t="s">
        <v>27</v>
      </c>
      <c r="J204" s="1" t="s">
        <v>1340</v>
      </c>
      <c r="K204" s="1" t="s">
        <v>1331</v>
      </c>
      <c r="L204" s="1" t="s">
        <v>27</v>
      </c>
      <c r="M204" s="1" t="s">
        <v>28</v>
      </c>
      <c r="N204" s="1" t="s">
        <v>1333</v>
      </c>
      <c r="O204" s="1" t="s">
        <v>19</v>
      </c>
      <c r="P204" s="1" t="s">
        <v>18</v>
      </c>
      <c r="Q204" s="1" t="s">
        <v>20</v>
      </c>
      <c r="R204" s="1" t="s">
        <v>114</v>
      </c>
      <c r="S204" s="1">
        <v>1</v>
      </c>
      <c r="T204" s="1" t="s">
        <v>1342</v>
      </c>
      <c r="V204" t="s">
        <v>2566</v>
      </c>
      <c r="W204" t="s">
        <v>2162</v>
      </c>
    </row>
    <row r="205" spans="1:23">
      <c r="A205" s="1" t="s">
        <v>1346</v>
      </c>
      <c r="B205" s="1" t="str" cm="1">
        <f t="array" ref="B205">IF(A205="","",_xlfn.IFS(COUNTIF($U:$U,A205)&gt;0,"All uploaded",COUNTIF($V:$V,A205)&gt;0,"Partly uploaded",COUNTIF($W:$X,A205)&gt;0,"Not uploaded",TRUE,"Not classified"))</f>
        <v>Partly uploaded</v>
      </c>
      <c r="C205" s="1" t="str" cm="1">
        <f t="array" ref="C205">_xlfn.SWITCH(TRIM(I205),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05" s="1" t="s">
        <v>1</v>
      </c>
      <c r="E205" s="1" t="s">
        <v>2</v>
      </c>
      <c r="F205" s="1" t="str" cm="1">
        <f t="array" ref="F205">_xlfn.LET(
_xlpm.status,UPPER(TRIM(B205&amp;"")),
_xlpm.risk,UPPER(TRIM(C205&amp;"")),
_xlpm.notify,UPPER(TRIM(D205&amp;"")),
_xlpm.form,UPPER(TRIM(E205&amp;"")),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05" s="1" t="str">
        <f t="shared" si="3"/>
        <v>NA</v>
      </c>
      <c r="H205" s="5" t="s">
        <v>1348</v>
      </c>
      <c r="I205" s="1" t="s">
        <v>35</v>
      </c>
      <c r="J205" s="1" t="s">
        <v>1347</v>
      </c>
      <c r="K205" s="1" t="s">
        <v>1345</v>
      </c>
      <c r="L205" s="1" t="s">
        <v>35</v>
      </c>
      <c r="M205" s="1" t="s">
        <v>75</v>
      </c>
      <c r="N205" s="1" t="s">
        <v>85</v>
      </c>
      <c r="O205" s="1" t="s">
        <v>19</v>
      </c>
      <c r="P205" s="1" t="s">
        <v>18</v>
      </c>
      <c r="Q205" s="1" t="s">
        <v>20</v>
      </c>
      <c r="R205" s="1" t="s">
        <v>935</v>
      </c>
      <c r="S205" s="1">
        <v>5</v>
      </c>
      <c r="T205" s="1" t="s">
        <v>1349</v>
      </c>
      <c r="V205" t="s">
        <v>2726</v>
      </c>
      <c r="W205" t="s">
        <v>2171</v>
      </c>
    </row>
    <row r="206" spans="1:23">
      <c r="A206" s="1" t="s">
        <v>1346</v>
      </c>
      <c r="B206" s="1" t="str" cm="1">
        <f t="array" ref="B206">IF(A206="","",_xlfn.IFS(COUNTIF($U:$U,A206)&gt;0,"All uploaded",COUNTIF($V:$V,A206)&gt;0,"Partly uploaded",COUNTIF($W:$X,A206)&gt;0,"Not uploaded",TRUE,"Not classified"))</f>
        <v>Partly uploaded</v>
      </c>
      <c r="C206" s="1" t="str" cm="1">
        <f t="array" ref="C206">_xlfn.SWITCH(TRIM(I206),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06" s="1" t="s">
        <v>1</v>
      </c>
      <c r="E206" s="1" t="s">
        <v>2</v>
      </c>
      <c r="F206" s="1" t="str" cm="1">
        <f t="array" ref="F206">_xlfn.LET(
_xlpm.status,UPPER(TRIM(B206&amp;"")),
_xlpm.risk,UPPER(TRIM(C206&amp;"")),
_xlpm.notify,UPPER(TRIM(D206&amp;"")),
_xlpm.form,UPPER(TRIM(E206&amp;"")),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06" s="1" t="str">
        <f t="shared" si="3"/>
        <v>NA</v>
      </c>
      <c r="H206" s="5" t="s">
        <v>1351</v>
      </c>
      <c r="I206" s="1" t="s">
        <v>35</v>
      </c>
      <c r="J206" s="1" t="s">
        <v>1350</v>
      </c>
      <c r="K206" s="1" t="s">
        <v>1345</v>
      </c>
      <c r="L206" s="1" t="s">
        <v>35</v>
      </c>
      <c r="M206" s="1" t="s">
        <v>75</v>
      </c>
      <c r="N206" s="1" t="s">
        <v>85</v>
      </c>
      <c r="O206" s="1" t="s">
        <v>19</v>
      </c>
      <c r="P206" s="1" t="s">
        <v>18</v>
      </c>
      <c r="Q206" s="1" t="s">
        <v>20</v>
      </c>
      <c r="R206" s="1" t="s">
        <v>86</v>
      </c>
      <c r="S206" s="1">
        <v>2</v>
      </c>
      <c r="T206" s="1" t="s">
        <v>1352</v>
      </c>
      <c r="V206" t="s">
        <v>2816</v>
      </c>
      <c r="W206" t="s">
        <v>2177</v>
      </c>
    </row>
    <row r="207" spans="1:23">
      <c r="A207" s="1" t="s">
        <v>1346</v>
      </c>
      <c r="B207" s="1" t="str" cm="1">
        <f t="array" ref="B207">IF(A207="","",_xlfn.IFS(COUNTIF($U:$U,A207)&gt;0,"All uploaded",COUNTIF($V:$V,A207)&gt;0,"Partly uploaded",COUNTIF($W:$X,A207)&gt;0,"Not uploaded",TRUE,"Not classified"))</f>
        <v>Partly uploaded</v>
      </c>
      <c r="C207" s="1" t="str" cm="1">
        <f t="array" ref="C207">_xlfn.SWITCH(TRIM(I207),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07" s="1" t="s">
        <v>1</v>
      </c>
      <c r="E207" s="1" t="s">
        <v>2</v>
      </c>
      <c r="F207" s="1" t="str" cm="1">
        <f t="array" ref="F207">_xlfn.LET(
_xlpm.status,UPPER(TRIM(B207&amp;"")),
_xlpm.risk,UPPER(TRIM(C207&amp;"")),
_xlpm.notify,UPPER(TRIM(D207&amp;"")),
_xlpm.form,UPPER(TRIM(E207&amp;"")),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07" s="1" t="str">
        <f t="shared" si="3"/>
        <v>NA</v>
      </c>
      <c r="H207" s="5" t="s">
        <v>1354</v>
      </c>
      <c r="I207" s="1" t="s">
        <v>35</v>
      </c>
      <c r="J207" s="1" t="s">
        <v>1353</v>
      </c>
      <c r="K207" s="1" t="s">
        <v>1345</v>
      </c>
      <c r="L207" s="1" t="s">
        <v>35</v>
      </c>
      <c r="M207" s="1" t="s">
        <v>77</v>
      </c>
      <c r="N207" s="1" t="s">
        <v>85</v>
      </c>
      <c r="O207" s="1" t="s">
        <v>19</v>
      </c>
      <c r="P207" s="1" t="s">
        <v>18</v>
      </c>
      <c r="Q207" s="1" t="s">
        <v>20</v>
      </c>
      <c r="R207" s="1" t="s">
        <v>125</v>
      </c>
      <c r="S207" s="1">
        <v>2</v>
      </c>
      <c r="T207" s="1" t="s">
        <v>1352</v>
      </c>
      <c r="V207" t="s">
        <v>2582</v>
      </c>
      <c r="W207" t="s">
        <v>2196</v>
      </c>
    </row>
    <row r="208" spans="1:23">
      <c r="A208" s="1" t="s">
        <v>1364</v>
      </c>
      <c r="B208" s="1" t="str" cm="1">
        <f t="array" ref="B208">IF(A208="","",_xlfn.IFS(COUNTIF($U:$U,A208)&gt;0,"All uploaded",COUNTIF($V:$V,A208)&gt;0,"Partly uploaded",COUNTIF($W:$X,A208)&gt;0,"Not uploaded",TRUE,"Not classified"))</f>
        <v>All uploaded</v>
      </c>
      <c r="C208" s="1" t="str" cm="1">
        <f t="array" ref="C208">_xlfn.SWITCH(TRIM(I208),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08" s="1" t="s">
        <v>1</v>
      </c>
      <c r="E208" s="1" t="s">
        <v>4</v>
      </c>
      <c r="F208" s="1" t="str" cm="1">
        <f t="array" ref="F208">_xlfn.LET(
_xlpm.status,UPPER(TRIM(B208&amp;"")),
_xlpm.risk,UPPER(TRIM(C208&amp;"")),
_xlpm.notify,UPPER(TRIM(D208&amp;"")),
_xlpm.form,UPPER(TRIM(E208&amp;"")),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08" s="1" t="str">
        <f t="shared" si="3"/>
        <v>NA</v>
      </c>
      <c r="H208" s="5" t="s">
        <v>1368</v>
      </c>
      <c r="I208" s="1" t="s">
        <v>23</v>
      </c>
      <c r="J208" s="1" t="s">
        <v>1367</v>
      </c>
      <c r="K208" s="1" t="s">
        <v>1363</v>
      </c>
      <c r="L208" s="1" t="s">
        <v>23</v>
      </c>
      <c r="M208" s="1" t="s">
        <v>28</v>
      </c>
      <c r="N208" s="1" t="s">
        <v>1365</v>
      </c>
      <c r="O208" s="1" t="s">
        <v>19</v>
      </c>
      <c r="P208" s="1" t="s">
        <v>18</v>
      </c>
      <c r="Q208" s="1" t="s">
        <v>20</v>
      </c>
      <c r="R208" s="1" t="s">
        <v>1366</v>
      </c>
      <c r="S208" s="1">
        <v>5</v>
      </c>
      <c r="T208" s="1" t="s">
        <v>1369</v>
      </c>
      <c r="V208" t="s">
        <v>2590</v>
      </c>
      <c r="W208" t="s">
        <v>2180</v>
      </c>
    </row>
    <row r="209" spans="1:23">
      <c r="A209" s="1" t="s">
        <v>1371</v>
      </c>
      <c r="B209" s="1" t="str" cm="1">
        <f t="array" ref="B209">IF(A209="","",_xlfn.IFS(COUNTIF($U:$U,A209)&gt;0,"All uploaded",COUNTIF($V:$V,A209)&gt;0,"Partly uploaded",COUNTIF($W:$X,A209)&gt;0,"Not uploaded",TRUE,"Not classified"))</f>
        <v>Partly uploaded</v>
      </c>
      <c r="C209" s="1" t="str" cm="1">
        <f t="array" ref="C209">_xlfn.SWITCH(TRIM(I209),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09" s="1" t="s">
        <v>1</v>
      </c>
      <c r="E209" s="1" t="s">
        <v>4</v>
      </c>
      <c r="F209" s="1" t="str" cm="1">
        <f t="array" ref="F209">_xlfn.LET(
_xlpm.status,UPPER(TRIM(B209&amp;"")),
_xlpm.risk,UPPER(TRIM(C209&amp;"")),
_xlpm.notify,UPPER(TRIM(D209&amp;"")),
_xlpm.form,UPPER(TRIM(E209&amp;"")),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09" s="1" t="str">
        <f t="shared" si="3"/>
        <v>NA</v>
      </c>
      <c r="H209" s="5" t="s">
        <v>1374</v>
      </c>
      <c r="I209" s="1" t="s">
        <v>23</v>
      </c>
      <c r="J209" s="1" t="s">
        <v>1373</v>
      </c>
      <c r="K209" s="1" t="s">
        <v>1370</v>
      </c>
      <c r="L209" s="1" t="s">
        <v>23</v>
      </c>
      <c r="M209" s="1" t="s">
        <v>28</v>
      </c>
      <c r="N209" s="1" t="s">
        <v>1372</v>
      </c>
      <c r="O209" s="1" t="s">
        <v>19</v>
      </c>
      <c r="P209" s="1" t="s">
        <v>18</v>
      </c>
      <c r="Q209" s="1" t="s">
        <v>20</v>
      </c>
      <c r="R209" s="1" t="s">
        <v>1366</v>
      </c>
      <c r="S209" s="1">
        <v>24</v>
      </c>
      <c r="T209" s="1" t="s">
        <v>1375</v>
      </c>
      <c r="V209" t="s">
        <v>2600</v>
      </c>
      <c r="W209" t="s">
        <v>2179</v>
      </c>
    </row>
    <row r="210" spans="1:23">
      <c r="A210" s="1" t="s">
        <v>1371</v>
      </c>
      <c r="B210" s="1" t="str" cm="1">
        <f t="array" ref="B210">IF(A210="","",_xlfn.IFS(COUNTIF($U:$U,A210)&gt;0,"All uploaded",COUNTIF($V:$V,A210)&gt;0,"Partly uploaded",COUNTIF($W:$X,A210)&gt;0,"Not uploaded",TRUE,"Not classified"))</f>
        <v>Partly uploaded</v>
      </c>
      <c r="C210" s="1" t="str" cm="1">
        <f t="array" ref="C210">_xlfn.SWITCH(TRIM(I210),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10" s="1" t="s">
        <v>1</v>
      </c>
      <c r="E210" s="1" t="s">
        <v>3</v>
      </c>
      <c r="F210" s="1" t="str" cm="1">
        <f t="array" ref="F210">_xlfn.LET(
_xlpm.status,UPPER(TRIM(B210&amp;"")),
_xlpm.risk,UPPER(TRIM(C210&amp;"")),
_xlpm.notify,UPPER(TRIM(D210&amp;"")),
_xlpm.form,UPPER(TRIM(E210&amp;"")),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210" s="1" t="str">
        <f t="shared" si="3"/>
        <v>NA</v>
      </c>
      <c r="H210" s="5" t="s">
        <v>1374</v>
      </c>
      <c r="I210" s="1" t="s">
        <v>23</v>
      </c>
      <c r="J210" s="1" t="s">
        <v>1377</v>
      </c>
      <c r="K210" s="1" t="s">
        <v>1370</v>
      </c>
      <c r="L210" s="1" t="s">
        <v>23</v>
      </c>
      <c r="M210" s="1" t="s">
        <v>28</v>
      </c>
      <c r="N210" s="1" t="s">
        <v>1372</v>
      </c>
      <c r="O210" s="1" t="s">
        <v>19</v>
      </c>
      <c r="P210" s="1" t="s">
        <v>18</v>
      </c>
      <c r="Q210" s="1" t="s">
        <v>20</v>
      </c>
      <c r="R210" s="1" t="s">
        <v>1376</v>
      </c>
      <c r="S210" s="1">
        <v>25</v>
      </c>
      <c r="T210" s="1" t="s">
        <v>1378</v>
      </c>
      <c r="V210" t="s">
        <v>2598</v>
      </c>
      <c r="W210" t="s">
        <v>2194</v>
      </c>
    </row>
    <row r="211" spans="1:23">
      <c r="A211" s="1" t="s">
        <v>1436</v>
      </c>
      <c r="B211" s="1" t="str" cm="1">
        <f t="array" ref="B211">IF(A211="","",_xlfn.IFS(COUNTIF($U:$U,A211)&gt;0,"All uploaded",COUNTIF($V:$V,A211)&gt;0,"Partly uploaded",COUNTIF($W:$X,A211)&gt;0,"Not uploaded",TRUE,"Not classified"))</f>
        <v>Partly uploaded</v>
      </c>
      <c r="C211" s="1" t="str" cm="1">
        <f t="array" ref="C211">_xlfn.SWITCH(TRIM(I211),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11" s="1" t="s">
        <v>0</v>
      </c>
      <c r="E211" s="1" t="s">
        <v>3</v>
      </c>
      <c r="F211" s="1" t="str" cm="1">
        <f t="array" ref="F211">_xlfn.LET(
_xlpm.status,UPPER(TRIM(B211&amp;"")),
_xlpm.risk,UPPER(TRIM(C211&amp;"")),
_xlpm.notify,UPPER(TRIM(D211&amp;"")),
_xlpm.form,UPPER(TRIM(E211&amp;"")),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211" s="1" t="str">
        <f t="shared" si="3"/>
        <v>NA</v>
      </c>
      <c r="H211" s="5" t="s">
        <v>1438</v>
      </c>
      <c r="I211" s="1" t="s">
        <v>22</v>
      </c>
      <c r="J211" s="1" t="s">
        <v>1437</v>
      </c>
      <c r="K211" s="1" t="s">
        <v>1431</v>
      </c>
      <c r="L211" s="1" t="s">
        <v>22</v>
      </c>
      <c r="M211" s="1" t="s">
        <v>77</v>
      </c>
      <c r="N211" s="1" t="s">
        <v>481</v>
      </c>
      <c r="O211" s="1" t="s">
        <v>19</v>
      </c>
      <c r="P211" s="1" t="s">
        <v>18</v>
      </c>
      <c r="Q211" s="1" t="s">
        <v>20</v>
      </c>
      <c r="R211" s="1" t="s">
        <v>132</v>
      </c>
      <c r="S211" s="1">
        <v>2</v>
      </c>
      <c r="T211" s="1" t="s">
        <v>484</v>
      </c>
      <c r="V211" t="s">
        <v>2615</v>
      </c>
      <c r="W211" t="s">
        <v>2225</v>
      </c>
    </row>
    <row r="212" spans="1:23">
      <c r="A212" s="1" t="s">
        <v>1380</v>
      </c>
      <c r="B212" s="1" t="str" cm="1">
        <f t="array" ref="B212">IF(A212="","",_xlfn.IFS(COUNTIF($U:$U,A212)&gt;0,"All uploaded",COUNTIF($V:$V,A212)&gt;0,"Partly uploaded",COUNTIF($W:$X,A212)&gt;0,"Not uploaded",TRUE,"Not classified"))</f>
        <v>All uploaded</v>
      </c>
      <c r="C212" s="1" t="str" cm="1">
        <f t="array" ref="C212">_xlfn.SWITCH(TRIM(I212),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12" s="1" t="s">
        <v>1</v>
      </c>
      <c r="E212" s="1" t="s">
        <v>2</v>
      </c>
      <c r="F212" s="1" t="str" cm="1">
        <f t="array" ref="F212">_xlfn.LET(
_xlpm.status,UPPER(TRIM(B212&amp;"")),
_xlpm.risk,UPPER(TRIM(C212&amp;"")),
_xlpm.notify,UPPER(TRIM(D212&amp;"")),
_xlpm.form,UPPER(TRIM(E212&amp;"")),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12" s="1" t="str">
        <f t="shared" si="3"/>
        <v>NA</v>
      </c>
      <c r="H212" s="5" t="s">
        <v>1383</v>
      </c>
      <c r="I212" s="1" t="s">
        <v>23</v>
      </c>
      <c r="J212" s="1" t="s">
        <v>1382</v>
      </c>
      <c r="K212" s="1" t="s">
        <v>1379</v>
      </c>
      <c r="L212" s="1" t="s">
        <v>23</v>
      </c>
      <c r="M212" s="1" t="s">
        <v>28</v>
      </c>
      <c r="N212" s="1" t="s">
        <v>1381</v>
      </c>
      <c r="O212" s="1" t="s">
        <v>19</v>
      </c>
      <c r="P212" s="1" t="s">
        <v>18</v>
      </c>
      <c r="Q212" s="1" t="s">
        <v>20</v>
      </c>
      <c r="R212" s="1" t="s">
        <v>110</v>
      </c>
      <c r="S212" s="1">
        <v>2</v>
      </c>
      <c r="T212" s="1" t="s">
        <v>1384</v>
      </c>
      <c r="V212" t="s">
        <v>2610</v>
      </c>
      <c r="W212" t="s">
        <v>2294</v>
      </c>
    </row>
    <row r="213" spans="1:23">
      <c r="A213" s="1" t="s">
        <v>1388</v>
      </c>
      <c r="B213" s="1" t="str" cm="1">
        <f t="array" ref="B213">IF(A213="","",_xlfn.IFS(COUNTIF($U:$U,A213)&gt;0,"All uploaded",COUNTIF($V:$V,A213)&gt;0,"Partly uploaded",COUNTIF($W:$X,A213)&gt;0,"Not uploaded",TRUE,"Not classified"))</f>
        <v>Partly uploaded</v>
      </c>
      <c r="C213" s="1" t="str" cm="1">
        <f t="array" ref="C213">_xlfn.SWITCH(TRIM(I213),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13" s="1" t="s">
        <v>1</v>
      </c>
      <c r="E213" s="1" t="s">
        <v>4</v>
      </c>
      <c r="F213" s="1" t="str" cm="1">
        <f t="array" ref="F213">_xlfn.LET(
_xlpm.status,UPPER(TRIM(B213&amp;"")),
_xlpm.risk,UPPER(TRIM(C213&amp;"")),
_xlpm.notify,UPPER(TRIM(D213&amp;"")),
_xlpm.form,UPPER(TRIM(E213&amp;"")),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13" s="1" t="str">
        <f t="shared" si="3"/>
        <v>Required</v>
      </c>
      <c r="H213" s="5" t="s">
        <v>1392</v>
      </c>
      <c r="I213" s="1" t="s">
        <v>33</v>
      </c>
      <c r="J213" s="1" t="s">
        <v>1391</v>
      </c>
      <c r="K213" s="1" t="s">
        <v>1387</v>
      </c>
      <c r="L213" s="1" t="s">
        <v>33</v>
      </c>
      <c r="M213" s="1" t="s">
        <v>77</v>
      </c>
      <c r="N213" s="1" t="s">
        <v>1389</v>
      </c>
      <c r="O213" s="1" t="s">
        <v>19</v>
      </c>
      <c r="P213" s="1" t="s">
        <v>18</v>
      </c>
      <c r="Q213" s="1" t="s">
        <v>20</v>
      </c>
      <c r="R213" s="1" t="s">
        <v>1390</v>
      </c>
      <c r="S213" s="1">
        <v>4</v>
      </c>
      <c r="T213" s="1" t="s">
        <v>1393</v>
      </c>
      <c r="V213" t="s">
        <v>2620</v>
      </c>
      <c r="W213" t="s">
        <v>2261</v>
      </c>
    </row>
    <row r="214" spans="1:23">
      <c r="A214" s="1" t="s">
        <v>1388</v>
      </c>
      <c r="B214" s="1" t="str" cm="1">
        <f t="array" ref="B214">IF(A214="","",_xlfn.IFS(COUNTIF($U:$U,A214)&gt;0,"All uploaded",COUNTIF($V:$V,A214)&gt;0,"Partly uploaded",COUNTIF($W:$X,A214)&gt;0,"Not uploaded",TRUE,"Not classified"))</f>
        <v>Partly uploaded</v>
      </c>
      <c r="C214" s="1" t="str" cm="1">
        <f t="array" ref="C214">_xlfn.SWITCH(TRIM(I214),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14" s="1" t="s">
        <v>1</v>
      </c>
      <c r="E214" s="1" t="s">
        <v>3</v>
      </c>
      <c r="F214" s="1" t="str" cm="1">
        <f t="array" ref="F214">_xlfn.LET(
_xlpm.status,UPPER(TRIM(B214&amp;"")),
_xlpm.risk,UPPER(TRIM(C214&amp;"")),
_xlpm.notify,UPPER(TRIM(D214&amp;"")),
_xlpm.form,UPPER(TRIM(E214&amp;"")),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214" s="1" t="str">
        <f t="shared" si="3"/>
        <v>NA</v>
      </c>
      <c r="H214" s="5" t="s">
        <v>1392</v>
      </c>
      <c r="I214" s="1" t="s">
        <v>33</v>
      </c>
      <c r="J214" s="1" t="s">
        <v>1394</v>
      </c>
      <c r="K214" s="1" t="s">
        <v>1387</v>
      </c>
      <c r="L214" s="1" t="s">
        <v>33</v>
      </c>
      <c r="M214" s="1" t="s">
        <v>77</v>
      </c>
      <c r="N214" s="1" t="s">
        <v>1389</v>
      </c>
      <c r="O214" s="1" t="s">
        <v>19</v>
      </c>
      <c r="P214" s="1" t="s">
        <v>18</v>
      </c>
      <c r="Q214" s="1" t="s">
        <v>20</v>
      </c>
      <c r="R214" s="1" t="s">
        <v>130</v>
      </c>
      <c r="S214" s="1">
        <v>4</v>
      </c>
      <c r="T214" s="1" t="s">
        <v>1393</v>
      </c>
      <c r="V214" t="s">
        <v>2649</v>
      </c>
      <c r="W214" t="s">
        <v>2270</v>
      </c>
    </row>
    <row r="215" spans="1:23">
      <c r="A215" s="1" t="s">
        <v>1388</v>
      </c>
      <c r="B215" s="1" t="str" cm="1">
        <f t="array" ref="B215">IF(A215="","",_xlfn.IFS(COUNTIF($U:$U,A215)&gt;0,"All uploaded",COUNTIF($V:$V,A215)&gt;0,"Partly uploaded",COUNTIF($W:$X,A215)&gt;0,"Not uploaded",TRUE,"Not classified"))</f>
        <v>Partly uploaded</v>
      </c>
      <c r="C215" s="1" t="str" cm="1">
        <f t="array" ref="C215">_xlfn.SWITCH(TRIM(I215),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15" s="1" t="s">
        <v>0</v>
      </c>
      <c r="E215" s="1" t="s">
        <v>4</v>
      </c>
      <c r="F215" s="1" t="str" cm="1">
        <f t="array" ref="F215">_xlfn.LET(
_xlpm.status,UPPER(TRIM(B215&amp;"")),
_xlpm.risk,UPPER(TRIM(C215&amp;"")),
_xlpm.notify,UPPER(TRIM(D215&amp;"")),
_xlpm.form,UPPER(TRIM(E215&amp;"")),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15" s="1" t="str">
        <f t="shared" si="3"/>
        <v>Required</v>
      </c>
      <c r="H215" s="5" t="s">
        <v>1392</v>
      </c>
      <c r="I215" s="1" t="s">
        <v>33</v>
      </c>
      <c r="J215" s="1" t="s">
        <v>1397</v>
      </c>
      <c r="K215" s="1" t="s">
        <v>1387</v>
      </c>
      <c r="L215" s="1" t="s">
        <v>33</v>
      </c>
      <c r="M215" s="1" t="s">
        <v>77</v>
      </c>
      <c r="N215" s="1" t="s">
        <v>1389</v>
      </c>
      <c r="O215" s="1" t="s">
        <v>19</v>
      </c>
      <c r="P215" s="1" t="s">
        <v>18</v>
      </c>
      <c r="Q215" s="1" t="s">
        <v>20</v>
      </c>
      <c r="R215" s="1" t="s">
        <v>132</v>
      </c>
      <c r="S215" s="1">
        <v>3</v>
      </c>
      <c r="T215" s="1" t="s">
        <v>932</v>
      </c>
      <c r="V215" t="s">
        <v>2630</v>
      </c>
      <c r="W215" t="s">
        <v>2278</v>
      </c>
    </row>
    <row r="216" spans="1:23">
      <c r="A216" s="1" t="s">
        <v>1388</v>
      </c>
      <c r="B216" s="1" t="str" cm="1">
        <f t="array" ref="B216">IF(A216="","",_xlfn.IFS(COUNTIF($U:$U,A216)&gt;0,"All uploaded",COUNTIF($V:$V,A216)&gt;0,"Partly uploaded",COUNTIF($W:$X,A216)&gt;0,"Not uploaded",TRUE,"Not classified"))</f>
        <v>Partly uploaded</v>
      </c>
      <c r="C216" s="1" t="str" cm="1">
        <f t="array" ref="C216">_xlfn.SWITCH(TRIM(I216),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16" s="1" t="s">
        <v>0</v>
      </c>
      <c r="E216" s="1" t="s">
        <v>3</v>
      </c>
      <c r="F216" s="1" t="str" cm="1">
        <f t="array" ref="F216">_xlfn.LET(
_xlpm.status,UPPER(TRIM(B216&amp;"")),
_xlpm.risk,UPPER(TRIM(C216&amp;"")),
_xlpm.notify,UPPER(TRIM(D216&amp;"")),
_xlpm.form,UPPER(TRIM(E216&amp;"")),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216" s="1" t="str">
        <f t="shared" si="3"/>
        <v>NA</v>
      </c>
      <c r="H216" s="5" t="s">
        <v>1396</v>
      </c>
      <c r="I216" s="1" t="s">
        <v>33</v>
      </c>
      <c r="J216" s="1" t="s">
        <v>1395</v>
      </c>
      <c r="K216" s="1" t="s">
        <v>1387</v>
      </c>
      <c r="L216" s="1" t="s">
        <v>33</v>
      </c>
      <c r="M216" s="1" t="s">
        <v>77</v>
      </c>
      <c r="N216" s="1" t="s">
        <v>1389</v>
      </c>
      <c r="O216" s="1" t="s">
        <v>19</v>
      </c>
      <c r="P216" s="1" t="s">
        <v>18</v>
      </c>
      <c r="Q216" s="1" t="s">
        <v>20</v>
      </c>
      <c r="R216" s="1" t="s">
        <v>132</v>
      </c>
      <c r="S216" s="1">
        <v>3</v>
      </c>
      <c r="T216" s="1" t="s">
        <v>919</v>
      </c>
      <c r="V216" t="s">
        <v>2639</v>
      </c>
      <c r="W216" t="s">
        <v>2280</v>
      </c>
    </row>
    <row r="217" spans="1:23">
      <c r="A217" s="1" t="s">
        <v>1399</v>
      </c>
      <c r="B217" s="1" t="str" cm="1">
        <f t="array" ref="B217">IF(A217="","",_xlfn.IFS(COUNTIF($U:$U,A217)&gt;0,"All uploaded",COUNTIF($V:$V,A217)&gt;0,"Partly uploaded",COUNTIF($W:$X,A217)&gt;0,"Not uploaded",TRUE,"Not classified"))</f>
        <v>All uploaded</v>
      </c>
      <c r="C217" s="1" t="str" cm="1">
        <f t="array" ref="C217">_xlfn.SWITCH(TRIM(I217),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17" s="1" t="s">
        <v>1</v>
      </c>
      <c r="E217" s="1" t="s">
        <v>4</v>
      </c>
      <c r="F217" s="1" t="str" cm="1">
        <f t="array" ref="F217">_xlfn.LET(
_xlpm.status,UPPER(TRIM(B217&amp;"")),
_xlpm.risk,UPPER(TRIM(C217&amp;"")),
_xlpm.notify,UPPER(TRIM(D217&amp;"")),
_xlpm.form,UPPER(TRIM(E217&amp;"")),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17" s="1" t="str">
        <f t="shared" si="3"/>
        <v>Required</v>
      </c>
      <c r="H217" s="5" t="s">
        <v>1402</v>
      </c>
      <c r="I217" s="1" t="s">
        <v>27</v>
      </c>
      <c r="J217" s="1" t="s">
        <v>1401</v>
      </c>
      <c r="K217" s="1" t="s">
        <v>1398</v>
      </c>
      <c r="L217" s="1" t="s">
        <v>27</v>
      </c>
      <c r="M217" s="1" t="s">
        <v>28</v>
      </c>
      <c r="N217" s="1" t="s">
        <v>981</v>
      </c>
      <c r="O217" s="1" t="s">
        <v>19</v>
      </c>
      <c r="P217" s="1" t="s">
        <v>18</v>
      </c>
      <c r="Q217" s="1" t="s">
        <v>20</v>
      </c>
      <c r="R217" s="1" t="s">
        <v>1400</v>
      </c>
      <c r="S217" s="1">
        <v>1</v>
      </c>
      <c r="T217" s="1" t="s">
        <v>1403</v>
      </c>
      <c r="V217" t="s">
        <v>2644</v>
      </c>
      <c r="W217" t="s">
        <v>2283</v>
      </c>
    </row>
    <row r="218" spans="1:23">
      <c r="A218" s="1" t="s">
        <v>1412</v>
      </c>
      <c r="B218" s="1" t="str" cm="1">
        <f t="array" ref="B218">IF(A218="","",_xlfn.IFS(COUNTIF($U:$U,A218)&gt;0,"All uploaded",COUNTIF($V:$V,A218)&gt;0,"Partly uploaded",COUNTIF($W:$X,A218)&gt;0,"Not uploaded",TRUE,"Not classified"))</f>
        <v>Partly uploaded</v>
      </c>
      <c r="C218" s="1" t="str" cm="1">
        <f t="array" ref="C218">_xlfn.SWITCH(TRIM(I218),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18" s="1" t="s">
        <v>1</v>
      </c>
      <c r="E218" s="1" t="s">
        <v>2</v>
      </c>
      <c r="F218" s="1" t="str" cm="1">
        <f t="array" ref="F218">_xlfn.LET(
_xlpm.status,UPPER(TRIM(B218&amp;"")),
_xlpm.risk,UPPER(TRIM(C218&amp;"")),
_xlpm.notify,UPPER(TRIM(D218&amp;"")),
_xlpm.form,UPPER(TRIM(E218&amp;"")),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18" s="1" t="str">
        <f t="shared" si="3"/>
        <v>NA</v>
      </c>
      <c r="H218" s="5" t="s">
        <v>1414</v>
      </c>
      <c r="I218" s="1" t="s">
        <v>27</v>
      </c>
      <c r="J218" s="1" t="s">
        <v>1413</v>
      </c>
      <c r="K218" s="1" t="s">
        <v>1398</v>
      </c>
      <c r="L218" s="1" t="s">
        <v>27</v>
      </c>
      <c r="M218" s="1" t="s">
        <v>28</v>
      </c>
      <c r="N218" s="1" t="s">
        <v>1255</v>
      </c>
      <c r="O218" s="1" t="s">
        <v>19</v>
      </c>
      <c r="P218" s="1" t="s">
        <v>18</v>
      </c>
      <c r="Q218" s="1" t="s">
        <v>20</v>
      </c>
      <c r="R218" s="1" t="s">
        <v>1400</v>
      </c>
      <c r="S218" s="1">
        <v>1</v>
      </c>
      <c r="T218" s="1" t="s">
        <v>1415</v>
      </c>
      <c r="V218" t="s">
        <v>2655</v>
      </c>
      <c r="W218" t="s">
        <v>2347</v>
      </c>
    </row>
    <row r="219" spans="1:23">
      <c r="A219" s="1" t="s">
        <v>1404</v>
      </c>
      <c r="B219" s="1" t="str" cm="1">
        <f t="array" ref="B219">IF(A219="","",_xlfn.IFS(COUNTIF($U:$U,A219)&gt;0,"All uploaded",COUNTIF($V:$V,A219)&gt;0,"Partly uploaded",COUNTIF($W:$X,A219)&gt;0,"Not uploaded",TRUE,"Not classified"))</f>
        <v>Partly uploaded</v>
      </c>
      <c r="C219" s="1" t="str" cm="1">
        <f t="array" ref="C219">_xlfn.SWITCH(TRIM(I219),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19" s="1" t="s">
        <v>1</v>
      </c>
      <c r="E219" s="1" t="s">
        <v>4</v>
      </c>
      <c r="F219" s="1" t="str" cm="1">
        <f t="array" ref="F219">_xlfn.LET(
_xlpm.status,UPPER(TRIM(B219&amp;"")),
_xlpm.risk,UPPER(TRIM(C219&amp;"")),
_xlpm.notify,UPPER(TRIM(D219&amp;"")),
_xlpm.form,UPPER(TRIM(E219&amp;"")),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19" s="1" t="str">
        <f t="shared" si="3"/>
        <v>Required</v>
      </c>
      <c r="H219" s="5" t="s">
        <v>1407</v>
      </c>
      <c r="I219" s="1" t="s">
        <v>27</v>
      </c>
      <c r="J219" s="1" t="s">
        <v>1406</v>
      </c>
      <c r="K219" s="1" t="s">
        <v>1398</v>
      </c>
      <c r="L219" s="1" t="s">
        <v>27</v>
      </c>
      <c r="M219" s="1" t="s">
        <v>28</v>
      </c>
      <c r="N219" s="1" t="s">
        <v>1405</v>
      </c>
      <c r="O219" s="1" t="s">
        <v>19</v>
      </c>
      <c r="P219" s="1" t="s">
        <v>18</v>
      </c>
      <c r="Q219" s="1" t="s">
        <v>20</v>
      </c>
      <c r="R219" s="1" t="s">
        <v>1400</v>
      </c>
      <c r="S219" s="1">
        <v>2</v>
      </c>
      <c r="T219" s="1" t="s">
        <v>1408</v>
      </c>
      <c r="V219" t="s">
        <v>2667</v>
      </c>
      <c r="W219" t="s">
        <v>2310</v>
      </c>
    </row>
    <row r="220" spans="1:23">
      <c r="A220" s="1" t="s">
        <v>1424</v>
      </c>
      <c r="B220" s="1" t="str" cm="1">
        <f t="array" ref="B220">IF(A220="","",_xlfn.IFS(COUNTIF($U:$U,A220)&gt;0,"All uploaded",COUNTIF($V:$V,A220)&gt;0,"Partly uploaded",COUNTIF($W:$X,A220)&gt;0,"Not uploaded",TRUE,"Not classified"))</f>
        <v>All uploaded</v>
      </c>
      <c r="C220" s="1" t="str" cm="1">
        <f t="array" ref="C220">_xlfn.SWITCH(TRIM(I220),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20" s="1" t="s">
        <v>1</v>
      </c>
      <c r="E220" s="1" t="s">
        <v>4</v>
      </c>
      <c r="F220" s="1" t="str" cm="1">
        <f t="array" ref="F220">_xlfn.LET(
_xlpm.status,UPPER(TRIM(B220&amp;"")),
_xlpm.risk,UPPER(TRIM(C220&amp;"")),
_xlpm.notify,UPPER(TRIM(D220&amp;"")),
_xlpm.form,UPPER(TRIM(E220&amp;"")),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20" s="1" t="str">
        <f t="shared" si="3"/>
        <v>Required</v>
      </c>
      <c r="H220" s="5" t="s">
        <v>1427</v>
      </c>
      <c r="I220" s="1" t="s">
        <v>25</v>
      </c>
      <c r="J220" s="1" t="s">
        <v>1426</v>
      </c>
      <c r="K220" s="1" t="s">
        <v>1416</v>
      </c>
      <c r="L220" s="1" t="s">
        <v>25</v>
      </c>
      <c r="M220" s="1" t="s">
        <v>80</v>
      </c>
      <c r="N220" s="1" t="s">
        <v>1425</v>
      </c>
      <c r="O220" s="1" t="s">
        <v>19</v>
      </c>
      <c r="P220" s="1" t="s">
        <v>18</v>
      </c>
      <c r="Q220" s="1" t="s">
        <v>20</v>
      </c>
      <c r="R220" s="1" t="s">
        <v>1366</v>
      </c>
      <c r="S220" s="1">
        <v>2</v>
      </c>
      <c r="T220" s="1" t="s">
        <v>152</v>
      </c>
      <c r="V220" t="s">
        <v>2674</v>
      </c>
      <c r="W220" t="s">
        <v>2296</v>
      </c>
    </row>
    <row r="221" spans="1:23">
      <c r="A221" s="1" t="s">
        <v>1417</v>
      </c>
      <c r="B221" s="1" t="str" cm="1">
        <f t="array" ref="B221">IF(A221="","",_xlfn.IFS(COUNTIF($U:$U,A221)&gt;0,"All uploaded",COUNTIF($V:$V,A221)&gt;0,"Partly uploaded",COUNTIF($W:$X,A221)&gt;0,"Not uploaded",TRUE,"Not classified"))</f>
        <v>All uploaded</v>
      </c>
      <c r="C221" s="1" t="str" cm="1">
        <f t="array" ref="C221">_xlfn.SWITCH(TRIM(I221),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21" s="1" t="s">
        <v>1</v>
      </c>
      <c r="E221" s="1" t="s">
        <v>4</v>
      </c>
      <c r="F221" s="1" t="str" cm="1">
        <f t="array" ref="F221">_xlfn.LET(
_xlpm.status,UPPER(TRIM(B221&amp;"")),
_xlpm.risk,UPPER(TRIM(C221&amp;"")),
_xlpm.notify,UPPER(TRIM(D221&amp;"")),
_xlpm.form,UPPER(TRIM(E221&amp;"")),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21" s="1" t="str">
        <f t="shared" si="3"/>
        <v>Required</v>
      </c>
      <c r="H221" s="5" t="s">
        <v>1421</v>
      </c>
      <c r="I221" s="1" t="s">
        <v>27</v>
      </c>
      <c r="J221" s="1" t="s">
        <v>1420</v>
      </c>
      <c r="K221" s="1" t="s">
        <v>1416</v>
      </c>
      <c r="L221" s="1" t="s">
        <v>27</v>
      </c>
      <c r="M221" s="1" t="s">
        <v>28</v>
      </c>
      <c r="N221" s="1" t="s">
        <v>1418</v>
      </c>
      <c r="O221" s="1" t="s">
        <v>19</v>
      </c>
      <c r="P221" s="1" t="s">
        <v>18</v>
      </c>
      <c r="Q221" s="1" t="s">
        <v>20</v>
      </c>
      <c r="R221" s="1" t="s">
        <v>1419</v>
      </c>
      <c r="S221" s="1">
        <v>2</v>
      </c>
      <c r="T221" s="1" t="s">
        <v>1422</v>
      </c>
      <c r="V221" t="s">
        <v>2693</v>
      </c>
      <c r="W221" t="s">
        <v>2349</v>
      </c>
    </row>
    <row r="222" spans="1:23">
      <c r="A222" s="1" t="s">
        <v>1417</v>
      </c>
      <c r="B222" s="1" t="str" cm="1">
        <f t="array" ref="B222">IF(A222="","",_xlfn.IFS(COUNTIF($U:$U,A222)&gt;0,"All uploaded",COUNTIF($V:$V,A222)&gt;0,"Partly uploaded",COUNTIF($W:$X,A222)&gt;0,"Not uploaded",TRUE,"Not classified"))</f>
        <v>All uploaded</v>
      </c>
      <c r="C222" s="1" t="str" cm="1">
        <f t="array" ref="C222">_xlfn.SWITCH(TRIM(I222),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22" s="1" t="s">
        <v>1</v>
      </c>
      <c r="E222" s="1" t="s">
        <v>4</v>
      </c>
      <c r="F222" s="1" t="str" cm="1">
        <f t="array" ref="F222">_xlfn.LET(
_xlpm.status,UPPER(TRIM(B222&amp;"")),
_xlpm.risk,UPPER(TRIM(C222&amp;"")),
_xlpm.notify,UPPER(TRIM(D222&amp;"")),
_xlpm.form,UPPER(TRIM(E222&amp;"")),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22" s="1" t="str">
        <f t="shared" si="3"/>
        <v>Required</v>
      </c>
      <c r="H222" s="5" t="s">
        <v>1429</v>
      </c>
      <c r="I222" s="1" t="s">
        <v>27</v>
      </c>
      <c r="J222" s="1" t="s">
        <v>1428</v>
      </c>
      <c r="K222" s="1" t="s">
        <v>1416</v>
      </c>
      <c r="L222" s="1" t="s">
        <v>27</v>
      </c>
      <c r="M222" s="1" t="s">
        <v>28</v>
      </c>
      <c r="N222" s="1" t="s">
        <v>1418</v>
      </c>
      <c r="O222" s="1" t="s">
        <v>19</v>
      </c>
      <c r="P222" s="1" t="s">
        <v>18</v>
      </c>
      <c r="Q222" s="1" t="s">
        <v>20</v>
      </c>
      <c r="R222" s="1" t="s">
        <v>86</v>
      </c>
      <c r="S222" s="1">
        <v>1</v>
      </c>
      <c r="T222" s="1" t="s">
        <v>1430</v>
      </c>
      <c r="V222" t="s">
        <v>2699</v>
      </c>
      <c r="W222" t="s">
        <v>2365</v>
      </c>
    </row>
    <row r="223" spans="1:23">
      <c r="A223" s="1" t="s">
        <v>1432</v>
      </c>
      <c r="B223" s="1" t="str" cm="1">
        <f t="array" ref="B223">IF(A223="","",_xlfn.IFS(COUNTIF($U:$U,A223)&gt;0,"All uploaded",COUNTIF($V:$V,A223)&gt;0,"Partly uploaded",COUNTIF($W:$X,A223)&gt;0,"Not uploaded",TRUE,"Not classified"))</f>
        <v>Partly uploaded</v>
      </c>
      <c r="C223" s="1" t="str" cm="1">
        <f t="array" ref="C223">_xlfn.SWITCH(TRIM(I223),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23" s="1" t="s">
        <v>0</v>
      </c>
      <c r="E223" s="1" t="s">
        <v>3</v>
      </c>
      <c r="F223" s="1" t="str" cm="1">
        <f t="array" ref="F223">_xlfn.LET(
_xlpm.status,UPPER(TRIM(B223&amp;"")),
_xlpm.risk,UPPER(TRIM(C223&amp;"")),
_xlpm.notify,UPPER(TRIM(D223&amp;"")),
_xlpm.form,UPPER(TRIM(E223&amp;"")),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223" s="1" t="str">
        <f t="shared" si="3"/>
        <v>NA</v>
      </c>
      <c r="H223" s="5" t="s">
        <v>1435</v>
      </c>
      <c r="I223" s="1" t="s">
        <v>33</v>
      </c>
      <c r="J223" s="1" t="s">
        <v>1434</v>
      </c>
      <c r="K223" s="1" t="s">
        <v>1431</v>
      </c>
      <c r="L223" s="1" t="s">
        <v>33</v>
      </c>
      <c r="M223" s="1" t="s">
        <v>77</v>
      </c>
      <c r="N223" s="1" t="s">
        <v>1433</v>
      </c>
      <c r="O223" s="1" t="s">
        <v>19</v>
      </c>
      <c r="P223" s="1" t="s">
        <v>18</v>
      </c>
      <c r="Q223" s="1" t="s">
        <v>20</v>
      </c>
      <c r="R223" s="1" t="s">
        <v>501</v>
      </c>
      <c r="S223" s="1">
        <v>3</v>
      </c>
      <c r="T223" s="1" t="s">
        <v>877</v>
      </c>
      <c r="V223" t="s">
        <v>2687</v>
      </c>
      <c r="W223" t="s">
        <v>2363</v>
      </c>
    </row>
    <row r="224" spans="1:23">
      <c r="A224" s="1" t="s">
        <v>1447</v>
      </c>
      <c r="B224" s="1" t="str" cm="1">
        <f t="array" ref="B224">IF(A224="","",_xlfn.IFS(COUNTIF($U:$U,A224)&gt;0,"All uploaded",COUNTIF($V:$V,A224)&gt;0,"Partly uploaded",COUNTIF($W:$X,A224)&gt;0,"Not uploaded",TRUE,"Not classified"))</f>
        <v>Partly uploaded</v>
      </c>
      <c r="C224" s="1" t="str" cm="1">
        <f t="array" ref="C224">_xlfn.SWITCH(TRIM(I224),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24" s="1" t="s">
        <v>1</v>
      </c>
      <c r="E224" s="1" t="s">
        <v>4</v>
      </c>
      <c r="F224" s="1" t="str" cm="1">
        <f t="array" ref="F224">_xlfn.LET(
_xlpm.status,UPPER(TRIM(B224&amp;"")),
_xlpm.risk,UPPER(TRIM(C224&amp;"")),
_xlpm.notify,UPPER(TRIM(D224&amp;"")),
_xlpm.form,UPPER(TRIM(E224&amp;"")),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24" s="1" t="str">
        <f t="shared" si="3"/>
        <v>Required</v>
      </c>
      <c r="H224" s="5" t="s">
        <v>1450</v>
      </c>
      <c r="I224" s="1" t="s">
        <v>27</v>
      </c>
      <c r="J224" s="1" t="s">
        <v>1449</v>
      </c>
      <c r="K224" s="1" t="s">
        <v>1446</v>
      </c>
      <c r="L224" s="1" t="s">
        <v>27</v>
      </c>
      <c r="M224" s="1" t="s">
        <v>28</v>
      </c>
      <c r="N224" s="1" t="s">
        <v>440</v>
      </c>
      <c r="O224" s="1" t="s">
        <v>19</v>
      </c>
      <c r="P224" s="1" t="s">
        <v>18</v>
      </c>
      <c r="Q224" s="1" t="s">
        <v>20</v>
      </c>
      <c r="R224" s="1" t="s">
        <v>1448</v>
      </c>
      <c r="S224" s="1">
        <v>1</v>
      </c>
      <c r="T224" s="1" t="s">
        <v>1451</v>
      </c>
      <c r="V224" t="s">
        <v>2706</v>
      </c>
      <c r="W224" t="s">
        <v>2340</v>
      </c>
    </row>
    <row r="225" spans="1:23">
      <c r="A225" s="1" t="s">
        <v>1456</v>
      </c>
      <c r="B225" s="1" t="str" cm="1">
        <f t="array" ref="B225">IF(A225="","",_xlfn.IFS(COUNTIF($U:$U,A225)&gt;0,"All uploaded",COUNTIF($V:$V,A225)&gt;0,"Partly uploaded",COUNTIF($W:$X,A225)&gt;0,"Not uploaded",TRUE,"Not classified"))</f>
        <v>Partly uploaded</v>
      </c>
      <c r="C225" s="1" t="str" cm="1">
        <f t="array" ref="C225">_xlfn.SWITCH(TRIM(I225),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25" s="1" t="s">
        <v>1</v>
      </c>
      <c r="E225" s="1" t="s">
        <v>4</v>
      </c>
      <c r="F225" s="1" t="str" cm="1">
        <f t="array" ref="F225">_xlfn.LET(
_xlpm.status,UPPER(TRIM(B225&amp;"")),
_xlpm.risk,UPPER(TRIM(C225&amp;"")),
_xlpm.notify,UPPER(TRIM(D225&amp;"")),
_xlpm.form,UPPER(TRIM(E225&amp;"")),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25" s="1" t="str">
        <f t="shared" si="3"/>
        <v>NA</v>
      </c>
      <c r="H225" s="5" t="s">
        <v>1459</v>
      </c>
      <c r="I225" s="1" t="s">
        <v>23</v>
      </c>
      <c r="J225" s="1" t="s">
        <v>1458</v>
      </c>
      <c r="K225" s="1" t="s">
        <v>1455</v>
      </c>
      <c r="L225" s="1" t="s">
        <v>23</v>
      </c>
      <c r="M225" s="1" t="s">
        <v>28</v>
      </c>
      <c r="N225" s="1" t="s">
        <v>1457</v>
      </c>
      <c r="O225" s="1" t="s">
        <v>19</v>
      </c>
      <c r="P225" s="1" t="s">
        <v>18</v>
      </c>
      <c r="Q225" s="1" t="s">
        <v>20</v>
      </c>
      <c r="R225" s="1" t="s">
        <v>110</v>
      </c>
      <c r="S225" s="1">
        <v>19</v>
      </c>
      <c r="T225" s="1" t="s">
        <v>1460</v>
      </c>
      <c r="V225" t="s">
        <v>2731</v>
      </c>
      <c r="W225" t="s">
        <v>2388</v>
      </c>
    </row>
    <row r="226" spans="1:23">
      <c r="A226" s="1" t="s">
        <v>1456</v>
      </c>
      <c r="B226" s="1" t="str" cm="1">
        <f t="array" ref="B226">IF(A226="","",_xlfn.IFS(COUNTIF($U:$U,A226)&gt;0,"All uploaded",COUNTIF($V:$V,A226)&gt;0,"Partly uploaded",COUNTIF($W:$X,A226)&gt;0,"Not uploaded",TRUE,"Not classified"))</f>
        <v>Partly uploaded</v>
      </c>
      <c r="C226" s="1" t="str" cm="1">
        <f t="array" ref="C226">_xlfn.SWITCH(TRIM(I226),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26" s="1" t="s">
        <v>1</v>
      </c>
      <c r="E226" s="1" t="s">
        <v>4</v>
      </c>
      <c r="F226" s="1" t="str" cm="1">
        <f t="array" ref="F226">_xlfn.LET(
_xlpm.status,UPPER(TRIM(B226&amp;"")),
_xlpm.risk,UPPER(TRIM(C226&amp;"")),
_xlpm.notify,UPPER(TRIM(D226&amp;"")),
_xlpm.form,UPPER(TRIM(E226&amp;"")),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26" s="1" t="str">
        <f t="shared" si="3"/>
        <v>NA</v>
      </c>
      <c r="H226" s="5" t="s">
        <v>1462</v>
      </c>
      <c r="I226" s="1" t="s">
        <v>23</v>
      </c>
      <c r="J226" s="1" t="s">
        <v>1461</v>
      </c>
      <c r="K226" s="1" t="s">
        <v>1455</v>
      </c>
      <c r="L226" s="1" t="s">
        <v>23</v>
      </c>
      <c r="M226" s="1" t="s">
        <v>28</v>
      </c>
      <c r="N226" s="1" t="s">
        <v>1457</v>
      </c>
      <c r="O226" s="1" t="s">
        <v>19</v>
      </c>
      <c r="P226" s="1" t="s">
        <v>18</v>
      </c>
      <c r="Q226" s="1" t="s">
        <v>20</v>
      </c>
      <c r="R226" s="1" t="s">
        <v>127</v>
      </c>
      <c r="S226" s="1">
        <v>21</v>
      </c>
      <c r="T226" s="1" t="s">
        <v>1463</v>
      </c>
      <c r="V226" t="s">
        <v>2744</v>
      </c>
      <c r="W226" t="s">
        <v>2398</v>
      </c>
    </row>
    <row r="227" spans="1:23">
      <c r="A227" s="1" t="s">
        <v>1456</v>
      </c>
      <c r="B227" s="1" t="str" cm="1">
        <f t="array" ref="B227">IF(A227="","",_xlfn.IFS(COUNTIF($U:$U,A227)&gt;0,"All uploaded",COUNTIF($V:$V,A227)&gt;0,"Partly uploaded",COUNTIF($W:$X,A227)&gt;0,"Not uploaded",TRUE,"Not classified"))</f>
        <v>Partly uploaded</v>
      </c>
      <c r="C227" s="1" t="str" cm="1">
        <f t="array" ref="C227">_xlfn.SWITCH(TRIM(I227),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27" s="1" t="s">
        <v>1</v>
      </c>
      <c r="E227" s="1" t="s">
        <v>4</v>
      </c>
      <c r="F227" s="1" t="str" cm="1">
        <f t="array" ref="F227">_xlfn.LET(
_xlpm.status,UPPER(TRIM(B227&amp;"")),
_xlpm.risk,UPPER(TRIM(C227&amp;"")),
_xlpm.notify,UPPER(TRIM(D227&amp;"")),
_xlpm.form,UPPER(TRIM(E227&amp;"")),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27" s="1" t="str">
        <f t="shared" si="3"/>
        <v>NA</v>
      </c>
      <c r="H227" s="5" t="s">
        <v>1465</v>
      </c>
      <c r="I227" s="1" t="s">
        <v>23</v>
      </c>
      <c r="J227" s="1" t="s">
        <v>1464</v>
      </c>
      <c r="K227" s="1" t="s">
        <v>1455</v>
      </c>
      <c r="L227" s="1" t="s">
        <v>23</v>
      </c>
      <c r="M227" s="1" t="s">
        <v>28</v>
      </c>
      <c r="N227" s="1" t="s">
        <v>1457</v>
      </c>
      <c r="O227" s="1" t="s">
        <v>19</v>
      </c>
      <c r="P227" s="1" t="s">
        <v>18</v>
      </c>
      <c r="Q227" s="1" t="s">
        <v>20</v>
      </c>
      <c r="R227" s="1" t="s">
        <v>127</v>
      </c>
      <c r="S227" s="1">
        <v>21</v>
      </c>
      <c r="T227" s="1" t="s">
        <v>1463</v>
      </c>
      <c r="V227" t="s">
        <v>2754</v>
      </c>
      <c r="W227" t="s">
        <v>2400</v>
      </c>
    </row>
    <row r="228" spans="1:23">
      <c r="A228" s="1" t="s">
        <v>1456</v>
      </c>
      <c r="B228" s="1" t="str" cm="1">
        <f t="array" ref="B228">IF(A228="","",_xlfn.IFS(COUNTIF($U:$U,A228)&gt;0,"All uploaded",COUNTIF($V:$V,A228)&gt;0,"Partly uploaded",COUNTIF($W:$X,A228)&gt;0,"Not uploaded",TRUE,"Not classified"))</f>
        <v>Partly uploaded</v>
      </c>
      <c r="C228" s="1" t="str" cm="1">
        <f t="array" ref="C228">_xlfn.SWITCH(TRIM(I228),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28" s="1" t="s">
        <v>1</v>
      </c>
      <c r="E228" s="1" t="s">
        <v>4</v>
      </c>
      <c r="F228" s="1" t="str" cm="1">
        <f t="array" ref="F228">_xlfn.LET(
_xlpm.status,UPPER(TRIM(B228&amp;"")),
_xlpm.risk,UPPER(TRIM(C228&amp;"")),
_xlpm.notify,UPPER(TRIM(D228&amp;"")),
_xlpm.form,UPPER(TRIM(E228&amp;"")),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28" s="1" t="str">
        <f t="shared" si="3"/>
        <v>NA</v>
      </c>
      <c r="H228" s="5" t="s">
        <v>1467</v>
      </c>
      <c r="I228" s="1" t="s">
        <v>23</v>
      </c>
      <c r="J228" s="1" t="s">
        <v>1466</v>
      </c>
      <c r="K228" s="1" t="s">
        <v>1455</v>
      </c>
      <c r="L228" s="1" t="s">
        <v>23</v>
      </c>
      <c r="M228" s="1" t="s">
        <v>28</v>
      </c>
      <c r="N228" s="1" t="s">
        <v>1457</v>
      </c>
      <c r="O228" s="1" t="s">
        <v>19</v>
      </c>
      <c r="P228" s="1" t="s">
        <v>18</v>
      </c>
      <c r="Q228" s="1" t="s">
        <v>20</v>
      </c>
      <c r="R228" s="1" t="s">
        <v>127</v>
      </c>
      <c r="S228" s="1">
        <v>21</v>
      </c>
      <c r="T228" s="1" t="s">
        <v>1463</v>
      </c>
      <c r="V228" t="s">
        <v>2752</v>
      </c>
      <c r="W228" t="s">
        <v>2440</v>
      </c>
    </row>
    <row r="229" spans="1:23">
      <c r="A229" s="1" t="s">
        <v>1469</v>
      </c>
      <c r="B229" s="1" t="str" cm="1">
        <f t="array" ref="B229">IF(A229="","",_xlfn.IFS(COUNTIF($U:$U,A229)&gt;0,"All uploaded",COUNTIF($V:$V,A229)&gt;0,"Partly uploaded",COUNTIF($W:$X,A229)&gt;0,"Not uploaded",TRUE,"Not classified"))</f>
        <v>Partly uploaded</v>
      </c>
      <c r="C229" s="1" t="str" cm="1">
        <f t="array" ref="C229">_xlfn.SWITCH(TRIM(I229),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29" s="1" t="s">
        <v>1</v>
      </c>
      <c r="E229" s="1" t="s">
        <v>4</v>
      </c>
      <c r="F229" s="1" t="str" cm="1">
        <f t="array" ref="F229">_xlfn.LET(
_xlpm.status,UPPER(TRIM(B229&amp;"")),
_xlpm.risk,UPPER(TRIM(C229&amp;"")),
_xlpm.notify,UPPER(TRIM(D229&amp;"")),
_xlpm.form,UPPER(TRIM(E229&amp;"")),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29" s="1" t="str">
        <f t="shared" si="3"/>
        <v>Required</v>
      </c>
      <c r="H229" s="5" t="s">
        <v>1471</v>
      </c>
      <c r="I229" s="1" t="s">
        <v>27</v>
      </c>
      <c r="J229" s="1" t="s">
        <v>1470</v>
      </c>
      <c r="K229" s="1" t="s">
        <v>1468</v>
      </c>
      <c r="L229" s="1" t="s">
        <v>27</v>
      </c>
      <c r="M229" s="1" t="s">
        <v>28</v>
      </c>
      <c r="N229" s="1" t="s">
        <v>440</v>
      </c>
      <c r="O229" s="1" t="s">
        <v>19</v>
      </c>
      <c r="P229" s="1" t="s">
        <v>18</v>
      </c>
      <c r="Q229" s="1" t="s">
        <v>20</v>
      </c>
      <c r="R229" s="1" t="s">
        <v>1448</v>
      </c>
      <c r="S229" s="1">
        <v>4</v>
      </c>
      <c r="T229" s="1" t="s">
        <v>1472</v>
      </c>
      <c r="V229" t="s">
        <v>2763</v>
      </c>
      <c r="W229" t="s">
        <v>2437</v>
      </c>
    </row>
    <row r="230" spans="1:23">
      <c r="A230" s="1" t="s">
        <v>1474</v>
      </c>
      <c r="B230" s="1" t="str" cm="1">
        <f t="array" ref="B230">IF(A230="","",_xlfn.IFS(COUNTIF($U:$U,A230)&gt;0,"All uploaded",COUNTIF($V:$V,A230)&gt;0,"Partly uploaded",COUNTIF($W:$X,A230)&gt;0,"Not uploaded",TRUE,"Not classified"))</f>
        <v>Partly uploaded</v>
      </c>
      <c r="C230" s="1" t="str" cm="1">
        <f t="array" ref="C230">_xlfn.SWITCH(TRIM(I230),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30" s="1" t="s">
        <v>1</v>
      </c>
      <c r="E230" s="1" t="s">
        <v>2</v>
      </c>
      <c r="F230" s="1" t="str" cm="1">
        <f t="array" ref="F230">_xlfn.LET(
_xlpm.status,UPPER(TRIM(B230&amp;"")),
_xlpm.risk,UPPER(TRIM(C230&amp;"")),
_xlpm.notify,UPPER(TRIM(D230&amp;"")),
_xlpm.form,UPPER(TRIM(E230&amp;"")),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30" s="1" t="str">
        <f t="shared" si="3"/>
        <v>NA</v>
      </c>
      <c r="H230" s="5" t="s">
        <v>1474</v>
      </c>
      <c r="I230" s="1" t="s">
        <v>22</v>
      </c>
      <c r="J230" s="1" t="s">
        <v>1476</v>
      </c>
      <c r="K230" s="1" t="s">
        <v>1473</v>
      </c>
      <c r="L230" s="1" t="s">
        <v>22</v>
      </c>
      <c r="M230" s="1" t="s">
        <v>75</v>
      </c>
      <c r="N230" s="1" t="s">
        <v>68</v>
      </c>
      <c r="O230" s="1" t="s">
        <v>19</v>
      </c>
      <c r="P230" s="1" t="s">
        <v>18</v>
      </c>
      <c r="Q230" s="1" t="s">
        <v>20</v>
      </c>
      <c r="R230" s="1" t="s">
        <v>1475</v>
      </c>
      <c r="S230" s="1">
        <v>16</v>
      </c>
      <c r="T230" s="1" t="s">
        <v>1477</v>
      </c>
      <c r="V230" t="s">
        <v>2772</v>
      </c>
      <c r="W230" t="s">
        <v>2471</v>
      </c>
    </row>
    <row r="231" spans="1:23">
      <c r="A231" s="1" t="s">
        <v>1495</v>
      </c>
      <c r="B231" s="1" t="str" cm="1">
        <f t="array" ref="B231">IF(A231="","",_xlfn.IFS(COUNTIF($U:$U,A231)&gt;0,"All uploaded",COUNTIF($V:$V,A231)&gt;0,"Partly uploaded",COUNTIF($W:$X,A231)&gt;0,"Not uploaded",TRUE,"Not classified"))</f>
        <v>Partly uploaded</v>
      </c>
      <c r="C231" s="1" t="str" cm="1">
        <f t="array" ref="C231">_xlfn.SWITCH(TRIM(I231),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31" s="1" t="s">
        <v>1</v>
      </c>
      <c r="E231" s="1" t="s">
        <v>4</v>
      </c>
      <c r="F231" s="1" t="str" cm="1">
        <f t="array" ref="F231">_xlfn.LET(
_xlpm.status,UPPER(TRIM(B231&amp;"")),
_xlpm.risk,UPPER(TRIM(C231&amp;"")),
_xlpm.notify,UPPER(TRIM(D231&amp;"")),
_xlpm.form,UPPER(TRIM(E231&amp;"")),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31" s="1" t="str">
        <f t="shared" si="3"/>
        <v>Required</v>
      </c>
      <c r="H231" s="5" t="s">
        <v>1498</v>
      </c>
      <c r="I231" s="1" t="s">
        <v>27</v>
      </c>
      <c r="J231" s="1" t="s">
        <v>1497</v>
      </c>
      <c r="K231" s="1" t="s">
        <v>1483</v>
      </c>
      <c r="L231" s="1" t="s">
        <v>27</v>
      </c>
      <c r="M231" s="1" t="s">
        <v>28</v>
      </c>
      <c r="N231" s="1" t="s">
        <v>1496</v>
      </c>
      <c r="O231" s="1" t="s">
        <v>19</v>
      </c>
      <c r="P231" s="1" t="s">
        <v>18</v>
      </c>
      <c r="Q231" s="1" t="s">
        <v>20</v>
      </c>
      <c r="R231" s="1" t="s">
        <v>1184</v>
      </c>
      <c r="S231" s="1">
        <v>1</v>
      </c>
      <c r="T231" s="1" t="s">
        <v>1499</v>
      </c>
      <c r="V231" t="s">
        <v>2778</v>
      </c>
      <c r="W231" t="s">
        <v>2470</v>
      </c>
    </row>
    <row r="232" spans="1:23">
      <c r="A232" s="1" t="s">
        <v>1495</v>
      </c>
      <c r="B232" s="1" t="str" cm="1">
        <f t="array" ref="B232">IF(A232="","",_xlfn.IFS(COUNTIF($U:$U,A232)&gt;0,"All uploaded",COUNTIF($V:$V,A232)&gt;0,"Partly uploaded",COUNTIF($W:$X,A232)&gt;0,"Not uploaded",TRUE,"Not classified"))</f>
        <v>Partly uploaded</v>
      </c>
      <c r="C232" s="1" t="str" cm="1">
        <f t="array" ref="C232">_xlfn.SWITCH(TRIM(I232),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32" s="1" t="s">
        <v>1</v>
      </c>
      <c r="E232" s="1" t="s">
        <v>4</v>
      </c>
      <c r="F232" s="1" t="str" cm="1">
        <f t="array" ref="F232">_xlfn.LET(
_xlpm.status,UPPER(TRIM(B232&amp;"")),
_xlpm.risk,UPPER(TRIM(C232&amp;"")),
_xlpm.notify,UPPER(TRIM(D232&amp;"")),
_xlpm.form,UPPER(TRIM(E232&amp;"")),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32" s="1" t="str">
        <f t="shared" si="3"/>
        <v>Required</v>
      </c>
      <c r="H232" s="5" t="s">
        <v>1501</v>
      </c>
      <c r="I232" s="1" t="s">
        <v>27</v>
      </c>
      <c r="J232" s="1" t="s">
        <v>1500</v>
      </c>
      <c r="K232" s="1" t="s">
        <v>1483</v>
      </c>
      <c r="L232" s="1" t="s">
        <v>27</v>
      </c>
      <c r="M232" s="1" t="s">
        <v>28</v>
      </c>
      <c r="N232" s="1" t="s">
        <v>1496</v>
      </c>
      <c r="O232" s="1" t="s">
        <v>19</v>
      </c>
      <c r="P232" s="1" t="s">
        <v>18</v>
      </c>
      <c r="Q232" s="1" t="s">
        <v>20</v>
      </c>
      <c r="R232" s="1" t="s">
        <v>90</v>
      </c>
      <c r="S232" s="1">
        <v>1</v>
      </c>
      <c r="T232" s="1" t="s">
        <v>1499</v>
      </c>
      <c r="V232" t="s">
        <v>2786</v>
      </c>
      <c r="W232" t="s">
        <v>2474</v>
      </c>
    </row>
    <row r="233" spans="1:23">
      <c r="A233" s="1" t="s">
        <v>1484</v>
      </c>
      <c r="B233" s="1" t="str" cm="1">
        <f t="array" ref="B233">IF(A233="","",_xlfn.IFS(COUNTIF($U:$U,A233)&gt;0,"All uploaded",COUNTIF($V:$V,A233)&gt;0,"Partly uploaded",COUNTIF($W:$X,A233)&gt;0,"Not uploaded",TRUE,"Not classified"))</f>
        <v>All uploaded</v>
      </c>
      <c r="C233" s="1" t="str" cm="1">
        <f t="array" ref="C233">_xlfn.SWITCH(TRIM(I233),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33" s="1" t="s">
        <v>1</v>
      </c>
      <c r="E233" s="1" t="s">
        <v>4</v>
      </c>
      <c r="F233" s="1" t="str" cm="1">
        <f t="array" ref="F233">_xlfn.LET(
_xlpm.status,UPPER(TRIM(B233&amp;"")),
_xlpm.risk,UPPER(TRIM(C233&amp;"")),
_xlpm.notify,UPPER(TRIM(D233&amp;"")),
_xlpm.form,UPPER(TRIM(E233&amp;"")),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33" s="1" t="str">
        <f t="shared" si="3"/>
        <v>Required</v>
      </c>
      <c r="H233" s="5" t="s">
        <v>1487</v>
      </c>
      <c r="I233" s="1" t="s">
        <v>25</v>
      </c>
      <c r="J233" s="1" t="s">
        <v>1486</v>
      </c>
      <c r="K233" s="1" t="s">
        <v>1483</v>
      </c>
      <c r="L233" s="1" t="s">
        <v>25</v>
      </c>
      <c r="M233" s="1" t="s">
        <v>77</v>
      </c>
      <c r="N233" s="1" t="s">
        <v>1485</v>
      </c>
      <c r="O233" s="1" t="s">
        <v>19</v>
      </c>
      <c r="P233" s="1" t="s">
        <v>18</v>
      </c>
      <c r="Q233" s="1" t="s">
        <v>20</v>
      </c>
      <c r="R233" s="1" t="s">
        <v>1475</v>
      </c>
      <c r="S233" s="1">
        <v>2</v>
      </c>
      <c r="T233" s="1" t="s">
        <v>1488</v>
      </c>
      <c r="V233" t="s">
        <v>2791</v>
      </c>
      <c r="W233" t="s">
        <v>2535</v>
      </c>
    </row>
    <row r="234" spans="1:23">
      <c r="A234" s="1" t="s">
        <v>1484</v>
      </c>
      <c r="B234" s="1" t="str" cm="1">
        <f t="array" ref="B234">IF(A234="","",_xlfn.IFS(COUNTIF($U:$U,A234)&gt;0,"All uploaded",COUNTIF($V:$V,A234)&gt;0,"Partly uploaded",COUNTIF($W:$X,A234)&gt;0,"Not uploaded",TRUE,"Not classified"))</f>
        <v>All uploaded</v>
      </c>
      <c r="C234" s="1" t="str" cm="1">
        <f t="array" ref="C234">_xlfn.SWITCH(TRIM(I234),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34" s="1" t="s">
        <v>1</v>
      </c>
      <c r="E234" s="1" t="s">
        <v>4</v>
      </c>
      <c r="F234" s="1" t="str" cm="1">
        <f t="array" ref="F234">_xlfn.LET(
_xlpm.status,UPPER(TRIM(B234&amp;"")),
_xlpm.risk,UPPER(TRIM(C234&amp;"")),
_xlpm.notify,UPPER(TRIM(D234&amp;"")),
_xlpm.form,UPPER(TRIM(E234&amp;"")),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34" s="1" t="str">
        <f t="shared" si="3"/>
        <v>Required</v>
      </c>
      <c r="H234" s="5" t="s">
        <v>1490</v>
      </c>
      <c r="I234" s="1" t="s">
        <v>25</v>
      </c>
      <c r="J234" s="1" t="s">
        <v>1489</v>
      </c>
      <c r="K234" s="1" t="s">
        <v>1483</v>
      </c>
      <c r="L234" s="1" t="s">
        <v>25</v>
      </c>
      <c r="M234" s="1" t="s">
        <v>28</v>
      </c>
      <c r="N234" s="1" t="s">
        <v>1485</v>
      </c>
      <c r="O234" s="1" t="s">
        <v>19</v>
      </c>
      <c r="P234" s="1" t="s">
        <v>18</v>
      </c>
      <c r="Q234" s="1" t="s">
        <v>20</v>
      </c>
      <c r="R234" s="1" t="s">
        <v>82</v>
      </c>
      <c r="S234" s="1">
        <v>1</v>
      </c>
      <c r="T234" s="1" t="s">
        <v>1491</v>
      </c>
      <c r="V234" t="s">
        <v>2798</v>
      </c>
      <c r="W234" t="s">
        <v>2562</v>
      </c>
    </row>
    <row r="235" spans="1:23">
      <c r="A235" s="1" t="s">
        <v>1484</v>
      </c>
      <c r="B235" s="1" t="str" cm="1">
        <f t="array" ref="B235">IF(A235="","",_xlfn.IFS(COUNTIF($U:$U,A235)&gt;0,"All uploaded",COUNTIF($V:$V,A235)&gt;0,"Partly uploaded",COUNTIF($W:$X,A235)&gt;0,"Not uploaded",TRUE,"Not classified"))</f>
        <v>All uploaded</v>
      </c>
      <c r="C235" s="1" t="str" cm="1">
        <f t="array" ref="C235">_xlfn.SWITCH(TRIM(I235),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35" s="1" t="s">
        <v>1</v>
      </c>
      <c r="E235" s="1" t="s">
        <v>4</v>
      </c>
      <c r="F235" s="1" t="str" cm="1">
        <f t="array" ref="F235">_xlfn.LET(
_xlpm.status,UPPER(TRIM(B235&amp;"")),
_xlpm.risk,UPPER(TRIM(C235&amp;"")),
_xlpm.notify,UPPER(TRIM(D235&amp;"")),
_xlpm.form,UPPER(TRIM(E235&amp;"")),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35" s="1" t="str">
        <f t="shared" si="3"/>
        <v>Required</v>
      </c>
      <c r="H235" s="5" t="s">
        <v>1494</v>
      </c>
      <c r="I235" s="1" t="s">
        <v>25</v>
      </c>
      <c r="J235" s="1" t="s">
        <v>1493</v>
      </c>
      <c r="K235" s="1" t="s">
        <v>1483</v>
      </c>
      <c r="L235" s="1" t="s">
        <v>25</v>
      </c>
      <c r="M235" s="1" t="s">
        <v>28</v>
      </c>
      <c r="N235" s="1" t="s">
        <v>1485</v>
      </c>
      <c r="O235" s="1" t="s">
        <v>19</v>
      </c>
      <c r="P235" s="1" t="s">
        <v>18</v>
      </c>
      <c r="Q235" s="1" t="s">
        <v>20</v>
      </c>
      <c r="R235" s="1" t="s">
        <v>111</v>
      </c>
      <c r="S235" s="1">
        <v>2</v>
      </c>
      <c r="T235" s="1" t="s">
        <v>1488</v>
      </c>
      <c r="V235" t="s">
        <v>2810</v>
      </c>
      <c r="W235" t="s">
        <v>2555</v>
      </c>
    </row>
    <row r="236" spans="1:23">
      <c r="A236" s="1" t="s">
        <v>1505</v>
      </c>
      <c r="B236" s="1" t="str" cm="1">
        <f t="array" ref="B236">IF(A236="","",_xlfn.IFS(COUNTIF($U:$U,A236)&gt;0,"All uploaded",COUNTIF($V:$V,A236)&gt;0,"Partly uploaded",COUNTIF($W:$X,A236)&gt;0,"Not uploaded",TRUE,"Not classified"))</f>
        <v>Partly uploaded</v>
      </c>
      <c r="C236" s="1" t="str" cm="1">
        <f t="array" ref="C236">_xlfn.SWITCH(TRIM(I236),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36" s="1" t="s">
        <v>1</v>
      </c>
      <c r="E236" s="1" t="s">
        <v>4</v>
      </c>
      <c r="F236" s="1" t="str" cm="1">
        <f t="array" ref="F236">_xlfn.LET(
_xlpm.status,UPPER(TRIM(B236&amp;"")),
_xlpm.risk,UPPER(TRIM(C236&amp;"")),
_xlpm.notify,UPPER(TRIM(D236&amp;"")),
_xlpm.form,UPPER(TRIM(E236&amp;"")),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36" s="1" t="str">
        <f t="shared" si="3"/>
        <v>Required</v>
      </c>
      <c r="H236" s="5" t="s">
        <v>1507</v>
      </c>
      <c r="I236" s="1" t="s">
        <v>27</v>
      </c>
      <c r="J236" s="1" t="s">
        <v>1506</v>
      </c>
      <c r="K236" s="1" t="s">
        <v>1503</v>
      </c>
      <c r="L236" s="1" t="s">
        <v>27</v>
      </c>
      <c r="M236" s="1" t="s">
        <v>28</v>
      </c>
      <c r="N236" s="1" t="s">
        <v>1282</v>
      </c>
      <c r="O236" s="1" t="s">
        <v>19</v>
      </c>
      <c r="P236" s="1" t="s">
        <v>18</v>
      </c>
      <c r="Q236" s="1" t="s">
        <v>20</v>
      </c>
      <c r="R236" s="1" t="s">
        <v>1419</v>
      </c>
      <c r="S236" s="1">
        <v>7</v>
      </c>
      <c r="T236" s="1" t="s">
        <v>1508</v>
      </c>
      <c r="V236" t="s">
        <v>2822</v>
      </c>
      <c r="W236" t="s">
        <v>2549</v>
      </c>
    </row>
    <row r="237" spans="1:23">
      <c r="A237" s="1" t="s">
        <v>1510</v>
      </c>
      <c r="B237" s="1" t="str" cm="1">
        <f t="array" ref="B237">IF(A237="","",_xlfn.IFS(COUNTIF($U:$U,A237)&gt;0,"All uploaded",COUNTIF($V:$V,A237)&gt;0,"Partly uploaded",COUNTIF($W:$X,A237)&gt;0,"Not uploaded",TRUE,"Not classified"))</f>
        <v>All uploaded</v>
      </c>
      <c r="C237" s="1" t="str" cm="1">
        <f t="array" ref="C237">_xlfn.SWITCH(TRIM(I237),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37" s="1" t="s">
        <v>1</v>
      </c>
      <c r="E237" s="1" t="s">
        <v>4</v>
      </c>
      <c r="F237" s="1" t="str" cm="1">
        <f t="array" ref="F237">_xlfn.LET(
_xlpm.status,UPPER(TRIM(B237&amp;"")),
_xlpm.risk,UPPER(TRIM(C237&amp;"")),
_xlpm.notify,UPPER(TRIM(D237&amp;"")),
_xlpm.form,UPPER(TRIM(E237&amp;"")),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37" s="1" t="str">
        <f t="shared" si="3"/>
        <v>NA</v>
      </c>
      <c r="H237" s="5" t="s">
        <v>1514</v>
      </c>
      <c r="I237" s="1" t="s">
        <v>23</v>
      </c>
      <c r="J237" s="1" t="s">
        <v>1513</v>
      </c>
      <c r="K237" s="1" t="s">
        <v>1509</v>
      </c>
      <c r="L237" s="1" t="s">
        <v>23</v>
      </c>
      <c r="M237" s="1" t="s">
        <v>28</v>
      </c>
      <c r="N237" s="1" t="s">
        <v>1511</v>
      </c>
      <c r="O237" s="1" t="s">
        <v>19</v>
      </c>
      <c r="P237" s="1" t="s">
        <v>18</v>
      </c>
      <c r="Q237" s="1" t="s">
        <v>20</v>
      </c>
      <c r="R237" s="1" t="s">
        <v>1512</v>
      </c>
      <c r="S237" s="1">
        <v>1</v>
      </c>
      <c r="T237" s="1" t="s">
        <v>1515</v>
      </c>
      <c r="V237" t="s">
        <v>2845</v>
      </c>
      <c r="W237" t="s">
        <v>2564</v>
      </c>
    </row>
    <row r="238" spans="1:23">
      <c r="A238" s="1" t="s">
        <v>1516</v>
      </c>
      <c r="B238" s="1" t="str" cm="1">
        <f t="array" ref="B238">IF(A238="","",_xlfn.IFS(COUNTIF($U:$U,A238)&gt;0,"All uploaded",COUNTIF($V:$V,A238)&gt;0,"Partly uploaded",COUNTIF($W:$X,A238)&gt;0,"Not uploaded",TRUE,"Not classified"))</f>
        <v>All uploaded</v>
      </c>
      <c r="C238" s="1" t="str" cm="1">
        <f t="array" ref="C238">_xlfn.SWITCH(TRIM(I238),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38" s="1" t="s">
        <v>1</v>
      </c>
      <c r="E238" s="1" t="s">
        <v>4</v>
      </c>
      <c r="F238" s="1" t="str" cm="1">
        <f t="array" ref="F238">_xlfn.LET(
_xlpm.status,UPPER(TRIM(B238&amp;"")),
_xlpm.risk,UPPER(TRIM(C238&amp;"")),
_xlpm.notify,UPPER(TRIM(D238&amp;"")),
_xlpm.form,UPPER(TRIM(E238&amp;"")),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38" s="1" t="str">
        <f t="shared" si="3"/>
        <v>Required</v>
      </c>
      <c r="H238" s="5" t="s">
        <v>1518</v>
      </c>
      <c r="I238" s="1" t="s">
        <v>25</v>
      </c>
      <c r="J238" s="1" t="s">
        <v>1517</v>
      </c>
      <c r="K238" s="1" t="s">
        <v>1509</v>
      </c>
      <c r="L238" s="1" t="s">
        <v>25</v>
      </c>
      <c r="M238" s="1" t="s">
        <v>28</v>
      </c>
      <c r="N238" s="1" t="s">
        <v>71</v>
      </c>
      <c r="O238" s="1" t="s">
        <v>19</v>
      </c>
      <c r="P238" s="1" t="s">
        <v>18</v>
      </c>
      <c r="Q238" s="1" t="s">
        <v>20</v>
      </c>
      <c r="R238" s="1" t="s">
        <v>1419</v>
      </c>
      <c r="S238" s="1">
        <v>1</v>
      </c>
      <c r="T238" s="1" t="s">
        <v>1519</v>
      </c>
      <c r="V238" t="s">
        <v>2863</v>
      </c>
      <c r="W238" t="s">
        <v>2572</v>
      </c>
    </row>
    <row r="239" spans="1:23">
      <c r="A239" s="1" t="s">
        <v>1521</v>
      </c>
      <c r="B239" s="1" t="str" cm="1">
        <f t="array" ref="B239">IF(A239="","",_xlfn.IFS(COUNTIF($U:$U,A239)&gt;0,"All uploaded",COUNTIF($V:$V,A239)&gt;0,"Partly uploaded",COUNTIF($W:$X,A239)&gt;0,"Not uploaded",TRUE,"Not classified"))</f>
        <v>Partly uploaded</v>
      </c>
      <c r="C239" s="1" t="str" cm="1">
        <f t="array" ref="C239">_xlfn.SWITCH(TRIM(I239),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39" s="1" t="s">
        <v>1</v>
      </c>
      <c r="E239" s="1" t="s">
        <v>2</v>
      </c>
      <c r="F239" s="1" t="str" cm="1">
        <f t="array" ref="F239">_xlfn.LET(
_xlpm.status,UPPER(TRIM(B239&amp;"")),
_xlpm.risk,UPPER(TRIM(C239&amp;"")),
_xlpm.notify,UPPER(TRIM(D239&amp;"")),
_xlpm.form,UPPER(TRIM(E239&amp;"")),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39" s="1" t="str">
        <f t="shared" si="3"/>
        <v>NA</v>
      </c>
      <c r="H239" s="5" t="s">
        <v>1524</v>
      </c>
      <c r="I239" s="1" t="s">
        <v>10</v>
      </c>
      <c r="J239" s="1" t="s">
        <v>1523</v>
      </c>
      <c r="K239" s="1" t="s">
        <v>1520</v>
      </c>
      <c r="L239" s="1" t="s">
        <v>10</v>
      </c>
      <c r="M239" s="1" t="s">
        <v>77</v>
      </c>
      <c r="N239" s="1" t="s">
        <v>36</v>
      </c>
      <c r="O239" s="1" t="s">
        <v>19</v>
      </c>
      <c r="P239" s="1" t="s">
        <v>18</v>
      </c>
      <c r="Q239" s="1" t="s">
        <v>20</v>
      </c>
      <c r="R239" s="1" t="s">
        <v>1522</v>
      </c>
      <c r="S239" s="1">
        <v>14</v>
      </c>
      <c r="T239" s="1" t="s">
        <v>1525</v>
      </c>
      <c r="V239" t="s">
        <v>2887</v>
      </c>
      <c r="W239" t="s">
        <v>2596</v>
      </c>
    </row>
    <row r="240" spans="1:23">
      <c r="A240" s="1" t="s">
        <v>1521</v>
      </c>
      <c r="B240" s="1" t="str" cm="1">
        <f t="array" ref="B240">IF(A240="","",_xlfn.IFS(COUNTIF($U:$U,A240)&gt;0,"All uploaded",COUNTIF($V:$V,A240)&gt;0,"Partly uploaded",COUNTIF($W:$X,A240)&gt;0,"Not uploaded",TRUE,"Not classified"))</f>
        <v>Partly uploaded</v>
      </c>
      <c r="C240" s="1" t="str" cm="1">
        <f t="array" ref="C240">_xlfn.SWITCH(TRIM(I240),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40" s="1" t="s">
        <v>1</v>
      </c>
      <c r="E240" s="1" t="s">
        <v>4</v>
      </c>
      <c r="F240" s="1" t="str" cm="1">
        <f t="array" ref="F240">_xlfn.LET(
_xlpm.status,UPPER(TRIM(B240&amp;"")),
_xlpm.risk,UPPER(TRIM(C240&amp;"")),
_xlpm.notify,UPPER(TRIM(D240&amp;"")),
_xlpm.form,UPPER(TRIM(E240&amp;"")),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40" s="1" t="str">
        <f t="shared" si="3"/>
        <v>Required</v>
      </c>
      <c r="H240" s="5" t="s">
        <v>1528</v>
      </c>
      <c r="I240" s="1" t="s">
        <v>10</v>
      </c>
      <c r="J240" s="1" t="s">
        <v>1527</v>
      </c>
      <c r="K240" s="1" t="s">
        <v>1520</v>
      </c>
      <c r="L240" s="1" t="s">
        <v>10</v>
      </c>
      <c r="M240" s="1" t="s">
        <v>75</v>
      </c>
      <c r="N240" s="1" t="s">
        <v>36</v>
      </c>
      <c r="O240" s="1" t="s">
        <v>19</v>
      </c>
      <c r="P240" s="1" t="s">
        <v>18</v>
      </c>
      <c r="Q240" s="1" t="s">
        <v>20</v>
      </c>
      <c r="R240" s="1" t="s">
        <v>1526</v>
      </c>
      <c r="S240" s="1">
        <v>1</v>
      </c>
      <c r="T240" s="1" t="s">
        <v>1529</v>
      </c>
      <c r="V240" t="s">
        <v>2892</v>
      </c>
      <c r="W240" t="s">
        <v>2627</v>
      </c>
    </row>
    <row r="241" spans="1:23">
      <c r="A241" s="1" t="s">
        <v>1531</v>
      </c>
      <c r="B241" s="1" t="str" cm="1">
        <f t="array" ref="B241">IF(A241="","",_xlfn.IFS(COUNTIF($U:$U,A241)&gt;0,"All uploaded",COUNTIF($V:$V,A241)&gt;0,"Partly uploaded",COUNTIF($W:$X,A241)&gt;0,"Not uploaded",TRUE,"Not classified"))</f>
        <v>Partly uploaded</v>
      </c>
      <c r="C241" s="1" t="str" cm="1">
        <f t="array" ref="C241">_xlfn.SWITCH(TRIM(I241),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41" s="1" t="s">
        <v>1</v>
      </c>
      <c r="E241" s="1" t="s">
        <v>4</v>
      </c>
      <c r="F241" s="1" t="str" cm="1">
        <f t="array" ref="F241">_xlfn.LET(
_xlpm.status,UPPER(TRIM(B241&amp;"")),
_xlpm.risk,UPPER(TRIM(C241&amp;"")),
_xlpm.notify,UPPER(TRIM(D241&amp;"")),
_xlpm.form,UPPER(TRIM(E241&amp;"")),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41" s="1" t="str">
        <f t="shared" si="3"/>
        <v>NA</v>
      </c>
      <c r="H241" s="5" t="s">
        <v>1534</v>
      </c>
      <c r="I241" s="1" t="s">
        <v>23</v>
      </c>
      <c r="J241" s="1" t="s">
        <v>1533</v>
      </c>
      <c r="K241" s="1" t="s">
        <v>1530</v>
      </c>
      <c r="L241" s="1" t="s">
        <v>23</v>
      </c>
      <c r="M241" s="1" t="s">
        <v>28</v>
      </c>
      <c r="N241" s="1" t="s">
        <v>1532</v>
      </c>
      <c r="O241" s="1" t="s">
        <v>19</v>
      </c>
      <c r="P241" s="1" t="s">
        <v>18</v>
      </c>
      <c r="Q241" s="1" t="s">
        <v>20</v>
      </c>
      <c r="R241" s="1" t="s">
        <v>1512</v>
      </c>
      <c r="S241" s="1">
        <v>1</v>
      </c>
      <c r="T241" s="1" t="s">
        <v>1535</v>
      </c>
      <c r="V241" t="s">
        <v>2904</v>
      </c>
      <c r="W241" t="s">
        <v>2736</v>
      </c>
    </row>
    <row r="242" spans="1:23">
      <c r="A242" s="1" t="s">
        <v>1537</v>
      </c>
      <c r="B242" s="1" t="str" cm="1">
        <f t="array" ref="B242">IF(A242="","",_xlfn.IFS(COUNTIF($U:$U,A242)&gt;0,"All uploaded",COUNTIF($V:$V,A242)&gt;0,"Partly uploaded",COUNTIF($W:$X,A242)&gt;0,"Not uploaded",TRUE,"Not classified"))</f>
        <v>Partly uploaded</v>
      </c>
      <c r="C242" s="1" t="str" cm="1">
        <f t="array" ref="C242">_xlfn.SWITCH(TRIM(I242),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42" s="1" t="s">
        <v>1</v>
      </c>
      <c r="E242" s="1" t="s">
        <v>4</v>
      </c>
      <c r="F242" s="1" t="str" cm="1">
        <f t="array" ref="F242">_xlfn.LET(
_xlpm.status,UPPER(TRIM(B242&amp;"")),
_xlpm.risk,UPPER(TRIM(C242&amp;"")),
_xlpm.notify,UPPER(TRIM(D242&amp;"")),
_xlpm.form,UPPER(TRIM(E242&amp;"")),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42" s="1" t="str">
        <f t="shared" si="3"/>
        <v>NA</v>
      </c>
      <c r="H242" s="5" t="s">
        <v>1541</v>
      </c>
      <c r="I242" s="1" t="s">
        <v>23</v>
      </c>
      <c r="J242" s="1" t="s">
        <v>1540</v>
      </c>
      <c r="K242" s="1" t="s">
        <v>1536</v>
      </c>
      <c r="L242" s="1" t="s">
        <v>23</v>
      </c>
      <c r="M242" s="1" t="s">
        <v>28</v>
      </c>
      <c r="N242" s="1" t="s">
        <v>1538</v>
      </c>
      <c r="O242" s="1" t="s">
        <v>19</v>
      </c>
      <c r="P242" s="1" t="s">
        <v>18</v>
      </c>
      <c r="Q242" s="1" t="s">
        <v>20</v>
      </c>
      <c r="R242" s="1" t="s">
        <v>1539</v>
      </c>
      <c r="S242" s="1">
        <v>8</v>
      </c>
      <c r="T242" s="1" t="s">
        <v>1542</v>
      </c>
      <c r="V242" t="s">
        <v>2921</v>
      </c>
      <c r="W242" t="s">
        <v>2769</v>
      </c>
    </row>
    <row r="243" spans="1:23">
      <c r="A243" s="1" t="s">
        <v>1537</v>
      </c>
      <c r="B243" s="1" t="str" cm="1">
        <f t="array" ref="B243">IF(A243="","",_xlfn.IFS(COUNTIF($U:$U,A243)&gt;0,"All uploaded",COUNTIF($V:$V,A243)&gt;0,"Partly uploaded",COUNTIF($W:$X,A243)&gt;0,"Not uploaded",TRUE,"Not classified"))</f>
        <v>Partly uploaded</v>
      </c>
      <c r="C243" s="1" t="str" cm="1">
        <f t="array" ref="C243">_xlfn.SWITCH(TRIM(I243),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43" s="1" t="s">
        <v>1</v>
      </c>
      <c r="E243" s="1" t="s">
        <v>4</v>
      </c>
      <c r="F243" s="1" t="str" cm="1">
        <f t="array" ref="F243">_xlfn.LET(
_xlpm.status,UPPER(TRIM(B243&amp;"")),
_xlpm.risk,UPPER(TRIM(C243&amp;"")),
_xlpm.notify,UPPER(TRIM(D243&amp;"")),
_xlpm.form,UPPER(TRIM(E243&amp;"")),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43" s="1" t="str">
        <f t="shared" si="3"/>
        <v>NA</v>
      </c>
      <c r="H243" s="5" t="s">
        <v>1544</v>
      </c>
      <c r="I243" s="1" t="s">
        <v>23</v>
      </c>
      <c r="J243" s="1" t="s">
        <v>1543</v>
      </c>
      <c r="K243" s="1" t="s">
        <v>1536</v>
      </c>
      <c r="L243" s="1" t="s">
        <v>23</v>
      </c>
      <c r="M243" s="1" t="s">
        <v>28</v>
      </c>
      <c r="N243" s="1" t="s">
        <v>1538</v>
      </c>
      <c r="O243" s="1" t="s">
        <v>19</v>
      </c>
      <c r="P243" s="1" t="s">
        <v>18</v>
      </c>
      <c r="Q243" s="1" t="s">
        <v>20</v>
      </c>
      <c r="R243" s="1" t="s">
        <v>86</v>
      </c>
      <c r="S243" s="1">
        <v>6</v>
      </c>
      <c r="T243" s="1" t="s">
        <v>1545</v>
      </c>
      <c r="V243" t="s">
        <v>2912</v>
      </c>
      <c r="W243" t="s">
        <v>2784</v>
      </c>
    </row>
    <row r="244" spans="1:23">
      <c r="A244" s="1" t="s">
        <v>1537</v>
      </c>
      <c r="B244" s="1" t="str" cm="1">
        <f t="array" ref="B244">IF(A244="","",_xlfn.IFS(COUNTIF($U:$U,A244)&gt;0,"All uploaded",COUNTIF($V:$V,A244)&gt;0,"Partly uploaded",COUNTIF($W:$X,A244)&gt;0,"Not uploaded",TRUE,"Not classified"))</f>
        <v>Partly uploaded</v>
      </c>
      <c r="C244" s="1" t="str" cm="1">
        <f t="array" ref="C244">_xlfn.SWITCH(TRIM(I244),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44" s="1" t="s">
        <v>1</v>
      </c>
      <c r="E244" s="1" t="s">
        <v>4</v>
      </c>
      <c r="F244" s="1" t="str" cm="1">
        <f t="array" ref="F244">_xlfn.LET(
_xlpm.status,UPPER(TRIM(B244&amp;"")),
_xlpm.risk,UPPER(TRIM(C244&amp;"")),
_xlpm.notify,UPPER(TRIM(D244&amp;"")),
_xlpm.form,UPPER(TRIM(E244&amp;"")),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44" s="1" t="str">
        <f t="shared" si="3"/>
        <v>NA</v>
      </c>
      <c r="H244" s="5" t="s">
        <v>1549</v>
      </c>
      <c r="I244" s="1" t="s">
        <v>23</v>
      </c>
      <c r="J244" s="1" t="s">
        <v>1548</v>
      </c>
      <c r="K244" s="1" t="s">
        <v>1536</v>
      </c>
      <c r="L244" s="1" t="s">
        <v>23</v>
      </c>
      <c r="M244" s="1" t="s">
        <v>28</v>
      </c>
      <c r="N244" s="1" t="s">
        <v>1538</v>
      </c>
      <c r="O244" s="1" t="s">
        <v>19</v>
      </c>
      <c r="P244" s="1" t="s">
        <v>18</v>
      </c>
      <c r="Q244" s="1" t="s">
        <v>20</v>
      </c>
      <c r="R244" s="1" t="s">
        <v>127</v>
      </c>
      <c r="S244" s="1">
        <v>6</v>
      </c>
      <c r="T244" s="1" t="s">
        <v>1545</v>
      </c>
      <c r="V244" t="s">
        <v>2938</v>
      </c>
      <c r="W244" t="s">
        <v>2833</v>
      </c>
    </row>
    <row r="245" spans="1:23">
      <c r="A245" s="1" t="s">
        <v>1537</v>
      </c>
      <c r="B245" s="1" t="str" cm="1">
        <f t="array" ref="B245">IF(A245="","",_xlfn.IFS(COUNTIF($U:$U,A245)&gt;0,"All uploaded",COUNTIF($V:$V,A245)&gt;0,"Partly uploaded",COUNTIF($W:$X,A245)&gt;0,"Not uploaded",TRUE,"Not classified"))</f>
        <v>Partly uploaded</v>
      </c>
      <c r="C245" s="1" t="str" cm="1">
        <f t="array" ref="C245">_xlfn.SWITCH(TRIM(I245),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45" s="1" t="s">
        <v>1</v>
      </c>
      <c r="E245" s="1" t="s">
        <v>4</v>
      </c>
      <c r="F245" s="1" t="str" cm="1">
        <f t="array" ref="F245">_xlfn.LET(
_xlpm.status,UPPER(TRIM(B245&amp;"")),
_xlpm.risk,UPPER(TRIM(C245&amp;"")),
_xlpm.notify,UPPER(TRIM(D245&amp;"")),
_xlpm.form,UPPER(TRIM(E245&amp;"")),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45" s="1" t="str">
        <f t="shared" si="3"/>
        <v>NA</v>
      </c>
      <c r="H245" s="5" t="s">
        <v>1547</v>
      </c>
      <c r="I245" s="1" t="s">
        <v>23</v>
      </c>
      <c r="J245" s="1" t="s">
        <v>1546</v>
      </c>
      <c r="K245" s="1" t="s">
        <v>1536</v>
      </c>
      <c r="L245" s="1" t="s">
        <v>23</v>
      </c>
      <c r="M245" s="1" t="s">
        <v>28</v>
      </c>
      <c r="N245" s="1" t="s">
        <v>1538</v>
      </c>
      <c r="O245" s="1" t="s">
        <v>19</v>
      </c>
      <c r="P245" s="1" t="s">
        <v>18</v>
      </c>
      <c r="Q245" s="1" t="s">
        <v>20</v>
      </c>
      <c r="R245" s="1" t="s">
        <v>86</v>
      </c>
      <c r="S245" s="1">
        <v>6</v>
      </c>
      <c r="T245" s="1" t="s">
        <v>1545</v>
      </c>
      <c r="V245" t="s">
        <v>2966</v>
      </c>
      <c r="W245" t="s">
        <v>2870</v>
      </c>
    </row>
    <row r="246" spans="1:23">
      <c r="A246" s="1" t="s">
        <v>1537</v>
      </c>
      <c r="B246" s="1" t="str" cm="1">
        <f t="array" ref="B246">IF(A246="","",_xlfn.IFS(COUNTIF($U:$U,A246)&gt;0,"All uploaded",COUNTIF($V:$V,A246)&gt;0,"Partly uploaded",COUNTIF($W:$X,A246)&gt;0,"Not uploaded",TRUE,"Not classified"))</f>
        <v>Partly uploaded</v>
      </c>
      <c r="C246" s="1" t="str" cm="1">
        <f t="array" ref="C246">_xlfn.SWITCH(TRIM(I246),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46" s="1" t="s">
        <v>1</v>
      </c>
      <c r="E246" s="1" t="s">
        <v>4</v>
      </c>
      <c r="F246" s="1" t="str" cm="1">
        <f t="array" ref="F246">_xlfn.LET(
_xlpm.status,UPPER(TRIM(B246&amp;"")),
_xlpm.risk,UPPER(TRIM(C246&amp;"")),
_xlpm.notify,UPPER(TRIM(D246&amp;"")),
_xlpm.form,UPPER(TRIM(E246&amp;"")),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46" s="1" t="str">
        <f t="shared" si="3"/>
        <v>NA</v>
      </c>
      <c r="H246" s="5" t="s">
        <v>1551</v>
      </c>
      <c r="I246" s="1" t="s">
        <v>23</v>
      </c>
      <c r="J246" s="1" t="s">
        <v>1550</v>
      </c>
      <c r="K246" s="1" t="s">
        <v>1536</v>
      </c>
      <c r="L246" s="1" t="s">
        <v>23</v>
      </c>
      <c r="M246" s="1" t="s">
        <v>28</v>
      </c>
      <c r="N246" s="1" t="s">
        <v>1538</v>
      </c>
      <c r="O246" s="1" t="s">
        <v>19</v>
      </c>
      <c r="P246" s="1" t="s">
        <v>18</v>
      </c>
      <c r="Q246" s="1" t="s">
        <v>20</v>
      </c>
      <c r="R246" s="1" t="s">
        <v>127</v>
      </c>
      <c r="S246" s="1">
        <v>6</v>
      </c>
      <c r="T246" s="1" t="s">
        <v>1545</v>
      </c>
      <c r="V246" t="s">
        <v>2977</v>
      </c>
      <c r="W246" t="s">
        <v>2857</v>
      </c>
    </row>
    <row r="247" spans="1:23">
      <c r="A247" s="1" t="s">
        <v>1590</v>
      </c>
      <c r="B247" s="1" t="str" cm="1">
        <f t="array" ref="B247">IF(A247="","",_xlfn.IFS(COUNTIF($U:$U,A247)&gt;0,"All uploaded",COUNTIF($V:$V,A247)&gt;0,"Partly uploaded",COUNTIF($W:$X,A247)&gt;0,"Not uploaded",TRUE,"Not classified"))</f>
        <v>Partly uploaded</v>
      </c>
      <c r="C247" s="1" t="str" cm="1">
        <f t="array" ref="C247">_xlfn.SWITCH(TRIM(I247),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47" s="1" t="s">
        <v>1</v>
      </c>
      <c r="E247" s="1" t="s">
        <v>4</v>
      </c>
      <c r="F247" s="1" t="str" cm="1">
        <f t="array" ref="F247">_xlfn.LET(
_xlpm.status,UPPER(TRIM(B247&amp;"")),
_xlpm.risk,UPPER(TRIM(C247&amp;"")),
_xlpm.notify,UPPER(TRIM(D247&amp;"")),
_xlpm.form,UPPER(TRIM(E247&amp;"")),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47" s="1" t="str">
        <f t="shared" si="3"/>
        <v>Required</v>
      </c>
      <c r="H247" s="5" t="s">
        <v>1592</v>
      </c>
      <c r="I247" s="1" t="s">
        <v>10</v>
      </c>
      <c r="J247" s="1" t="s">
        <v>1591</v>
      </c>
      <c r="K247" s="1" t="s">
        <v>1589</v>
      </c>
      <c r="L247" s="1" t="s">
        <v>10</v>
      </c>
      <c r="M247" s="1" t="s">
        <v>75</v>
      </c>
      <c r="N247" s="1" t="s">
        <v>51</v>
      </c>
      <c r="O247" s="1" t="s">
        <v>19</v>
      </c>
      <c r="P247" s="1" t="s">
        <v>18</v>
      </c>
      <c r="Q247" s="1" t="s">
        <v>20</v>
      </c>
      <c r="R247" s="1" t="s">
        <v>1566</v>
      </c>
      <c r="S247" s="1">
        <v>5</v>
      </c>
      <c r="T247" s="1" t="s">
        <v>1593</v>
      </c>
      <c r="V247" t="s">
        <v>2982</v>
      </c>
      <c r="W247" t="s">
        <v>2858</v>
      </c>
    </row>
    <row r="248" spans="1:23">
      <c r="A248" s="1" t="s">
        <v>1558</v>
      </c>
      <c r="B248" s="1" t="str" cm="1">
        <f t="array" ref="B248">IF(A248="","",_xlfn.IFS(COUNTIF($U:$U,A248)&gt;0,"All uploaded",COUNTIF($V:$V,A248)&gt;0,"Partly uploaded",COUNTIF($W:$X,A248)&gt;0,"Not uploaded",TRUE,"Not classified"))</f>
        <v>Partly uploaded</v>
      </c>
      <c r="C248" s="1" t="str" cm="1">
        <f t="array" ref="C248">_xlfn.SWITCH(TRIM(I248),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48" s="1" t="s">
        <v>1</v>
      </c>
      <c r="E248" s="1" t="s">
        <v>4</v>
      </c>
      <c r="F248" s="1" t="str" cm="1">
        <f t="array" ref="F248">_xlfn.LET(
_xlpm.status,UPPER(TRIM(B248&amp;"")),
_xlpm.risk,UPPER(TRIM(C248&amp;"")),
_xlpm.notify,UPPER(TRIM(D248&amp;"")),
_xlpm.form,UPPER(TRIM(E248&amp;"")),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48" s="1" t="str">
        <f t="shared" si="3"/>
        <v>Required</v>
      </c>
      <c r="H248" s="5" t="s">
        <v>1562</v>
      </c>
      <c r="I248" s="1" t="s">
        <v>27</v>
      </c>
      <c r="J248" s="1" t="s">
        <v>1561</v>
      </c>
      <c r="K248" s="1" t="s">
        <v>1557</v>
      </c>
      <c r="L248" s="1" t="s">
        <v>27</v>
      </c>
      <c r="M248" s="1" t="s">
        <v>28</v>
      </c>
      <c r="N248" s="1" t="s">
        <v>1559</v>
      </c>
      <c r="O248" s="1" t="s">
        <v>19</v>
      </c>
      <c r="P248" s="1" t="s">
        <v>18</v>
      </c>
      <c r="Q248" s="1" t="s">
        <v>20</v>
      </c>
      <c r="R248" s="1" t="s">
        <v>1560</v>
      </c>
      <c r="S248" s="1">
        <v>9</v>
      </c>
      <c r="T248" s="1" t="s">
        <v>1563</v>
      </c>
      <c r="V248" t="s">
        <v>2998</v>
      </c>
      <c r="W248" t="s">
        <v>2869</v>
      </c>
    </row>
    <row r="249" spans="1:23">
      <c r="A249" s="1" t="s">
        <v>1570</v>
      </c>
      <c r="B249" s="1" t="str" cm="1">
        <f t="array" ref="B249">IF(A249="","",_xlfn.IFS(COUNTIF($U:$U,A249)&gt;0,"All uploaded",COUNTIF($V:$V,A249)&gt;0,"Partly uploaded",COUNTIF($W:$X,A249)&gt;0,"Not uploaded",TRUE,"Not classified"))</f>
        <v>Partly uploaded</v>
      </c>
      <c r="C249" s="1" t="str" cm="1">
        <f t="array" ref="C249">_xlfn.SWITCH(TRIM(I249),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49" s="1" t="s">
        <v>0</v>
      </c>
      <c r="E249" s="1" t="s">
        <v>4</v>
      </c>
      <c r="F249" s="1" t="str" cm="1">
        <f t="array" ref="F249">_xlfn.LET(
_xlpm.status,UPPER(TRIM(B249&amp;"")),
_xlpm.risk,UPPER(TRIM(C249&amp;"")),
_xlpm.notify,UPPER(TRIM(D249&amp;"")),
_xlpm.form,UPPER(TRIM(E249&amp;"")),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49" s="1" t="str">
        <f t="shared" si="3"/>
        <v>Required</v>
      </c>
      <c r="H249" s="5" t="s">
        <v>1573</v>
      </c>
      <c r="I249" s="1" t="s">
        <v>25</v>
      </c>
      <c r="J249" s="1" t="s">
        <v>1572</v>
      </c>
      <c r="K249" s="1" t="s">
        <v>1557</v>
      </c>
      <c r="L249" s="1" t="s">
        <v>25</v>
      </c>
      <c r="M249" s="1" t="s">
        <v>28</v>
      </c>
      <c r="N249" s="1" t="s">
        <v>1571</v>
      </c>
      <c r="O249" s="1" t="s">
        <v>19</v>
      </c>
      <c r="P249" s="1" t="s">
        <v>18</v>
      </c>
      <c r="Q249" s="1" t="s">
        <v>20</v>
      </c>
      <c r="R249" s="1" t="s">
        <v>1184</v>
      </c>
      <c r="S249" s="1">
        <v>2</v>
      </c>
      <c r="T249" s="1" t="s">
        <v>1574</v>
      </c>
      <c r="V249" t="s">
        <v>3009</v>
      </c>
      <c r="W249" t="s">
        <v>2878</v>
      </c>
    </row>
    <row r="250" spans="1:23">
      <c r="A250" s="1" t="s">
        <v>1579</v>
      </c>
      <c r="B250" s="1" t="str" cm="1">
        <f t="array" ref="B250">IF(A250="","",_xlfn.IFS(COUNTIF($U:$U,A250)&gt;0,"All uploaded",COUNTIF($V:$V,A250)&gt;0,"Partly uploaded",COUNTIF($W:$X,A250)&gt;0,"Not uploaded",TRUE,"Not classified"))</f>
        <v>Partly uploaded</v>
      </c>
      <c r="C250" s="1" t="str" cm="1">
        <f t="array" ref="C250">_xlfn.SWITCH(TRIM(I250),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50" s="1" t="s">
        <v>1</v>
      </c>
      <c r="E250" s="1" t="s">
        <v>4</v>
      </c>
      <c r="F250" s="1" t="str" cm="1">
        <f t="array" ref="F250">_xlfn.LET(
_xlpm.status,UPPER(TRIM(B250&amp;"")),
_xlpm.risk,UPPER(TRIM(C250&amp;"")),
_xlpm.notify,UPPER(TRIM(D250&amp;"")),
_xlpm.form,UPPER(TRIM(E250&amp;"")),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50" s="1" t="str">
        <f t="shared" si="3"/>
        <v>Required</v>
      </c>
      <c r="H250" s="5" t="s">
        <v>1585</v>
      </c>
      <c r="I250" s="1" t="s">
        <v>25</v>
      </c>
      <c r="J250" s="1" t="s">
        <v>1584</v>
      </c>
      <c r="K250" s="1" t="s">
        <v>1557</v>
      </c>
      <c r="L250" s="1" t="s">
        <v>25</v>
      </c>
      <c r="M250" s="1" t="s">
        <v>77</v>
      </c>
      <c r="N250" s="1" t="s">
        <v>1580</v>
      </c>
      <c r="O250" s="1" t="s">
        <v>19</v>
      </c>
      <c r="P250" s="1" t="s">
        <v>18</v>
      </c>
      <c r="Q250" s="1" t="s">
        <v>20</v>
      </c>
      <c r="R250" s="1" t="s">
        <v>916</v>
      </c>
      <c r="S250" s="1">
        <v>1</v>
      </c>
      <c r="T250" s="1" t="s">
        <v>1586</v>
      </c>
      <c r="V250" t="s">
        <v>3020</v>
      </c>
      <c r="W250" t="s">
        <v>2874</v>
      </c>
    </row>
    <row r="251" spans="1:23">
      <c r="A251" s="1" t="s">
        <v>1577</v>
      </c>
      <c r="B251" s="1" t="str" cm="1">
        <f t="array" ref="B251">IF(A251="","",_xlfn.IFS(COUNTIF($U:$U,A251)&gt;0,"All uploaded",COUNTIF($V:$V,A251)&gt;0,"Partly uploaded",COUNTIF($W:$X,A251)&gt;0,"Not uploaded",TRUE,"Not classified"))</f>
        <v>Partly uploaded</v>
      </c>
      <c r="C251" s="1" t="str" cm="1">
        <f t="array" ref="C251">_xlfn.SWITCH(TRIM(I251),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51" s="1" t="s">
        <v>1</v>
      </c>
      <c r="E251" s="1" t="s">
        <v>4</v>
      </c>
      <c r="F251" s="1" t="str" cm="1">
        <f t="array" ref="F251">_xlfn.LET(
_xlpm.status,UPPER(TRIM(B251&amp;"")),
_xlpm.risk,UPPER(TRIM(C251&amp;"")),
_xlpm.notify,UPPER(TRIM(D251&amp;"")),
_xlpm.form,UPPER(TRIM(E251&amp;"")),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51" s="1" t="str">
        <f t="shared" si="3"/>
        <v>Required</v>
      </c>
      <c r="H251" s="5" t="s">
        <v>1582</v>
      </c>
      <c r="I251" s="1" t="s">
        <v>25</v>
      </c>
      <c r="J251" s="1" t="s">
        <v>1581</v>
      </c>
      <c r="K251" s="1" t="s">
        <v>1557</v>
      </c>
      <c r="L251" s="1" t="s">
        <v>25</v>
      </c>
      <c r="M251" s="1" t="s">
        <v>28</v>
      </c>
      <c r="N251" s="1" t="s">
        <v>1578</v>
      </c>
      <c r="O251" s="1" t="s">
        <v>19</v>
      </c>
      <c r="P251" s="1" t="s">
        <v>18</v>
      </c>
      <c r="Q251" s="1" t="s">
        <v>20</v>
      </c>
      <c r="R251" s="1" t="s">
        <v>1560</v>
      </c>
      <c r="S251" s="1">
        <v>2</v>
      </c>
      <c r="T251" s="1" t="s">
        <v>1583</v>
      </c>
      <c r="V251" t="s">
        <v>3026</v>
      </c>
      <c r="W251" t="s">
        <v>2861</v>
      </c>
    </row>
    <row r="252" spans="1:23">
      <c r="A252" s="1" t="s">
        <v>1553</v>
      </c>
      <c r="B252" s="1" t="str" cm="1">
        <f t="array" ref="B252">IF(A252="","",_xlfn.IFS(COUNTIF($U:$U,A252)&gt;0,"All uploaded",COUNTIF($V:$V,A252)&gt;0,"Partly uploaded",COUNTIF($W:$X,A252)&gt;0,"Not uploaded",TRUE,"Not classified"))</f>
        <v>All uploaded</v>
      </c>
      <c r="C252" s="1" t="str" cm="1">
        <f t="array" ref="C252">_xlfn.SWITCH(TRIM(I252),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52" s="1" t="s">
        <v>1</v>
      </c>
      <c r="E252" s="1" t="s">
        <v>2</v>
      </c>
      <c r="F252" s="1" t="str" cm="1">
        <f t="array" ref="F252">_xlfn.LET(
_xlpm.status,UPPER(TRIM(B252&amp;"")),
_xlpm.risk,UPPER(TRIM(C252&amp;"")),
_xlpm.notify,UPPER(TRIM(D252&amp;"")),
_xlpm.form,UPPER(TRIM(E252&amp;"")),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52" s="1" t="str">
        <f t="shared" si="3"/>
        <v>NA</v>
      </c>
      <c r="H252" s="5" t="s">
        <v>1555</v>
      </c>
      <c r="I252" s="1" t="s">
        <v>23</v>
      </c>
      <c r="J252" s="1" t="s">
        <v>1554</v>
      </c>
      <c r="K252" s="1" t="s">
        <v>1552</v>
      </c>
      <c r="L252" s="1" t="s">
        <v>23</v>
      </c>
      <c r="M252" s="1" t="s">
        <v>28</v>
      </c>
      <c r="N252" s="1" t="s">
        <v>117</v>
      </c>
      <c r="O252" s="1" t="s">
        <v>19</v>
      </c>
      <c r="P252" s="1" t="s">
        <v>18</v>
      </c>
      <c r="Q252" s="1" t="s">
        <v>20</v>
      </c>
      <c r="R252" s="1" t="s">
        <v>1184</v>
      </c>
      <c r="S252" s="1">
        <v>1</v>
      </c>
      <c r="T252" s="1" t="s">
        <v>1556</v>
      </c>
      <c r="V252" t="s">
        <v>3038</v>
      </c>
      <c r="W252" t="s">
        <v>2855</v>
      </c>
    </row>
    <row r="253" spans="1:23">
      <c r="A253" s="1" t="s">
        <v>1564</v>
      </c>
      <c r="B253" s="1" t="str" cm="1">
        <f t="array" ref="B253">IF(A253="","",_xlfn.IFS(COUNTIF($U:$U,A253)&gt;0,"All uploaded",COUNTIF($V:$V,A253)&gt;0,"Partly uploaded",COUNTIF($W:$X,A253)&gt;0,"Not uploaded",TRUE,"Not classified"))</f>
        <v>Partly uploaded</v>
      </c>
      <c r="C253" s="1" t="str" cm="1">
        <f t="array" ref="C253">_xlfn.SWITCH(TRIM(I253),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53" s="1" t="s">
        <v>1</v>
      </c>
      <c r="E253" s="1" t="s">
        <v>4</v>
      </c>
      <c r="F253" s="1" t="str" cm="1">
        <f t="array" ref="F253">_xlfn.LET(
_xlpm.status,UPPER(TRIM(B253&amp;"")),
_xlpm.risk,UPPER(TRIM(C253&amp;"")),
_xlpm.notify,UPPER(TRIM(D253&amp;"")),
_xlpm.form,UPPER(TRIM(E253&amp;"")),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53" s="1" t="str">
        <f t="shared" si="3"/>
        <v>Required</v>
      </c>
      <c r="H253" s="5" t="s">
        <v>1568</v>
      </c>
      <c r="I253" s="1" t="s">
        <v>27</v>
      </c>
      <c r="J253" s="1" t="s">
        <v>1567</v>
      </c>
      <c r="K253" s="1" t="s">
        <v>1557</v>
      </c>
      <c r="L253" s="1" t="s">
        <v>27</v>
      </c>
      <c r="M253" s="1" t="s">
        <v>28</v>
      </c>
      <c r="N253" s="1" t="s">
        <v>1565</v>
      </c>
      <c r="O253" s="1" t="s">
        <v>19</v>
      </c>
      <c r="P253" s="1" t="s">
        <v>18</v>
      </c>
      <c r="Q253" s="1" t="s">
        <v>20</v>
      </c>
      <c r="R253" s="1" t="s">
        <v>1566</v>
      </c>
      <c r="S253" s="1">
        <v>9</v>
      </c>
      <c r="T253" s="1" t="s">
        <v>1569</v>
      </c>
      <c r="V253" t="s">
        <v>3062</v>
      </c>
      <c r="W253" t="s">
        <v>2872</v>
      </c>
    </row>
    <row r="254" spans="1:23">
      <c r="A254" s="1" t="s">
        <v>1595</v>
      </c>
      <c r="B254" s="1" t="str" cm="1">
        <f t="array" ref="B254">IF(A254="","",_xlfn.IFS(COUNTIF($U:$U,A254)&gt;0,"All uploaded",COUNTIF($V:$V,A254)&gt;0,"Partly uploaded",COUNTIF($W:$X,A254)&gt;0,"Not uploaded",TRUE,"Not classified"))</f>
        <v>All uploaded</v>
      </c>
      <c r="C254" s="1" t="str" cm="1">
        <f t="array" ref="C254">_xlfn.SWITCH(TRIM(I254),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54" s="1" t="s">
        <v>1</v>
      </c>
      <c r="E254" s="1" t="s">
        <v>4</v>
      </c>
      <c r="F254" s="1" t="str" cm="1">
        <f t="array" ref="F254">_xlfn.LET(
_xlpm.status,UPPER(TRIM(B254&amp;"")),
_xlpm.risk,UPPER(TRIM(C254&amp;"")),
_xlpm.notify,UPPER(TRIM(D254&amp;"")),
_xlpm.form,UPPER(TRIM(E254&amp;"")),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54" s="1" t="str">
        <f t="shared" si="3"/>
        <v>Required</v>
      </c>
      <c r="H254" s="5" t="s">
        <v>1598</v>
      </c>
      <c r="I254" s="1" t="s">
        <v>25</v>
      </c>
      <c r="J254" s="1" t="s">
        <v>1597</v>
      </c>
      <c r="K254" s="1" t="s">
        <v>1594</v>
      </c>
      <c r="L254" s="1" t="s">
        <v>25</v>
      </c>
      <c r="M254" s="1" t="s">
        <v>77</v>
      </c>
      <c r="N254" s="1" t="s">
        <v>1596</v>
      </c>
      <c r="O254" s="1" t="s">
        <v>19</v>
      </c>
      <c r="P254" s="1" t="s">
        <v>18</v>
      </c>
      <c r="Q254" s="1" t="s">
        <v>20</v>
      </c>
      <c r="R254" s="1" t="s">
        <v>1512</v>
      </c>
      <c r="S254" s="1">
        <v>1</v>
      </c>
      <c r="T254" s="1" t="s">
        <v>730</v>
      </c>
      <c r="V254" t="s">
        <v>3069</v>
      </c>
      <c r="W254" t="s">
        <v>2876</v>
      </c>
    </row>
    <row r="255" spans="1:23">
      <c r="A255" s="1" t="s">
        <v>1595</v>
      </c>
      <c r="B255" s="1" t="str" cm="1">
        <f t="array" ref="B255">IF(A255="","",_xlfn.IFS(COUNTIF($U:$U,A255)&gt;0,"All uploaded",COUNTIF($V:$V,A255)&gt;0,"Partly uploaded",COUNTIF($W:$X,A255)&gt;0,"Not uploaded",TRUE,"Not classified"))</f>
        <v>All uploaded</v>
      </c>
      <c r="C255" s="1" t="str" cm="1">
        <f t="array" ref="C255">_xlfn.SWITCH(TRIM(I255),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55" s="1" t="s">
        <v>0</v>
      </c>
      <c r="E255" s="1" t="s">
        <v>4</v>
      </c>
      <c r="F255" s="1" t="str" cm="1">
        <f t="array" ref="F255">_xlfn.LET(
_xlpm.status,UPPER(TRIM(B255&amp;"")),
_xlpm.risk,UPPER(TRIM(C255&amp;"")),
_xlpm.notify,UPPER(TRIM(D255&amp;"")),
_xlpm.form,UPPER(TRIM(E255&amp;"")),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55" s="1" t="str">
        <f t="shared" si="3"/>
        <v>Required</v>
      </c>
      <c r="H255" s="5" t="s">
        <v>1598</v>
      </c>
      <c r="I255" s="1" t="s">
        <v>25</v>
      </c>
      <c r="J255" s="1" t="s">
        <v>1600</v>
      </c>
      <c r="K255" s="1" t="s">
        <v>1594</v>
      </c>
      <c r="L255" s="1" t="s">
        <v>25</v>
      </c>
      <c r="M255" s="1" t="s">
        <v>28</v>
      </c>
      <c r="N255" s="1" t="s">
        <v>1596</v>
      </c>
      <c r="O255" s="1" t="s">
        <v>19</v>
      </c>
      <c r="P255" s="1" t="s">
        <v>18</v>
      </c>
      <c r="Q255" s="1" t="s">
        <v>20</v>
      </c>
      <c r="R255" s="1" t="s">
        <v>1599</v>
      </c>
      <c r="S255" s="1">
        <v>1</v>
      </c>
      <c r="T255" s="1" t="s">
        <v>730</v>
      </c>
      <c r="V255" t="s">
        <v>3081</v>
      </c>
      <c r="W255" t="s">
        <v>2894</v>
      </c>
    </row>
    <row r="256" spans="1:23">
      <c r="A256" s="1" t="s">
        <v>1609</v>
      </c>
      <c r="B256" s="1" t="str" cm="1">
        <f t="array" ref="B256">IF(A256="","",_xlfn.IFS(COUNTIF($U:$U,A256)&gt;0,"All uploaded",COUNTIF($V:$V,A256)&gt;0,"Partly uploaded",COUNTIF($W:$X,A256)&gt;0,"Not uploaded",TRUE,"Not classified"))</f>
        <v>Partly uploaded</v>
      </c>
      <c r="C256" s="1" t="str" cm="1">
        <f t="array" ref="C256">_xlfn.SWITCH(TRIM(I256),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56" s="1" t="s">
        <v>1</v>
      </c>
      <c r="E256" s="1" t="s">
        <v>4</v>
      </c>
      <c r="F256" s="1" t="str" cm="1">
        <f t="array" ref="F256">_xlfn.LET(
_xlpm.status,UPPER(TRIM(B256&amp;"")),
_xlpm.risk,UPPER(TRIM(C256&amp;"")),
_xlpm.notify,UPPER(TRIM(D256&amp;"")),
_xlpm.form,UPPER(TRIM(E256&amp;"")),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56" s="1" t="str">
        <f t="shared" si="3"/>
        <v>NA</v>
      </c>
      <c r="H256" s="5" t="s">
        <v>1613</v>
      </c>
      <c r="I256" s="1" t="s">
        <v>22</v>
      </c>
      <c r="J256" s="1" t="s">
        <v>1612</v>
      </c>
      <c r="K256" s="1" t="s">
        <v>1608</v>
      </c>
      <c r="L256" s="1" t="s">
        <v>22</v>
      </c>
      <c r="M256" s="1" t="s">
        <v>77</v>
      </c>
      <c r="N256" s="1" t="s">
        <v>1610</v>
      </c>
      <c r="O256" s="1" t="s">
        <v>19</v>
      </c>
      <c r="P256" s="1" t="s">
        <v>18</v>
      </c>
      <c r="Q256" s="1" t="s">
        <v>20</v>
      </c>
      <c r="R256" s="1" t="s">
        <v>1611</v>
      </c>
      <c r="S256" s="1">
        <v>34</v>
      </c>
      <c r="T256" s="1" t="s">
        <v>1614</v>
      </c>
      <c r="V256" t="s">
        <v>3118</v>
      </c>
      <c r="W256" t="s">
        <v>2893</v>
      </c>
    </row>
    <row r="257" spans="1:23">
      <c r="A257" s="1" t="s">
        <v>1615</v>
      </c>
      <c r="B257" s="1" t="str" cm="1">
        <f t="array" ref="B257">IF(A257="","",_xlfn.IFS(COUNTIF($U:$U,A257)&gt;0,"All uploaded",COUNTIF($V:$V,A257)&gt;0,"Partly uploaded",COUNTIF($W:$X,A257)&gt;0,"Not uploaded",TRUE,"Not classified"))</f>
        <v>Partly uploaded</v>
      </c>
      <c r="C257" s="1" t="str" cm="1">
        <f t="array" ref="C257">_xlfn.SWITCH(TRIM(I257),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57" s="1" t="s">
        <v>1</v>
      </c>
      <c r="E257" s="1" t="s">
        <v>4</v>
      </c>
      <c r="F257" s="1" t="str" cm="1">
        <f t="array" ref="F257">_xlfn.LET(
_xlpm.status,UPPER(TRIM(B257&amp;"")),
_xlpm.risk,UPPER(TRIM(C257&amp;"")),
_xlpm.notify,UPPER(TRIM(D257&amp;"")),
_xlpm.form,UPPER(TRIM(E257&amp;"")),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57" s="1" t="str">
        <f t="shared" si="3"/>
        <v>Required</v>
      </c>
      <c r="H257" s="5" t="s">
        <v>1618</v>
      </c>
      <c r="I257" s="1" t="s">
        <v>25</v>
      </c>
      <c r="J257" s="1" t="s">
        <v>1617</v>
      </c>
      <c r="K257" s="1" t="s">
        <v>1608</v>
      </c>
      <c r="L257" s="1" t="s">
        <v>25</v>
      </c>
      <c r="M257" s="1" t="s">
        <v>77</v>
      </c>
      <c r="N257" s="1" t="s">
        <v>1616</v>
      </c>
      <c r="O257" s="1" t="s">
        <v>19</v>
      </c>
      <c r="P257" s="1" t="s">
        <v>18</v>
      </c>
      <c r="Q257" s="1" t="s">
        <v>20</v>
      </c>
      <c r="R257" s="1" t="s">
        <v>650</v>
      </c>
      <c r="S257" s="1">
        <v>1</v>
      </c>
      <c r="T257" s="1" t="s">
        <v>1619</v>
      </c>
      <c r="V257" t="s">
        <v>3141</v>
      </c>
      <c r="W257" t="s">
        <v>2909</v>
      </c>
    </row>
    <row r="258" spans="1:23">
      <c r="A258" s="1" t="s">
        <v>1621</v>
      </c>
      <c r="B258" s="1" t="str" cm="1">
        <f t="array" ref="B258">IF(A258="","",_xlfn.IFS(COUNTIF($U:$U,A258)&gt;0,"All uploaded",COUNTIF($V:$V,A258)&gt;0,"Partly uploaded",COUNTIF($W:$X,A258)&gt;0,"Not uploaded",TRUE,"Not classified"))</f>
        <v>Partly uploaded</v>
      </c>
      <c r="C258" s="1" t="str" cm="1">
        <f t="array" ref="C258">_xlfn.SWITCH(TRIM(I258),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58" s="1" t="s">
        <v>1</v>
      </c>
      <c r="E258" s="1" t="s">
        <v>2</v>
      </c>
      <c r="F258" s="1" t="str" cm="1">
        <f t="array" ref="F258">_xlfn.LET(
_xlpm.status,UPPER(TRIM(B258&amp;"")),
_xlpm.risk,UPPER(TRIM(C258&amp;"")),
_xlpm.notify,UPPER(TRIM(D258&amp;"")),
_xlpm.form,UPPER(TRIM(E258&amp;"")),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58" s="1" t="str">
        <f t="shared" si="3"/>
        <v>NA</v>
      </c>
      <c r="H258" s="5" t="s">
        <v>1623</v>
      </c>
      <c r="I258" s="1" t="s">
        <v>22</v>
      </c>
      <c r="J258" s="1" t="s">
        <v>1622</v>
      </c>
      <c r="K258" s="1" t="s">
        <v>1620</v>
      </c>
      <c r="L258" s="1" t="s">
        <v>22</v>
      </c>
      <c r="M258" s="1" t="s">
        <v>75</v>
      </c>
      <c r="N258" s="1" t="s">
        <v>51</v>
      </c>
      <c r="O258" s="1" t="s">
        <v>19</v>
      </c>
      <c r="P258" s="1" t="s">
        <v>18</v>
      </c>
      <c r="Q258" s="1" t="s">
        <v>20</v>
      </c>
      <c r="R258" s="1" t="s">
        <v>1560</v>
      </c>
      <c r="S258" s="1">
        <v>11</v>
      </c>
      <c r="T258" s="1" t="s">
        <v>1624</v>
      </c>
      <c r="V258" t="s">
        <v>3152</v>
      </c>
      <c r="W258" t="s">
        <v>2919</v>
      </c>
    </row>
    <row r="259" spans="1:23">
      <c r="A259" s="1" t="s">
        <v>1634</v>
      </c>
      <c r="B259" s="1" t="str" cm="1">
        <f t="array" ref="B259">IF(A259="","",_xlfn.IFS(COUNTIF($U:$U,A259)&gt;0,"All uploaded",COUNTIF($V:$V,A259)&gt;0,"Partly uploaded",COUNTIF($W:$X,A259)&gt;0,"Not uploaded",TRUE,"Not classified"))</f>
        <v>Partly uploaded</v>
      </c>
      <c r="C259" s="1" t="str" cm="1">
        <f t="array" ref="C259">_xlfn.SWITCH(TRIM(I259),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59" s="1" t="s">
        <v>1</v>
      </c>
      <c r="E259" s="1" t="s">
        <v>4</v>
      </c>
      <c r="F259" s="1" t="str" cm="1">
        <f t="array" ref="F259">_xlfn.LET(
_xlpm.status,UPPER(TRIM(B259&amp;"")),
_xlpm.risk,UPPER(TRIM(C259&amp;"")),
_xlpm.notify,UPPER(TRIM(D259&amp;"")),
_xlpm.form,UPPER(TRIM(E259&amp;"")),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59" s="1" t="str">
        <f t="shared" ref="G259:G322" si="4">IF(AND(UPPER(TRIM(C259&amp;""))="MAJOR",OR(TRIM(D259&amp;"")="",UPPER(TRIM(E259&amp;""))="REJECT")),"Required","NA")</f>
        <v>Required</v>
      </c>
      <c r="H259" s="5" t="s">
        <v>1640</v>
      </c>
      <c r="I259" s="1" t="s">
        <v>10</v>
      </c>
      <c r="J259" s="1" t="s">
        <v>1639</v>
      </c>
      <c r="K259" s="1" t="s">
        <v>1620</v>
      </c>
      <c r="L259" s="1" t="s">
        <v>10</v>
      </c>
      <c r="M259" s="1" t="s">
        <v>75</v>
      </c>
      <c r="N259" s="1" t="s">
        <v>1635</v>
      </c>
      <c r="O259" s="1" t="s">
        <v>19</v>
      </c>
      <c r="P259" s="1" t="s">
        <v>18</v>
      </c>
      <c r="Q259" s="1" t="s">
        <v>20</v>
      </c>
      <c r="R259" s="1" t="s">
        <v>1184</v>
      </c>
      <c r="S259" s="1">
        <v>4</v>
      </c>
      <c r="T259" s="1" t="s">
        <v>1641</v>
      </c>
      <c r="V259" t="s">
        <v>3148</v>
      </c>
      <c r="W259" t="s">
        <v>2923</v>
      </c>
    </row>
    <row r="260" spans="1:23">
      <c r="A260" s="1" t="s">
        <v>1625</v>
      </c>
      <c r="B260" s="1" t="str" cm="1">
        <f t="array" ref="B260">IF(A260="","",_xlfn.IFS(COUNTIF($U:$U,A260)&gt;0,"All uploaded",COUNTIF($V:$V,A260)&gt;0,"Partly uploaded",COUNTIF($W:$X,A260)&gt;0,"Not uploaded",TRUE,"Not classified"))</f>
        <v>All uploaded</v>
      </c>
      <c r="C260" s="1" t="str" cm="1">
        <f t="array" ref="C260">_xlfn.SWITCH(TRIM(I260),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60" s="1" t="s">
        <v>0</v>
      </c>
      <c r="E260" s="1" t="s">
        <v>2</v>
      </c>
      <c r="F260" s="1" t="str" cm="1">
        <f t="array" ref="F260">_xlfn.LET(
_xlpm.status,UPPER(TRIM(B260&amp;"")),
_xlpm.risk,UPPER(TRIM(C260&amp;"")),
_xlpm.notify,UPPER(TRIM(D260&amp;"")),
_xlpm.form,UPPER(TRIM(E260&amp;"")),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60" s="1" t="str">
        <f t="shared" si="4"/>
        <v>NA</v>
      </c>
      <c r="H260" s="5" t="s">
        <v>1629</v>
      </c>
      <c r="I260" s="1" t="s">
        <v>27</v>
      </c>
      <c r="J260" s="1" t="s">
        <v>1628</v>
      </c>
      <c r="K260" s="1" t="s">
        <v>1620</v>
      </c>
      <c r="L260" s="1" t="s">
        <v>27</v>
      </c>
      <c r="M260" s="1" t="s">
        <v>28</v>
      </c>
      <c r="N260" s="1" t="s">
        <v>1626</v>
      </c>
      <c r="O260" s="1" t="s">
        <v>19</v>
      </c>
      <c r="P260" s="1" t="s">
        <v>18</v>
      </c>
      <c r="Q260" s="1" t="s">
        <v>20</v>
      </c>
      <c r="R260" s="1" t="s">
        <v>1627</v>
      </c>
      <c r="S260" s="1">
        <v>1</v>
      </c>
      <c r="T260" s="1" t="s">
        <v>1630</v>
      </c>
      <c r="V260" t="s">
        <v>3125</v>
      </c>
      <c r="W260" t="s">
        <v>2935</v>
      </c>
    </row>
    <row r="261" spans="1:23">
      <c r="A261" s="1" t="s">
        <v>1625</v>
      </c>
      <c r="B261" s="1" t="str" cm="1">
        <f t="array" ref="B261">IF(A261="","",_xlfn.IFS(COUNTIF($U:$U,A261)&gt;0,"All uploaded",COUNTIF($V:$V,A261)&gt;0,"Partly uploaded",COUNTIF($W:$X,A261)&gt;0,"Not uploaded",TRUE,"Not classified"))</f>
        <v>All uploaded</v>
      </c>
      <c r="C261" s="1" t="str" cm="1">
        <f t="array" ref="C261">_xlfn.SWITCH(TRIM(I261),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61" s="1" t="s">
        <v>0</v>
      </c>
      <c r="E261" s="1" t="s">
        <v>2</v>
      </c>
      <c r="F261" s="1" t="str" cm="1">
        <f t="array" ref="F261">_xlfn.LET(
_xlpm.status,UPPER(TRIM(B261&amp;"")),
_xlpm.risk,UPPER(TRIM(C261&amp;"")),
_xlpm.notify,UPPER(TRIM(D261&amp;"")),
_xlpm.form,UPPER(TRIM(E261&amp;"")),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61" s="1" t="str">
        <f t="shared" si="4"/>
        <v>NA</v>
      </c>
      <c r="H261" s="5" t="s">
        <v>1637</v>
      </c>
      <c r="I261" s="1" t="s">
        <v>27</v>
      </c>
      <c r="J261" s="1" t="s">
        <v>1636</v>
      </c>
      <c r="K261" s="1" t="s">
        <v>1620</v>
      </c>
      <c r="L261" s="1" t="s">
        <v>27</v>
      </c>
      <c r="M261" s="1" t="s">
        <v>28</v>
      </c>
      <c r="N261" s="1" t="s">
        <v>1626</v>
      </c>
      <c r="O261" s="1" t="s">
        <v>19</v>
      </c>
      <c r="P261" s="1" t="s">
        <v>18</v>
      </c>
      <c r="Q261" s="1" t="s">
        <v>20</v>
      </c>
      <c r="R261" s="1" t="s">
        <v>1627</v>
      </c>
      <c r="S261" s="1">
        <v>2</v>
      </c>
      <c r="T261" s="1" t="s">
        <v>1638</v>
      </c>
      <c r="V261" t="s">
        <v>3133</v>
      </c>
      <c r="W261" t="s">
        <v>2948</v>
      </c>
    </row>
    <row r="262" spans="1:23">
      <c r="A262" s="1" t="s">
        <v>1625</v>
      </c>
      <c r="B262" s="1" t="str" cm="1">
        <f t="array" ref="B262">IF(A262="","",_xlfn.IFS(COUNTIF($U:$U,A262)&gt;0,"All uploaded",COUNTIF($V:$V,A262)&gt;0,"Partly uploaded",COUNTIF($W:$X,A262)&gt;0,"Not uploaded",TRUE,"Not classified"))</f>
        <v>All uploaded</v>
      </c>
      <c r="C262" s="1" t="str" cm="1">
        <f t="array" ref="C262">_xlfn.SWITCH(TRIM(I262),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62" s="1" t="s">
        <v>0</v>
      </c>
      <c r="E262" s="1" t="s">
        <v>4</v>
      </c>
      <c r="F262" s="1" t="str" cm="1">
        <f t="array" ref="F262">_xlfn.LET(
_xlpm.status,UPPER(TRIM(B262&amp;"")),
_xlpm.risk,UPPER(TRIM(C262&amp;"")),
_xlpm.notify,UPPER(TRIM(D262&amp;"")),
_xlpm.form,UPPER(TRIM(E262&amp;"")),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62" s="1" t="str">
        <f t="shared" si="4"/>
        <v>Required</v>
      </c>
      <c r="H262" s="5" t="s">
        <v>1643</v>
      </c>
      <c r="I262" s="1" t="s">
        <v>27</v>
      </c>
      <c r="J262" s="1" t="s">
        <v>1642</v>
      </c>
      <c r="K262" s="1" t="s">
        <v>1620</v>
      </c>
      <c r="L262" s="1" t="s">
        <v>27</v>
      </c>
      <c r="M262" s="1" t="s">
        <v>28</v>
      </c>
      <c r="N262" s="1" t="s">
        <v>1626</v>
      </c>
      <c r="O262" s="1" t="s">
        <v>19</v>
      </c>
      <c r="P262" s="1" t="s">
        <v>18</v>
      </c>
      <c r="Q262" s="1" t="s">
        <v>20</v>
      </c>
      <c r="R262" s="1" t="s">
        <v>92</v>
      </c>
      <c r="S262" s="1">
        <v>1</v>
      </c>
      <c r="T262" s="1" t="s">
        <v>1644</v>
      </c>
      <c r="V262" t="s">
        <v>3169</v>
      </c>
      <c r="W262" t="s">
        <v>2950</v>
      </c>
    </row>
    <row r="263" spans="1:23">
      <c r="A263" s="1" t="s">
        <v>1625</v>
      </c>
      <c r="B263" s="1" t="str" cm="1">
        <f t="array" ref="B263">IF(A263="","",_xlfn.IFS(COUNTIF($U:$U,A263)&gt;0,"All uploaded",COUNTIF($V:$V,A263)&gt;0,"Partly uploaded",COUNTIF($W:$X,A263)&gt;0,"Not uploaded",TRUE,"Not classified"))</f>
        <v>All uploaded</v>
      </c>
      <c r="C263" s="1" t="str" cm="1">
        <f t="array" ref="C263">_xlfn.SWITCH(TRIM(I263),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63" s="1" t="s">
        <v>0</v>
      </c>
      <c r="E263" s="1" t="s">
        <v>4</v>
      </c>
      <c r="F263" s="1" t="str" cm="1">
        <f t="array" ref="F263">_xlfn.LET(
_xlpm.status,UPPER(TRIM(B263&amp;"")),
_xlpm.risk,UPPER(TRIM(C263&amp;"")),
_xlpm.notify,UPPER(TRIM(D263&amp;"")),
_xlpm.form,UPPER(TRIM(E263&amp;"")),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63" s="1" t="str">
        <f t="shared" si="4"/>
        <v>Required</v>
      </c>
      <c r="H263" s="5" t="s">
        <v>1632</v>
      </c>
      <c r="I263" s="1" t="s">
        <v>27</v>
      </c>
      <c r="J263" s="1" t="s">
        <v>1631</v>
      </c>
      <c r="K263" s="1" t="s">
        <v>1620</v>
      </c>
      <c r="L263" s="1" t="s">
        <v>27</v>
      </c>
      <c r="M263" s="1" t="s">
        <v>28</v>
      </c>
      <c r="N263" s="1" t="s">
        <v>1626</v>
      </c>
      <c r="O263" s="1" t="s">
        <v>19</v>
      </c>
      <c r="P263" s="1" t="s">
        <v>18</v>
      </c>
      <c r="Q263" s="1" t="s">
        <v>20</v>
      </c>
      <c r="R263" s="1" t="s">
        <v>92</v>
      </c>
      <c r="S263" s="1">
        <v>2</v>
      </c>
      <c r="T263" s="1" t="s">
        <v>1633</v>
      </c>
      <c r="V263" t="s">
        <v>3163</v>
      </c>
      <c r="W263" t="s">
        <v>2958</v>
      </c>
    </row>
    <row r="264" spans="1:23">
      <c r="A264" s="1" t="s">
        <v>1688</v>
      </c>
      <c r="B264" s="1" t="str" cm="1">
        <f t="array" ref="B264">IF(A264="","",_xlfn.IFS(COUNTIF($U:$U,A264)&gt;0,"All uploaded",COUNTIF($V:$V,A264)&gt;0,"Partly uploaded",COUNTIF($W:$X,A264)&gt;0,"Not uploaded",TRUE,"Not classified"))</f>
        <v>Partly uploaded</v>
      </c>
      <c r="C264" s="1" t="str" cm="1">
        <f t="array" ref="C264">_xlfn.SWITCH(TRIM(I264),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64" s="1" t="s">
        <v>1</v>
      </c>
      <c r="E264" s="1" t="s">
        <v>2</v>
      </c>
      <c r="F264" s="1" t="str" cm="1">
        <f t="array" ref="F264">_xlfn.LET(
_xlpm.status,UPPER(TRIM(B264&amp;"")),
_xlpm.risk,UPPER(TRIM(C264&amp;"")),
_xlpm.notify,UPPER(TRIM(D264&amp;"")),
_xlpm.form,UPPER(TRIM(E264&amp;"")),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64" s="1" t="str">
        <f t="shared" si="4"/>
        <v>NA</v>
      </c>
      <c r="H264" s="5" t="s">
        <v>1692</v>
      </c>
      <c r="I264" s="1" t="s">
        <v>35</v>
      </c>
      <c r="J264" s="1" t="s">
        <v>1691</v>
      </c>
      <c r="K264" s="1" t="s">
        <v>1683</v>
      </c>
      <c r="L264" s="1" t="s">
        <v>35</v>
      </c>
      <c r="M264" s="1" t="s">
        <v>77</v>
      </c>
      <c r="N264" s="1" t="s">
        <v>36</v>
      </c>
      <c r="O264" s="1" t="s">
        <v>19</v>
      </c>
      <c r="P264" s="1" t="s">
        <v>18</v>
      </c>
      <c r="Q264" s="1" t="s">
        <v>20</v>
      </c>
      <c r="R264" s="1" t="s">
        <v>1647</v>
      </c>
      <c r="S264" s="1">
        <v>1</v>
      </c>
      <c r="T264" s="1" t="s">
        <v>1693</v>
      </c>
      <c r="V264" t="s">
        <v>3193</v>
      </c>
      <c r="W264" t="s">
        <v>2964</v>
      </c>
    </row>
    <row r="265" spans="1:23">
      <c r="A265" s="1" t="s">
        <v>1652</v>
      </c>
      <c r="B265" s="1" t="str" cm="1">
        <f t="array" ref="B265">IF(A265="","",_xlfn.IFS(COUNTIF($U:$U,A265)&gt;0,"All uploaded",COUNTIF($V:$V,A265)&gt;0,"Partly uploaded",COUNTIF($W:$X,A265)&gt;0,"Not uploaded",TRUE,"Not classified"))</f>
        <v>Partly uploaded</v>
      </c>
      <c r="C265" s="1" t="str" cm="1">
        <f t="array" ref="C265">_xlfn.SWITCH(TRIM(I265),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65" s="1" t="s">
        <v>1</v>
      </c>
      <c r="E265" s="1" t="s">
        <v>2</v>
      </c>
      <c r="F265" s="1" t="str" cm="1">
        <f t="array" ref="F265">_xlfn.LET(
_xlpm.status,UPPER(TRIM(B265&amp;"")),
_xlpm.risk,UPPER(TRIM(C265&amp;"")),
_xlpm.notify,UPPER(TRIM(D265&amp;"")),
_xlpm.form,UPPER(TRIM(E265&amp;"")),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65" s="1" t="str">
        <f t="shared" si="4"/>
        <v>NA</v>
      </c>
      <c r="H265" s="5" t="s">
        <v>1663</v>
      </c>
      <c r="I265" s="1" t="s">
        <v>27</v>
      </c>
      <c r="J265" s="1" t="s">
        <v>1662</v>
      </c>
      <c r="K265" s="1" t="s">
        <v>1645</v>
      </c>
      <c r="L265" s="1" t="s">
        <v>27</v>
      </c>
      <c r="M265" s="1" t="s">
        <v>28</v>
      </c>
      <c r="N265" s="1" t="s">
        <v>1282</v>
      </c>
      <c r="O265" s="1" t="s">
        <v>19</v>
      </c>
      <c r="P265" s="1" t="s">
        <v>18</v>
      </c>
      <c r="Q265" s="1" t="s">
        <v>20</v>
      </c>
      <c r="R265" s="1" t="s">
        <v>133</v>
      </c>
      <c r="S265" s="1">
        <v>1</v>
      </c>
      <c r="T265" s="1" t="s">
        <v>1664</v>
      </c>
      <c r="V265" t="s">
        <v>3201</v>
      </c>
      <c r="W265" t="s">
        <v>2961</v>
      </c>
    </row>
    <row r="266" spans="1:23">
      <c r="A266" s="1" t="s">
        <v>1653</v>
      </c>
      <c r="B266" s="1" t="str" cm="1">
        <f t="array" ref="B266">IF(A266="","",_xlfn.IFS(COUNTIF($U:$U,A266)&gt;0,"All uploaded",COUNTIF($V:$V,A266)&gt;0,"Partly uploaded",COUNTIF($W:$X,A266)&gt;0,"Not uploaded",TRUE,"Not classified"))</f>
        <v>Partly uploaded</v>
      </c>
      <c r="C266" s="1" t="str" cm="1">
        <f t="array" ref="C266">_xlfn.SWITCH(TRIM(I266),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66" s="1" t="s">
        <v>1</v>
      </c>
      <c r="E266" s="1" t="s">
        <v>4</v>
      </c>
      <c r="F266" s="1" t="str" cm="1">
        <f t="array" ref="F266">_xlfn.LET(
_xlpm.status,UPPER(TRIM(B266&amp;"")),
_xlpm.risk,UPPER(TRIM(C266&amp;"")),
_xlpm.notify,UPPER(TRIM(D266&amp;"")),
_xlpm.form,UPPER(TRIM(E266&amp;"")),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66" s="1" t="str">
        <f t="shared" si="4"/>
        <v>Required</v>
      </c>
      <c r="H266" s="5" t="s">
        <v>1656</v>
      </c>
      <c r="I266" s="1" t="s">
        <v>25</v>
      </c>
      <c r="J266" s="1" t="s">
        <v>1655</v>
      </c>
      <c r="K266" s="1" t="s">
        <v>1645</v>
      </c>
      <c r="L266" s="1" t="s">
        <v>25</v>
      </c>
      <c r="M266" s="1" t="s">
        <v>75</v>
      </c>
      <c r="N266" s="1" t="s">
        <v>1333</v>
      </c>
      <c r="O266" s="1" t="s">
        <v>19</v>
      </c>
      <c r="P266" s="1" t="s">
        <v>18</v>
      </c>
      <c r="Q266" s="1" t="s">
        <v>20</v>
      </c>
      <c r="R266" s="1" t="s">
        <v>1654</v>
      </c>
      <c r="S266" s="1">
        <v>2</v>
      </c>
      <c r="T266" s="1" t="s">
        <v>1657</v>
      </c>
      <c r="V266" t="s">
        <v>3220</v>
      </c>
      <c r="W266" t="s">
        <v>2962</v>
      </c>
    </row>
    <row r="267" spans="1:23">
      <c r="A267" s="1" t="s">
        <v>1684</v>
      </c>
      <c r="B267" s="1" t="str" cm="1">
        <f t="array" ref="B267">IF(A267="","",_xlfn.IFS(COUNTIF($U:$U,A267)&gt;0,"All uploaded",COUNTIF($V:$V,A267)&gt;0,"Partly uploaded",COUNTIF($W:$X,A267)&gt;0,"Not uploaded",TRUE,"Not classified"))</f>
        <v>Partly uploaded</v>
      </c>
      <c r="C267" s="1" t="str" cm="1">
        <f t="array" ref="C267">_xlfn.SWITCH(TRIM(I267),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67" s="1" t="s">
        <v>1</v>
      </c>
      <c r="E267" s="1" t="s">
        <v>2</v>
      </c>
      <c r="F267" s="1" t="str" cm="1">
        <f t="array" ref="F267">_xlfn.LET(
_xlpm.status,UPPER(TRIM(B267&amp;"")),
_xlpm.risk,UPPER(TRIM(C267&amp;"")),
_xlpm.notify,UPPER(TRIM(D267&amp;"")),
_xlpm.form,UPPER(TRIM(E267&amp;"")),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67" s="1" t="str">
        <f t="shared" si="4"/>
        <v>NA</v>
      </c>
      <c r="H267" s="5" t="s">
        <v>1686</v>
      </c>
      <c r="I267" s="1" t="s">
        <v>50</v>
      </c>
      <c r="J267" s="1" t="s">
        <v>1685</v>
      </c>
      <c r="K267" s="1" t="s">
        <v>1683</v>
      </c>
      <c r="L267" s="1" t="s">
        <v>50</v>
      </c>
      <c r="M267" s="1" t="s">
        <v>77</v>
      </c>
      <c r="N267" s="1" t="s">
        <v>51</v>
      </c>
      <c r="O267" s="1" t="s">
        <v>19</v>
      </c>
      <c r="P267" s="1" t="s">
        <v>18</v>
      </c>
      <c r="Q267" s="1" t="s">
        <v>20</v>
      </c>
      <c r="R267" s="1" t="s">
        <v>1654</v>
      </c>
      <c r="S267" s="1">
        <v>21</v>
      </c>
      <c r="T267" s="1" t="s">
        <v>1687</v>
      </c>
      <c r="V267" t="s">
        <v>3229</v>
      </c>
      <c r="W267" t="s">
        <v>3006</v>
      </c>
    </row>
    <row r="268" spans="1:23">
      <c r="A268" s="1" t="s">
        <v>1651</v>
      </c>
      <c r="B268" s="1" t="str" cm="1">
        <f t="array" ref="B268">IF(A268="","",_xlfn.IFS(COUNTIF($U:$U,A268)&gt;0,"All uploaded",COUNTIF($V:$V,A268)&gt;0,"Partly uploaded",COUNTIF($W:$X,A268)&gt;0,"Not uploaded",TRUE,"Not classified"))</f>
        <v>Partly uploaded</v>
      </c>
      <c r="C268" s="1" t="str" cm="1">
        <f t="array" ref="C268">_xlfn.SWITCH(TRIM(I268),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68" s="1" t="s">
        <v>1</v>
      </c>
      <c r="E268" s="1" t="s">
        <v>4</v>
      </c>
      <c r="F268" s="1" t="str" cm="1">
        <f t="array" ref="F268">_xlfn.LET(
_xlpm.status,UPPER(TRIM(B268&amp;"")),
_xlpm.risk,UPPER(TRIM(C268&amp;"")),
_xlpm.notify,UPPER(TRIM(D268&amp;"")),
_xlpm.form,UPPER(TRIM(E268&amp;"")),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68" s="1" t="str">
        <f t="shared" si="4"/>
        <v>Required</v>
      </c>
      <c r="H268" s="5" t="s">
        <v>1660</v>
      </c>
      <c r="I268" s="1" t="s">
        <v>27</v>
      </c>
      <c r="J268" s="1" t="s">
        <v>1659</v>
      </c>
      <c r="K268" s="1" t="s">
        <v>1645</v>
      </c>
      <c r="L268" s="1" t="s">
        <v>27</v>
      </c>
      <c r="M268" s="1" t="s">
        <v>28</v>
      </c>
      <c r="N268" s="1" t="s">
        <v>1255</v>
      </c>
      <c r="O268" s="1" t="s">
        <v>19</v>
      </c>
      <c r="P268" s="1" t="s">
        <v>18</v>
      </c>
      <c r="Q268" s="1" t="s">
        <v>20</v>
      </c>
      <c r="R268" s="1" t="s">
        <v>1658</v>
      </c>
      <c r="S268" s="1">
        <v>3</v>
      </c>
      <c r="T268" s="1" t="s">
        <v>1661</v>
      </c>
      <c r="V268" t="s">
        <v>3254</v>
      </c>
      <c r="W268" t="s">
        <v>3003</v>
      </c>
    </row>
    <row r="269" spans="1:23">
      <c r="A269" s="1" t="s">
        <v>1646</v>
      </c>
      <c r="B269" s="1" t="str" cm="1">
        <f t="array" ref="B269">IF(A269="","",_xlfn.IFS(COUNTIF($U:$U,A269)&gt;0,"All uploaded",COUNTIF($V:$V,A269)&gt;0,"Partly uploaded",COUNTIF($W:$X,A269)&gt;0,"Not uploaded",TRUE,"Not classified"))</f>
        <v>Partly uploaded</v>
      </c>
      <c r="C269" s="1" t="str" cm="1">
        <f t="array" ref="C269">_xlfn.SWITCH(TRIM(I269),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69" s="1" t="s">
        <v>1</v>
      </c>
      <c r="E269" s="1" t="s">
        <v>2</v>
      </c>
      <c r="F269" s="1" t="str" cm="1">
        <f t="array" ref="F269">_xlfn.LET(
_xlpm.status,UPPER(TRIM(B269&amp;"")),
_xlpm.risk,UPPER(TRIM(C269&amp;"")),
_xlpm.notify,UPPER(TRIM(D269&amp;"")),
_xlpm.form,UPPER(TRIM(E269&amp;"")),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69" s="1" t="str">
        <f t="shared" si="4"/>
        <v>NA</v>
      </c>
      <c r="H269" s="5" t="s">
        <v>1649</v>
      </c>
      <c r="I269" s="1" t="s">
        <v>10</v>
      </c>
      <c r="J269" s="1" t="s">
        <v>1648</v>
      </c>
      <c r="K269" s="1" t="s">
        <v>1645</v>
      </c>
      <c r="L269" s="1" t="s">
        <v>10</v>
      </c>
      <c r="M269" s="1" t="s">
        <v>75</v>
      </c>
      <c r="N269" s="1" t="s">
        <v>1213</v>
      </c>
      <c r="O269" s="1" t="s">
        <v>19</v>
      </c>
      <c r="P269" s="1" t="s">
        <v>18</v>
      </c>
      <c r="Q269" s="1" t="s">
        <v>20</v>
      </c>
      <c r="R269" s="1" t="s">
        <v>1647</v>
      </c>
      <c r="S269" s="1">
        <v>20</v>
      </c>
      <c r="T269" s="1" t="s">
        <v>1650</v>
      </c>
      <c r="V269" t="s">
        <v>3280</v>
      </c>
      <c r="W269" t="s">
        <v>3044</v>
      </c>
    </row>
    <row r="270" spans="1:23">
      <c r="A270" s="1" t="s">
        <v>1666</v>
      </c>
      <c r="B270" s="1" t="str" cm="1">
        <f t="array" ref="B270">IF(A270="","",_xlfn.IFS(COUNTIF($U:$U,A270)&gt;0,"All uploaded",COUNTIF($V:$V,A270)&gt;0,"Partly uploaded",COUNTIF($W:$X,A270)&gt;0,"Not uploaded",TRUE,"Not classified"))</f>
        <v>Partly uploaded</v>
      </c>
      <c r="C270" s="1" t="str" cm="1">
        <f t="array" ref="C270">_xlfn.SWITCH(TRIM(I270),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70" s="1" t="s">
        <v>1</v>
      </c>
      <c r="E270" s="1" t="s">
        <v>2</v>
      </c>
      <c r="F270" s="1" t="str" cm="1">
        <f t="array" ref="F270">_xlfn.LET(
_xlpm.status,UPPER(TRIM(B270&amp;"")),
_xlpm.risk,UPPER(TRIM(C270&amp;"")),
_xlpm.notify,UPPER(TRIM(D270&amp;"")),
_xlpm.form,UPPER(TRIM(E270&amp;"")),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70" s="1" t="str">
        <f t="shared" si="4"/>
        <v>NA</v>
      </c>
      <c r="H270" s="5" t="s">
        <v>1668</v>
      </c>
      <c r="I270" s="1" t="s">
        <v>22</v>
      </c>
      <c r="J270" s="1" t="s">
        <v>1667</v>
      </c>
      <c r="K270" s="1" t="s">
        <v>1665</v>
      </c>
      <c r="L270" s="1" t="s">
        <v>22</v>
      </c>
      <c r="M270" s="1" t="s">
        <v>77</v>
      </c>
      <c r="N270" s="1" t="s">
        <v>853</v>
      </c>
      <c r="O270" s="1" t="s">
        <v>19</v>
      </c>
      <c r="P270" s="1" t="s">
        <v>18</v>
      </c>
      <c r="Q270" s="1" t="s">
        <v>20</v>
      </c>
      <c r="R270" s="1" t="s">
        <v>1560</v>
      </c>
      <c r="S270" s="1">
        <v>9</v>
      </c>
      <c r="T270" s="1" t="s">
        <v>1669</v>
      </c>
      <c r="V270" t="s">
        <v>3310</v>
      </c>
      <c r="W270" t="s">
        <v>3047</v>
      </c>
    </row>
    <row r="271" spans="1:23">
      <c r="A271" s="1" t="s">
        <v>1678</v>
      </c>
      <c r="B271" s="1" t="str" cm="1">
        <f t="array" ref="B271">IF(A271="","",_xlfn.IFS(COUNTIF($U:$U,A271)&gt;0,"All uploaded",COUNTIF($V:$V,A271)&gt;0,"Partly uploaded",COUNTIF($W:$X,A271)&gt;0,"Not uploaded",TRUE,"Not classified"))</f>
        <v>All uploaded</v>
      </c>
      <c r="C271" s="1" t="str" cm="1">
        <f t="array" ref="C271">_xlfn.SWITCH(TRIM(I271),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71" s="1" t="s">
        <v>1</v>
      </c>
      <c r="E271" s="1" t="s">
        <v>4</v>
      </c>
      <c r="F271" s="1" t="str" cm="1">
        <f t="array" ref="F271">_xlfn.LET(
_xlpm.status,UPPER(TRIM(B271&amp;"")),
_xlpm.risk,UPPER(TRIM(C271&amp;"")),
_xlpm.notify,UPPER(TRIM(D271&amp;"")),
_xlpm.form,UPPER(TRIM(E271&amp;"")),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71" s="1" t="str">
        <f t="shared" si="4"/>
        <v>Required</v>
      </c>
      <c r="H271" s="5" t="s">
        <v>1681</v>
      </c>
      <c r="I271" s="1" t="s">
        <v>10</v>
      </c>
      <c r="J271" s="1" t="s">
        <v>1680</v>
      </c>
      <c r="K271" s="1" t="s">
        <v>1665</v>
      </c>
      <c r="L271" s="1" t="s">
        <v>10</v>
      </c>
      <c r="M271" s="1" t="s">
        <v>77</v>
      </c>
      <c r="N271" s="1" t="s">
        <v>1679</v>
      </c>
      <c r="O271" s="1" t="s">
        <v>19</v>
      </c>
      <c r="P271" s="1" t="s">
        <v>18</v>
      </c>
      <c r="Q271" s="1" t="s">
        <v>20</v>
      </c>
      <c r="R271" s="1" t="s">
        <v>1200</v>
      </c>
      <c r="S271" s="1">
        <v>1</v>
      </c>
      <c r="T271" s="1" t="s">
        <v>1682</v>
      </c>
      <c r="V271" t="s">
        <v>3306</v>
      </c>
      <c r="W271" t="s">
        <v>3056</v>
      </c>
    </row>
    <row r="272" spans="1:23">
      <c r="A272" s="1" t="s">
        <v>1670</v>
      </c>
      <c r="B272" s="1" t="str" cm="1">
        <f t="array" ref="B272">IF(A272="","",_xlfn.IFS(COUNTIF($U:$U,A272)&gt;0,"All uploaded",COUNTIF($V:$V,A272)&gt;0,"Partly uploaded",COUNTIF($W:$X,A272)&gt;0,"Not uploaded",TRUE,"Not classified"))</f>
        <v>All uploaded</v>
      </c>
      <c r="C272" s="1" t="str" cm="1">
        <f t="array" ref="C272">_xlfn.SWITCH(TRIM(I272),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72" s="1" t="s">
        <v>1</v>
      </c>
      <c r="E272" s="1" t="s">
        <v>2</v>
      </c>
      <c r="F272" s="1" t="str" cm="1">
        <f t="array" ref="F272">_xlfn.LET(
_xlpm.status,UPPER(TRIM(B272&amp;"")),
_xlpm.risk,UPPER(TRIM(C272&amp;"")),
_xlpm.notify,UPPER(TRIM(D272&amp;"")),
_xlpm.form,UPPER(TRIM(E272&amp;"")),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72" s="1" t="str">
        <f t="shared" si="4"/>
        <v>NA</v>
      </c>
      <c r="H272" s="5" t="s">
        <v>1673</v>
      </c>
      <c r="I272" s="1" t="s">
        <v>23</v>
      </c>
      <c r="J272" s="1" t="s">
        <v>1672</v>
      </c>
      <c r="K272" s="1" t="s">
        <v>1665</v>
      </c>
      <c r="L272" s="1" t="s">
        <v>23</v>
      </c>
      <c r="M272" s="1" t="s">
        <v>28</v>
      </c>
      <c r="N272" s="1" t="s">
        <v>1671</v>
      </c>
      <c r="O272" s="1" t="s">
        <v>19</v>
      </c>
      <c r="P272" s="1" t="s">
        <v>18</v>
      </c>
      <c r="Q272" s="1" t="s">
        <v>20</v>
      </c>
      <c r="R272" s="1" t="s">
        <v>1654</v>
      </c>
      <c r="S272" s="1">
        <v>2</v>
      </c>
      <c r="T272" s="1" t="s">
        <v>1674</v>
      </c>
      <c r="V272" t="s">
        <v>3325</v>
      </c>
      <c r="W272" t="s">
        <v>3059</v>
      </c>
    </row>
    <row r="273" spans="1:23">
      <c r="A273" s="1" t="s">
        <v>1670</v>
      </c>
      <c r="B273" s="1" t="str" cm="1">
        <f t="array" ref="B273">IF(A273="","",_xlfn.IFS(COUNTIF($U:$U,A273)&gt;0,"All uploaded",COUNTIF($V:$V,A273)&gt;0,"Partly uploaded",COUNTIF($W:$X,A273)&gt;0,"Not uploaded",TRUE,"Not classified"))</f>
        <v>All uploaded</v>
      </c>
      <c r="C273" s="1" t="str" cm="1">
        <f t="array" ref="C273">_xlfn.SWITCH(TRIM(I273),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73" s="1" t="s">
        <v>1</v>
      </c>
      <c r="E273" s="1" t="s">
        <v>2</v>
      </c>
      <c r="F273" s="1" t="str" cm="1">
        <f t="array" ref="F273">_xlfn.LET(
_xlpm.status,UPPER(TRIM(B273&amp;"")),
_xlpm.risk,UPPER(TRIM(C273&amp;"")),
_xlpm.notify,UPPER(TRIM(D273&amp;"")),
_xlpm.form,UPPER(TRIM(E273&amp;"")),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73" s="1" t="str">
        <f t="shared" si="4"/>
        <v>NA</v>
      </c>
      <c r="H273" s="5" t="s">
        <v>1676</v>
      </c>
      <c r="I273" s="1" t="s">
        <v>23</v>
      </c>
      <c r="J273" s="1" t="s">
        <v>1675</v>
      </c>
      <c r="K273" s="1" t="s">
        <v>1665</v>
      </c>
      <c r="L273" s="1" t="s">
        <v>23</v>
      </c>
      <c r="M273" s="1" t="s">
        <v>28</v>
      </c>
      <c r="N273" s="1" t="s">
        <v>1671</v>
      </c>
      <c r="O273" s="1" t="s">
        <v>19</v>
      </c>
      <c r="P273" s="1" t="s">
        <v>18</v>
      </c>
      <c r="Q273" s="1" t="s">
        <v>20</v>
      </c>
      <c r="R273" s="1" t="s">
        <v>1390</v>
      </c>
      <c r="S273" s="1">
        <v>3</v>
      </c>
      <c r="T273" s="1" t="s">
        <v>1677</v>
      </c>
      <c r="V273" t="s">
        <v>3334</v>
      </c>
      <c r="W273" t="s">
        <v>3085</v>
      </c>
    </row>
    <row r="274" spans="1:23">
      <c r="A274" s="1" t="s">
        <v>1699</v>
      </c>
      <c r="B274" s="1" t="str" cm="1">
        <f t="array" ref="B274">IF(A274="","",_xlfn.IFS(COUNTIF($U:$U,A274)&gt;0,"All uploaded",COUNTIF($V:$V,A274)&gt;0,"Partly uploaded",COUNTIF($W:$X,A274)&gt;0,"Not uploaded",TRUE,"Not classified"))</f>
        <v>All uploaded</v>
      </c>
      <c r="C274" s="1" t="str" cm="1">
        <f t="array" ref="C274">_xlfn.SWITCH(TRIM(I274),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74" s="1" t="s">
        <v>0</v>
      </c>
      <c r="E274" s="1" t="s">
        <v>4</v>
      </c>
      <c r="F274" s="1" t="str" cm="1">
        <f t="array" ref="F274">_xlfn.LET(
_xlpm.status,UPPER(TRIM(B274&amp;"")),
_xlpm.risk,UPPER(TRIM(C274&amp;"")),
_xlpm.notify,UPPER(TRIM(D274&amp;"")),
_xlpm.form,UPPER(TRIM(E274&amp;"")),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74" s="1" t="str">
        <f t="shared" si="4"/>
        <v>NA</v>
      </c>
      <c r="H274" s="5" t="s">
        <v>1702</v>
      </c>
      <c r="I274" s="1" t="s">
        <v>22</v>
      </c>
      <c r="J274" s="1" t="s">
        <v>1701</v>
      </c>
      <c r="K274" s="1" t="s">
        <v>1696</v>
      </c>
      <c r="L274" s="1" t="s">
        <v>22</v>
      </c>
      <c r="M274" s="1" t="s">
        <v>77</v>
      </c>
      <c r="N274" s="1" t="s">
        <v>1700</v>
      </c>
      <c r="O274" s="1" t="s">
        <v>19</v>
      </c>
      <c r="P274" s="1" t="s">
        <v>18</v>
      </c>
      <c r="Q274" s="1" t="s">
        <v>20</v>
      </c>
      <c r="R274" s="1" t="s">
        <v>203</v>
      </c>
      <c r="S274" s="1">
        <v>1</v>
      </c>
      <c r="T274" s="1" t="s">
        <v>1703</v>
      </c>
      <c r="V274" t="s">
        <v>3347</v>
      </c>
      <c r="W274" t="s">
        <v>3088</v>
      </c>
    </row>
    <row r="275" spans="1:23">
      <c r="A275" s="1" t="s">
        <v>1705</v>
      </c>
      <c r="B275" s="1" t="str" cm="1">
        <f t="array" ref="B275">IF(A275="","",_xlfn.IFS(COUNTIF($U:$U,A275)&gt;0,"All uploaded",COUNTIF($V:$V,A275)&gt;0,"Partly uploaded",COUNTIF($W:$X,A275)&gt;0,"Not uploaded",TRUE,"Not classified"))</f>
        <v>All uploaded</v>
      </c>
      <c r="C275" s="1" t="str" cm="1">
        <f t="array" ref="C275">_xlfn.SWITCH(TRIM(I275),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75" s="1" t="s">
        <v>0</v>
      </c>
      <c r="E275" s="1" t="s">
        <v>3</v>
      </c>
      <c r="F275" s="1" t="str" cm="1">
        <f t="array" ref="F275">_xlfn.LET(
_xlpm.status,UPPER(TRIM(B275&amp;"")),
_xlpm.risk,UPPER(TRIM(C275&amp;"")),
_xlpm.notify,UPPER(TRIM(D275&amp;"")),
_xlpm.form,UPPER(TRIM(E275&amp;"")),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275" s="1" t="str">
        <f t="shared" si="4"/>
        <v>NA</v>
      </c>
      <c r="H275" s="5" t="s">
        <v>1707</v>
      </c>
      <c r="I275" s="1" t="s">
        <v>33</v>
      </c>
      <c r="J275" s="1" t="s">
        <v>1706</v>
      </c>
      <c r="K275" s="1" t="s">
        <v>1704</v>
      </c>
      <c r="L275" s="1" t="s">
        <v>33</v>
      </c>
      <c r="M275" s="1" t="s">
        <v>77</v>
      </c>
      <c r="N275" s="1" t="s">
        <v>102</v>
      </c>
      <c r="O275" s="1" t="s">
        <v>19</v>
      </c>
      <c r="P275" s="1" t="s">
        <v>18</v>
      </c>
      <c r="Q275" s="1" t="s">
        <v>20</v>
      </c>
      <c r="R275" s="1" t="s">
        <v>501</v>
      </c>
      <c r="S275" s="1">
        <v>3</v>
      </c>
      <c r="T275" s="1" t="s">
        <v>877</v>
      </c>
      <c r="V275" t="s">
        <v>3380</v>
      </c>
      <c r="W275" t="s">
        <v>3098</v>
      </c>
    </row>
    <row r="276" spans="1:23">
      <c r="A276" s="1" t="s">
        <v>1713</v>
      </c>
      <c r="B276" s="1" t="str" cm="1">
        <f t="array" ref="B276">IF(A276="","",_xlfn.IFS(COUNTIF($U:$U,A276)&gt;0,"All uploaded",COUNTIF($V:$V,A276)&gt;0,"Partly uploaded",COUNTIF($W:$X,A276)&gt;0,"Not uploaded",TRUE,"Not classified"))</f>
        <v>Partly uploaded</v>
      </c>
      <c r="C276" s="1" t="str" cm="1">
        <f t="array" ref="C276">_xlfn.SWITCH(TRIM(I276),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76" s="1" t="s">
        <v>0</v>
      </c>
      <c r="E276" s="1" t="s">
        <v>4</v>
      </c>
      <c r="F276" s="1" t="str" cm="1">
        <f t="array" ref="F276">_xlfn.LET(
_xlpm.status,UPPER(TRIM(B276&amp;"")),
_xlpm.risk,UPPER(TRIM(C276&amp;"")),
_xlpm.notify,UPPER(TRIM(D276&amp;"")),
_xlpm.form,UPPER(TRIM(E276&amp;"")),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76" s="1" t="str">
        <f t="shared" si="4"/>
        <v>Required</v>
      </c>
      <c r="H276" s="5" t="s">
        <v>1716</v>
      </c>
      <c r="I276" s="1" t="s">
        <v>27</v>
      </c>
      <c r="J276" s="1" t="s">
        <v>1715</v>
      </c>
      <c r="K276" s="1" t="s">
        <v>1710</v>
      </c>
      <c r="L276" s="1" t="s">
        <v>27</v>
      </c>
      <c r="M276" s="1" t="s">
        <v>28</v>
      </c>
      <c r="N276" s="1" t="s">
        <v>1714</v>
      </c>
      <c r="O276" s="1" t="s">
        <v>19</v>
      </c>
      <c r="P276" s="1" t="s">
        <v>18</v>
      </c>
      <c r="Q276" s="1" t="s">
        <v>20</v>
      </c>
      <c r="R276" s="1" t="s">
        <v>86</v>
      </c>
      <c r="S276" s="1">
        <v>2</v>
      </c>
      <c r="T276" s="1" t="s">
        <v>1717</v>
      </c>
      <c r="V276" t="s">
        <v>3388</v>
      </c>
      <c r="W276" t="s">
        <v>3101</v>
      </c>
    </row>
    <row r="277" spans="1:23">
      <c r="A277" s="1" t="s">
        <v>1713</v>
      </c>
      <c r="B277" s="1" t="str" cm="1">
        <f t="array" ref="B277">IF(A277="","",_xlfn.IFS(COUNTIF($U:$U,A277)&gt;0,"All uploaded",COUNTIF($V:$V,A277)&gt;0,"Partly uploaded",COUNTIF($W:$X,A277)&gt;0,"Not uploaded",TRUE,"Not classified"))</f>
        <v>Partly uploaded</v>
      </c>
      <c r="C277" s="1" t="str" cm="1">
        <f t="array" ref="C277">_xlfn.SWITCH(TRIM(I277),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77" s="1" t="s">
        <v>0</v>
      </c>
      <c r="E277" s="1" t="s">
        <v>4</v>
      </c>
      <c r="F277" s="1" t="str" cm="1">
        <f t="array" ref="F277">_xlfn.LET(
_xlpm.status,UPPER(TRIM(B277&amp;"")),
_xlpm.risk,UPPER(TRIM(C277&amp;"")),
_xlpm.notify,UPPER(TRIM(D277&amp;"")),
_xlpm.form,UPPER(TRIM(E277&amp;"")),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77" s="1" t="str">
        <f t="shared" si="4"/>
        <v>Required</v>
      </c>
      <c r="H277" s="5" t="s">
        <v>3845</v>
      </c>
      <c r="I277" s="1" t="s">
        <v>27</v>
      </c>
      <c r="J277" s="1" t="s">
        <v>1719</v>
      </c>
      <c r="K277" s="1" t="s">
        <v>1710</v>
      </c>
      <c r="L277" s="1" t="s">
        <v>27</v>
      </c>
      <c r="M277" s="1" t="s">
        <v>28</v>
      </c>
      <c r="N277" s="1" t="s">
        <v>1714</v>
      </c>
      <c r="O277" s="1" t="s">
        <v>19</v>
      </c>
      <c r="P277" s="1" t="s">
        <v>18</v>
      </c>
      <c r="Q277" s="1" t="s">
        <v>20</v>
      </c>
      <c r="R277" s="1" t="s">
        <v>1718</v>
      </c>
      <c r="S277" s="1">
        <v>2</v>
      </c>
      <c r="T277" s="1" t="s">
        <v>1717</v>
      </c>
      <c r="V277" t="s">
        <v>3394</v>
      </c>
      <c r="W277" t="s">
        <v>3369</v>
      </c>
    </row>
    <row r="278" spans="1:23">
      <c r="A278" s="1" t="s">
        <v>1711</v>
      </c>
      <c r="B278" s="1" t="str" cm="1">
        <f t="array" ref="B278">IF(A278="","",_xlfn.IFS(COUNTIF($U:$U,A278)&gt;0,"All uploaded",COUNTIF($V:$V,A278)&gt;0,"Partly uploaded",COUNTIF($W:$X,A278)&gt;0,"Not uploaded",TRUE,"Not classified"))</f>
        <v>Partly uploaded</v>
      </c>
      <c r="C278" s="1" t="str" cm="1">
        <f t="array" ref="C278">_xlfn.SWITCH(TRIM(I278),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78" s="1" t="s">
        <v>1</v>
      </c>
      <c r="E278" s="1" t="s">
        <v>4</v>
      </c>
      <c r="F278" s="1" t="str" cm="1">
        <f t="array" ref="F278">_xlfn.LET(
_xlpm.status,UPPER(TRIM(B278&amp;"")),
_xlpm.risk,UPPER(TRIM(C278&amp;"")),
_xlpm.notify,UPPER(TRIM(D278&amp;"")),
_xlpm.form,UPPER(TRIM(E278&amp;"")),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78" s="1" t="str">
        <f t="shared" si="4"/>
        <v>Required</v>
      </c>
      <c r="H278" s="5" t="s">
        <v>1723</v>
      </c>
      <c r="I278" s="1" t="s">
        <v>25</v>
      </c>
      <c r="J278" s="1" t="s">
        <v>1722</v>
      </c>
      <c r="K278" s="1" t="s">
        <v>1710</v>
      </c>
      <c r="L278" s="1" t="s">
        <v>25</v>
      </c>
      <c r="M278" s="1" t="s">
        <v>28</v>
      </c>
      <c r="N278" s="1" t="s">
        <v>1712</v>
      </c>
      <c r="O278" s="1" t="s">
        <v>19</v>
      </c>
      <c r="P278" s="1" t="s">
        <v>18</v>
      </c>
      <c r="Q278" s="1" t="s">
        <v>20</v>
      </c>
      <c r="R278" s="1" t="s">
        <v>1654</v>
      </c>
      <c r="S278" s="1">
        <v>1</v>
      </c>
      <c r="T278" s="1" t="s">
        <v>1724</v>
      </c>
      <c r="V278" t="s">
        <v>3402</v>
      </c>
      <c r="W278" t="s">
        <v>3123</v>
      </c>
    </row>
    <row r="279" spans="1:23">
      <c r="A279" s="1" t="s">
        <v>1732</v>
      </c>
      <c r="B279" s="1" t="str" cm="1">
        <f t="array" ref="B279">IF(A279="","",_xlfn.IFS(COUNTIF($U:$U,A279)&gt;0,"All uploaded",COUNTIF($V:$V,A279)&gt;0,"Partly uploaded",COUNTIF($W:$X,A279)&gt;0,"Not uploaded",TRUE,"Not classified"))</f>
        <v>Partly uploaded</v>
      </c>
      <c r="C279" s="1" t="str" cm="1">
        <f t="array" ref="C279">_xlfn.SWITCH(TRIM(I279),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79" s="1" t="s">
        <v>1</v>
      </c>
      <c r="E279" s="1" t="s">
        <v>4</v>
      </c>
      <c r="F279" s="1" t="str" cm="1">
        <f t="array" ref="F279">_xlfn.LET(
_xlpm.status,UPPER(TRIM(B279&amp;"")),
_xlpm.risk,UPPER(TRIM(C279&amp;"")),
_xlpm.notify,UPPER(TRIM(D279&amp;"")),
_xlpm.form,UPPER(TRIM(E279&amp;"")),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79" s="1" t="str">
        <f t="shared" si="4"/>
        <v>Required</v>
      </c>
      <c r="H279" s="5" t="s">
        <v>1735</v>
      </c>
      <c r="I279" s="1" t="s">
        <v>10</v>
      </c>
      <c r="J279" s="1" t="s">
        <v>1734</v>
      </c>
      <c r="K279" s="1" t="s">
        <v>1731</v>
      </c>
      <c r="L279" s="1" t="s">
        <v>10</v>
      </c>
      <c r="M279" s="1" t="s">
        <v>75</v>
      </c>
      <c r="N279" s="1" t="s">
        <v>1733</v>
      </c>
      <c r="O279" s="1" t="s">
        <v>19</v>
      </c>
      <c r="P279" s="1" t="s">
        <v>18</v>
      </c>
      <c r="Q279" s="1" t="s">
        <v>20</v>
      </c>
      <c r="R279" s="1" t="s">
        <v>1184</v>
      </c>
      <c r="S279" s="1">
        <v>6</v>
      </c>
      <c r="T279" s="1" t="s">
        <v>1736</v>
      </c>
      <c r="V279" t="s">
        <v>3430</v>
      </c>
      <c r="W279" t="s">
        <v>3151</v>
      </c>
    </row>
    <row r="280" spans="1:23">
      <c r="A280" s="1" t="s">
        <v>1867</v>
      </c>
      <c r="B280" s="1" t="str" cm="1">
        <f t="array" ref="B280">IF(A280="","",_xlfn.IFS(COUNTIF($U:$U,A280)&gt;0,"All uploaded",COUNTIF($V:$V,A280)&gt;0,"Partly uploaded",COUNTIF($W:$X,A280)&gt;0,"Not uploaded",TRUE,"Not classified"))</f>
        <v>Partly uploaded</v>
      </c>
      <c r="C280" s="1" t="str" cm="1">
        <f t="array" ref="C280">_xlfn.SWITCH(TRIM(I280),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80" s="1" t="s">
        <v>0</v>
      </c>
      <c r="E280" s="1" t="s">
        <v>3</v>
      </c>
      <c r="F280" s="1" t="str" cm="1">
        <f t="array" ref="F280">_xlfn.LET(
_xlpm.status,UPPER(TRIM(B280&amp;"")),
_xlpm.risk,UPPER(TRIM(C280&amp;"")),
_xlpm.notify,UPPER(TRIM(D280&amp;"")),
_xlpm.form,UPPER(TRIM(E280&amp;"")),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280" s="1" t="str">
        <f t="shared" si="4"/>
        <v>NA</v>
      </c>
      <c r="H280" s="5" t="s">
        <v>1870</v>
      </c>
      <c r="I280" s="1" t="s">
        <v>22</v>
      </c>
      <c r="J280" s="1" t="s">
        <v>1869</v>
      </c>
      <c r="K280" s="1" t="s">
        <v>1862</v>
      </c>
      <c r="L280" s="1" t="s">
        <v>22</v>
      </c>
      <c r="M280" s="1" t="s">
        <v>77</v>
      </c>
      <c r="N280" s="1" t="s">
        <v>1868</v>
      </c>
      <c r="O280" s="1" t="s">
        <v>19</v>
      </c>
      <c r="P280" s="1" t="s">
        <v>18</v>
      </c>
      <c r="Q280" s="1" t="s">
        <v>20</v>
      </c>
      <c r="R280" s="1" t="s">
        <v>203</v>
      </c>
      <c r="S280" s="1">
        <v>2</v>
      </c>
      <c r="T280" s="1" t="s">
        <v>1871</v>
      </c>
      <c r="V280" t="s">
        <v>3444</v>
      </c>
      <c r="W280" t="s">
        <v>3150</v>
      </c>
    </row>
    <row r="281" spans="1:23">
      <c r="A281" s="1" t="s">
        <v>1737</v>
      </c>
      <c r="B281" s="1" t="str" cm="1">
        <f t="array" ref="B281">IF(A281="","",_xlfn.IFS(COUNTIF($U:$U,A281)&gt;0,"All uploaded",COUNTIF($V:$V,A281)&gt;0,"Partly uploaded",COUNTIF($W:$X,A281)&gt;0,"Not uploaded",TRUE,"Not classified"))</f>
        <v>Partly uploaded</v>
      </c>
      <c r="C281" s="1" t="str" cm="1">
        <f t="array" ref="C281">_xlfn.SWITCH(TRIM(I281),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81" s="1" t="s">
        <v>1</v>
      </c>
      <c r="E281" s="1" t="s">
        <v>4</v>
      </c>
      <c r="F281" s="1" t="str" cm="1">
        <f t="array" ref="F281">_xlfn.LET(
_xlpm.status,UPPER(TRIM(B281&amp;"")),
_xlpm.risk,UPPER(TRIM(C281&amp;"")),
_xlpm.notify,UPPER(TRIM(D281&amp;"")),
_xlpm.form,UPPER(TRIM(E281&amp;"")),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81" s="1" t="str">
        <f t="shared" si="4"/>
        <v>NA</v>
      </c>
      <c r="H281" s="5" t="s">
        <v>1739</v>
      </c>
      <c r="I281" s="1" t="s">
        <v>23</v>
      </c>
      <c r="J281" s="1" t="s">
        <v>1738</v>
      </c>
      <c r="K281" s="1" t="s">
        <v>1731</v>
      </c>
      <c r="L281" s="1" t="s">
        <v>23</v>
      </c>
      <c r="M281" s="1" t="s">
        <v>28</v>
      </c>
      <c r="N281" s="1" t="s">
        <v>1457</v>
      </c>
      <c r="O281" s="1" t="s">
        <v>19</v>
      </c>
      <c r="P281" s="1" t="s">
        <v>18</v>
      </c>
      <c r="Q281" s="1" t="s">
        <v>20</v>
      </c>
      <c r="R281" s="1" t="s">
        <v>1200</v>
      </c>
      <c r="S281" s="1">
        <v>2</v>
      </c>
      <c r="T281" s="1" t="s">
        <v>1740</v>
      </c>
      <c r="V281" t="s">
        <v>3451</v>
      </c>
      <c r="W281" t="s">
        <v>3174</v>
      </c>
    </row>
    <row r="282" spans="1:23">
      <c r="A282" s="1" t="s">
        <v>1737</v>
      </c>
      <c r="B282" s="1" t="str" cm="1">
        <f t="array" ref="B282">IF(A282="","",_xlfn.IFS(COUNTIF($U:$U,A282)&gt;0,"All uploaded",COUNTIF($V:$V,A282)&gt;0,"Partly uploaded",COUNTIF($W:$X,A282)&gt;0,"Not uploaded",TRUE,"Not classified"))</f>
        <v>Partly uploaded</v>
      </c>
      <c r="C282" s="1" t="str" cm="1">
        <f t="array" ref="C282">_xlfn.SWITCH(TRIM(I282),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82" s="1" t="s">
        <v>1</v>
      </c>
      <c r="E282" s="1" t="s">
        <v>4</v>
      </c>
      <c r="F282" s="1" t="str" cm="1">
        <f t="array" ref="F282">_xlfn.LET(
_xlpm.status,UPPER(TRIM(B282&amp;"")),
_xlpm.risk,UPPER(TRIM(C282&amp;"")),
_xlpm.notify,UPPER(TRIM(D282&amp;"")),
_xlpm.form,UPPER(TRIM(E282&amp;"")),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82" s="1" t="str">
        <f t="shared" si="4"/>
        <v>NA</v>
      </c>
      <c r="H282" s="5" t="s">
        <v>1743</v>
      </c>
      <c r="I282" s="1" t="s">
        <v>23</v>
      </c>
      <c r="J282" s="1" t="s">
        <v>1742</v>
      </c>
      <c r="K282" s="1" t="s">
        <v>1731</v>
      </c>
      <c r="L282" s="1" t="s">
        <v>23</v>
      </c>
      <c r="M282" s="1" t="s">
        <v>28</v>
      </c>
      <c r="N282" s="1" t="s">
        <v>1457</v>
      </c>
      <c r="O282" s="1" t="s">
        <v>19</v>
      </c>
      <c r="P282" s="1" t="s">
        <v>18</v>
      </c>
      <c r="Q282" s="1" t="s">
        <v>20</v>
      </c>
      <c r="R282" s="1" t="s">
        <v>1741</v>
      </c>
      <c r="S282" s="1">
        <v>2</v>
      </c>
      <c r="T282" s="1" t="s">
        <v>1740</v>
      </c>
      <c r="V282" t="s">
        <v>3452</v>
      </c>
      <c r="W282" t="s">
        <v>3182</v>
      </c>
    </row>
    <row r="283" spans="1:23">
      <c r="A283" s="1" t="s">
        <v>1737</v>
      </c>
      <c r="B283" s="1" t="str" cm="1">
        <f t="array" ref="B283">IF(A283="","",_xlfn.IFS(COUNTIF($U:$U,A283)&gt;0,"All uploaded",COUNTIF($V:$V,A283)&gt;0,"Partly uploaded",COUNTIF($W:$X,A283)&gt;0,"Not uploaded",TRUE,"Not classified"))</f>
        <v>Partly uploaded</v>
      </c>
      <c r="C283" s="1" t="str" cm="1">
        <f t="array" ref="C283">_xlfn.SWITCH(TRIM(I283),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83" s="1" t="s">
        <v>1</v>
      </c>
      <c r="E283" s="1" t="s">
        <v>4</v>
      </c>
      <c r="F283" s="1" t="str" cm="1">
        <f t="array" ref="F283">_xlfn.LET(
_xlpm.status,UPPER(TRIM(B283&amp;"")),
_xlpm.risk,UPPER(TRIM(C283&amp;"")),
_xlpm.notify,UPPER(TRIM(D283&amp;"")),
_xlpm.form,UPPER(TRIM(E283&amp;"")),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83" s="1" t="str">
        <f t="shared" si="4"/>
        <v>NA</v>
      </c>
      <c r="H283" s="5" t="s">
        <v>1745</v>
      </c>
      <c r="I283" s="1" t="s">
        <v>23</v>
      </c>
      <c r="J283" s="1" t="s">
        <v>1744</v>
      </c>
      <c r="K283" s="1" t="s">
        <v>1731</v>
      </c>
      <c r="L283" s="1" t="s">
        <v>23</v>
      </c>
      <c r="M283" s="1" t="s">
        <v>28</v>
      </c>
      <c r="N283" s="1" t="s">
        <v>1457</v>
      </c>
      <c r="O283" s="1" t="s">
        <v>19</v>
      </c>
      <c r="P283" s="1" t="s">
        <v>18</v>
      </c>
      <c r="Q283" s="1" t="s">
        <v>20</v>
      </c>
      <c r="R283" s="1" t="s">
        <v>1741</v>
      </c>
      <c r="S283" s="1">
        <v>2</v>
      </c>
      <c r="T283" s="1" t="s">
        <v>1740</v>
      </c>
      <c r="V283" t="s">
        <v>3465</v>
      </c>
      <c r="W283" t="s">
        <v>3212</v>
      </c>
    </row>
    <row r="284" spans="1:23">
      <c r="A284" s="1" t="s">
        <v>1750</v>
      </c>
      <c r="B284" s="1" t="str" cm="1">
        <f t="array" ref="B284">IF(A284="","",_xlfn.IFS(COUNTIF($U:$U,A284)&gt;0,"All uploaded",COUNTIF($V:$V,A284)&gt;0,"Partly uploaded",COUNTIF($W:$X,A284)&gt;0,"Not uploaded",TRUE,"Not classified"))</f>
        <v>All uploaded</v>
      </c>
      <c r="C284" s="1" t="str" cm="1">
        <f t="array" ref="C284">_xlfn.SWITCH(TRIM(I284),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84" s="1" t="s">
        <v>1</v>
      </c>
      <c r="E284" s="1" t="s">
        <v>4</v>
      </c>
      <c r="F284" s="1" t="str" cm="1">
        <f t="array" ref="F284">_xlfn.LET(
_xlpm.status,UPPER(TRIM(B284&amp;"")),
_xlpm.risk,UPPER(TRIM(C284&amp;"")),
_xlpm.notify,UPPER(TRIM(D284&amp;"")),
_xlpm.form,UPPER(TRIM(E284&amp;"")),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84" s="1" t="str">
        <f t="shared" si="4"/>
        <v>Required</v>
      </c>
      <c r="H284" s="5" t="s">
        <v>1765</v>
      </c>
      <c r="I284" s="1" t="s">
        <v>27</v>
      </c>
      <c r="J284" s="1" t="s">
        <v>1764</v>
      </c>
      <c r="K284" s="1" t="s">
        <v>1749</v>
      </c>
      <c r="L284" s="1" t="s">
        <v>27</v>
      </c>
      <c r="M284" s="1" t="s">
        <v>28</v>
      </c>
      <c r="N284" s="1" t="s">
        <v>1751</v>
      </c>
      <c r="O284" s="1" t="s">
        <v>19</v>
      </c>
      <c r="P284" s="1" t="s">
        <v>18</v>
      </c>
      <c r="Q284" s="1" t="s">
        <v>20</v>
      </c>
      <c r="R284" s="1" t="s">
        <v>1627</v>
      </c>
      <c r="S284" s="1">
        <v>1</v>
      </c>
      <c r="T284" s="1" t="s">
        <v>1766</v>
      </c>
      <c r="V284" t="s">
        <v>3478</v>
      </c>
      <c r="W284" t="s">
        <v>3191</v>
      </c>
    </row>
    <row r="285" spans="1:23">
      <c r="A285" s="1" t="s">
        <v>1750</v>
      </c>
      <c r="B285" s="1" t="str" cm="1">
        <f t="array" ref="B285">IF(A285="","",_xlfn.IFS(COUNTIF($U:$U,A285)&gt;0,"All uploaded",COUNTIF($V:$V,A285)&gt;0,"Partly uploaded",COUNTIF($W:$X,A285)&gt;0,"Not uploaded",TRUE,"Not classified"))</f>
        <v>All uploaded</v>
      </c>
      <c r="C285" s="1" t="str" cm="1">
        <f t="array" ref="C285">_xlfn.SWITCH(TRIM(I285),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85" s="1" t="s">
        <v>1</v>
      </c>
      <c r="E285" s="1" t="s">
        <v>4</v>
      </c>
      <c r="F285" s="1" t="str" cm="1">
        <f t="array" ref="F285">_xlfn.LET(
_xlpm.status,UPPER(TRIM(B285&amp;"")),
_xlpm.risk,UPPER(TRIM(C285&amp;"")),
_xlpm.notify,UPPER(TRIM(D285&amp;"")),
_xlpm.form,UPPER(TRIM(E285&amp;"")),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85" s="1" t="str">
        <f t="shared" si="4"/>
        <v>Required</v>
      </c>
      <c r="H285" s="5" t="s">
        <v>1758</v>
      </c>
      <c r="I285" s="1" t="s">
        <v>27</v>
      </c>
      <c r="J285" s="1" t="s">
        <v>1757</v>
      </c>
      <c r="K285" s="1" t="s">
        <v>1749</v>
      </c>
      <c r="L285" s="1" t="s">
        <v>27</v>
      </c>
      <c r="M285" s="1" t="s">
        <v>28</v>
      </c>
      <c r="N285" s="1" t="s">
        <v>1751</v>
      </c>
      <c r="O285" s="1" t="s">
        <v>19</v>
      </c>
      <c r="P285" s="1" t="s">
        <v>18</v>
      </c>
      <c r="Q285" s="1" t="s">
        <v>20</v>
      </c>
      <c r="R285" s="1" t="s">
        <v>1627</v>
      </c>
      <c r="S285" s="1">
        <v>2</v>
      </c>
      <c r="T285" s="1" t="s">
        <v>1759</v>
      </c>
      <c r="V285" t="s">
        <v>3489</v>
      </c>
      <c r="W285" t="s">
        <v>3225</v>
      </c>
    </row>
    <row r="286" spans="1:23">
      <c r="A286" s="1" t="s">
        <v>1750</v>
      </c>
      <c r="B286" s="1" t="str" cm="1">
        <f t="array" ref="B286">IF(A286="","",_xlfn.IFS(COUNTIF($U:$U,A286)&gt;0,"All uploaded",COUNTIF($V:$V,A286)&gt;0,"Partly uploaded",COUNTIF($W:$X,A286)&gt;0,"Not uploaded",TRUE,"Not classified"))</f>
        <v>All uploaded</v>
      </c>
      <c r="C286" s="1" t="str" cm="1">
        <f t="array" ref="C286">_xlfn.SWITCH(TRIM(I286),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86" s="1" t="s">
        <v>1</v>
      </c>
      <c r="E286" s="1" t="s">
        <v>4</v>
      </c>
      <c r="F286" s="1" t="str" cm="1">
        <f t="array" ref="F286">_xlfn.LET(
_xlpm.status,UPPER(TRIM(B286&amp;"")),
_xlpm.risk,UPPER(TRIM(C286&amp;"")),
_xlpm.notify,UPPER(TRIM(D286&amp;"")),
_xlpm.form,UPPER(TRIM(E286&amp;"")),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86" s="1" t="str">
        <f t="shared" si="4"/>
        <v>Required</v>
      </c>
      <c r="H286" s="5" t="s">
        <v>1753</v>
      </c>
      <c r="I286" s="1" t="s">
        <v>27</v>
      </c>
      <c r="J286" s="1" t="s">
        <v>1752</v>
      </c>
      <c r="K286" s="1" t="s">
        <v>1749</v>
      </c>
      <c r="L286" s="1" t="s">
        <v>27</v>
      </c>
      <c r="M286" s="1" t="s">
        <v>28</v>
      </c>
      <c r="N286" s="1" t="s">
        <v>1751</v>
      </c>
      <c r="O286" s="1" t="s">
        <v>19</v>
      </c>
      <c r="P286" s="1" t="s">
        <v>18</v>
      </c>
      <c r="Q286" s="1" t="s">
        <v>20</v>
      </c>
      <c r="R286" s="1" t="s">
        <v>1718</v>
      </c>
      <c r="S286" s="1">
        <v>3</v>
      </c>
      <c r="T286" s="1" t="s">
        <v>1754</v>
      </c>
      <c r="V286" t="s">
        <v>3499</v>
      </c>
      <c r="W286" t="s">
        <v>3199</v>
      </c>
    </row>
    <row r="287" spans="1:23">
      <c r="A287" s="1" t="s">
        <v>1750</v>
      </c>
      <c r="B287" s="1" t="str" cm="1">
        <f t="array" ref="B287">IF(A287="","",_xlfn.IFS(COUNTIF($U:$U,A287)&gt;0,"All uploaded",COUNTIF($V:$V,A287)&gt;0,"Partly uploaded",COUNTIF($W:$X,A287)&gt;0,"Not uploaded",TRUE,"Not classified"))</f>
        <v>All uploaded</v>
      </c>
      <c r="C287" s="1" t="str" cm="1">
        <f t="array" ref="C287">_xlfn.SWITCH(TRIM(I287),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87" s="1" t="s">
        <v>1</v>
      </c>
      <c r="E287" s="1" t="s">
        <v>4</v>
      </c>
      <c r="F287" s="1" t="str" cm="1">
        <f t="array" ref="F287">_xlfn.LET(
_xlpm.status,UPPER(TRIM(B287&amp;"")),
_xlpm.risk,UPPER(TRIM(C287&amp;"")),
_xlpm.notify,UPPER(TRIM(D287&amp;"")),
_xlpm.form,UPPER(TRIM(E287&amp;"")),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87" s="1" t="str">
        <f t="shared" si="4"/>
        <v>Required</v>
      </c>
      <c r="H287" s="5" t="s">
        <v>1756</v>
      </c>
      <c r="I287" s="1" t="s">
        <v>27</v>
      </c>
      <c r="J287" s="1" t="s">
        <v>1755</v>
      </c>
      <c r="K287" s="1" t="s">
        <v>1749</v>
      </c>
      <c r="L287" s="1" t="s">
        <v>27</v>
      </c>
      <c r="M287" s="1" t="s">
        <v>28</v>
      </c>
      <c r="N287" s="1" t="s">
        <v>1751</v>
      </c>
      <c r="O287" s="1" t="s">
        <v>19</v>
      </c>
      <c r="P287" s="1" t="s">
        <v>18</v>
      </c>
      <c r="Q287" s="1" t="s">
        <v>20</v>
      </c>
      <c r="R287" s="1" t="s">
        <v>1718</v>
      </c>
      <c r="S287" s="1">
        <v>3</v>
      </c>
      <c r="T287" s="1" t="s">
        <v>1754</v>
      </c>
      <c r="V287" t="s">
        <v>3494</v>
      </c>
      <c r="W287" t="s">
        <v>3238</v>
      </c>
    </row>
    <row r="288" spans="1:23">
      <c r="A288" s="1" t="s">
        <v>1768</v>
      </c>
      <c r="B288" s="1" t="str" cm="1">
        <f t="array" ref="B288">IF(A288="","",_xlfn.IFS(COUNTIF($U:$U,A288)&gt;0,"All uploaded",COUNTIF($V:$V,A288)&gt;0,"Partly uploaded",COUNTIF($W:$X,A288)&gt;0,"Not uploaded",TRUE,"Not classified"))</f>
        <v>All uploaded</v>
      </c>
      <c r="C288" s="1" t="str" cm="1">
        <f t="array" ref="C288">_xlfn.SWITCH(TRIM(I288),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88" s="1" t="s">
        <v>0</v>
      </c>
      <c r="E288" s="1" t="s">
        <v>4</v>
      </c>
      <c r="F288" s="1" t="str" cm="1">
        <f t="array" ref="F288">_xlfn.LET(
_xlpm.status,UPPER(TRIM(B288&amp;"")),
_xlpm.risk,UPPER(TRIM(C288&amp;"")),
_xlpm.notify,UPPER(TRIM(D288&amp;"")),
_xlpm.form,UPPER(TRIM(E288&amp;"")),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88" s="1" t="str">
        <f t="shared" si="4"/>
        <v>NA</v>
      </c>
      <c r="H288" s="5" t="s">
        <v>1771</v>
      </c>
      <c r="I288" s="1" t="s">
        <v>22</v>
      </c>
      <c r="J288" s="1" t="s">
        <v>1770</v>
      </c>
      <c r="K288" s="1" t="s">
        <v>1767</v>
      </c>
      <c r="L288" s="1" t="s">
        <v>22</v>
      </c>
      <c r="M288" s="1" t="s">
        <v>77</v>
      </c>
      <c r="N288" s="1" t="s">
        <v>1769</v>
      </c>
      <c r="O288" s="1" t="s">
        <v>19</v>
      </c>
      <c r="P288" s="1" t="s">
        <v>18</v>
      </c>
      <c r="Q288" s="1" t="s">
        <v>20</v>
      </c>
      <c r="R288" s="1" t="s">
        <v>203</v>
      </c>
      <c r="S288" s="1">
        <v>1</v>
      </c>
      <c r="T288" s="1" t="s">
        <v>1772</v>
      </c>
      <c r="V288" t="s">
        <v>3507</v>
      </c>
      <c r="W288" t="s">
        <v>3227</v>
      </c>
    </row>
    <row r="289" spans="1:23">
      <c r="A289" s="1" t="s">
        <v>1781</v>
      </c>
      <c r="B289" s="1" t="str" cm="1">
        <f t="array" ref="B289">IF(A289="","",_xlfn.IFS(COUNTIF($U:$U,A289)&gt;0,"All uploaded",COUNTIF($V:$V,A289)&gt;0,"Partly uploaded",COUNTIF($W:$X,A289)&gt;0,"Not uploaded",TRUE,"Not classified"))</f>
        <v>Partly uploaded</v>
      </c>
      <c r="C289" s="1" t="str" cm="1">
        <f t="array" ref="C289">_xlfn.SWITCH(TRIM(I289),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89" s="1" t="s">
        <v>1</v>
      </c>
      <c r="E289" s="1" t="s">
        <v>4</v>
      </c>
      <c r="F289" s="1" t="str" cm="1">
        <f t="array" ref="F289">_xlfn.LET(
_xlpm.status,UPPER(TRIM(B289&amp;"")),
_xlpm.risk,UPPER(TRIM(C289&amp;"")),
_xlpm.notify,UPPER(TRIM(D289&amp;"")),
_xlpm.form,UPPER(TRIM(E289&amp;"")),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89" s="1" t="str">
        <f t="shared" si="4"/>
        <v>Required</v>
      </c>
      <c r="H289" s="5" t="s">
        <v>1784</v>
      </c>
      <c r="I289" s="1" t="s">
        <v>25</v>
      </c>
      <c r="J289" s="1" t="s">
        <v>1783</v>
      </c>
      <c r="K289" s="1" t="s">
        <v>1780</v>
      </c>
      <c r="L289" s="1" t="s">
        <v>25</v>
      </c>
      <c r="M289" s="1" t="s">
        <v>28</v>
      </c>
      <c r="N289" s="1" t="s">
        <v>1782</v>
      </c>
      <c r="O289" s="1" t="s">
        <v>19</v>
      </c>
      <c r="P289" s="1" t="s">
        <v>18</v>
      </c>
      <c r="Q289" s="1" t="s">
        <v>20</v>
      </c>
      <c r="R289" s="1" t="s">
        <v>1654</v>
      </c>
      <c r="S289" s="1">
        <v>8</v>
      </c>
      <c r="T289" s="1" t="s">
        <v>1785</v>
      </c>
      <c r="V289" t="s">
        <v>3547</v>
      </c>
      <c r="W289" t="s">
        <v>3235</v>
      </c>
    </row>
    <row r="290" spans="1:23">
      <c r="A290" s="1" t="s">
        <v>1796</v>
      </c>
      <c r="B290" s="1" t="str" cm="1">
        <f t="array" ref="B290">IF(A290="","",_xlfn.IFS(COUNTIF($U:$U,A290)&gt;0,"All uploaded",COUNTIF($V:$V,A290)&gt;0,"Partly uploaded",COUNTIF($W:$X,A290)&gt;0,"Not uploaded",TRUE,"Not classified"))</f>
        <v>All uploaded</v>
      </c>
      <c r="C290" s="1" t="str" cm="1">
        <f t="array" ref="C290">_xlfn.SWITCH(TRIM(I290),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90" s="1" t="s">
        <v>1</v>
      </c>
      <c r="E290" s="1" t="s">
        <v>2</v>
      </c>
      <c r="F290" s="1" t="str" cm="1">
        <f t="array" ref="F290">_xlfn.LET(
_xlpm.status,UPPER(TRIM(B290&amp;"")),
_xlpm.risk,UPPER(TRIM(C290&amp;"")),
_xlpm.notify,UPPER(TRIM(D290&amp;"")),
_xlpm.form,UPPER(TRIM(E290&amp;"")),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290" s="1" t="str">
        <f t="shared" si="4"/>
        <v>NA</v>
      </c>
      <c r="H290" s="5" t="s">
        <v>1798</v>
      </c>
      <c r="I290" s="1" t="s">
        <v>25</v>
      </c>
      <c r="J290" s="1" t="s">
        <v>1797</v>
      </c>
      <c r="K290" s="1" t="s">
        <v>1788</v>
      </c>
      <c r="L290" s="1" t="s">
        <v>25</v>
      </c>
      <c r="M290" s="1" t="s">
        <v>28</v>
      </c>
      <c r="N290" s="1" t="s">
        <v>1492</v>
      </c>
      <c r="O290" s="1" t="s">
        <v>19</v>
      </c>
      <c r="P290" s="1" t="s">
        <v>18</v>
      </c>
      <c r="Q290" s="1" t="s">
        <v>20</v>
      </c>
      <c r="R290" s="1" t="s">
        <v>1718</v>
      </c>
      <c r="S290" s="1">
        <v>2</v>
      </c>
      <c r="T290" s="1" t="s">
        <v>1799</v>
      </c>
      <c r="V290" t="s">
        <v>3567</v>
      </c>
      <c r="W290" t="s">
        <v>3240</v>
      </c>
    </row>
    <row r="291" spans="1:23">
      <c r="A291" s="1" t="s">
        <v>1789</v>
      </c>
      <c r="B291" s="1" t="str" cm="1">
        <f t="array" ref="B291">IF(A291="","",_xlfn.IFS(COUNTIF($U:$U,A291)&gt;0,"All uploaded",COUNTIF($V:$V,A291)&gt;0,"Partly uploaded",COUNTIF($W:$X,A291)&gt;0,"Not uploaded",TRUE,"Not classified"))</f>
        <v>All uploaded</v>
      </c>
      <c r="C291" s="1" t="str" cm="1">
        <f t="array" ref="C291">_xlfn.SWITCH(TRIM(I291),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91" s="1" t="s">
        <v>1</v>
      </c>
      <c r="E291" s="1" t="s">
        <v>4</v>
      </c>
      <c r="F291" s="1" t="str" cm="1">
        <f t="array" ref="F291">_xlfn.LET(
_xlpm.status,UPPER(TRIM(B291&amp;"")),
_xlpm.risk,UPPER(TRIM(C291&amp;"")),
_xlpm.notify,UPPER(TRIM(D291&amp;"")),
_xlpm.form,UPPER(TRIM(E291&amp;"")),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91" s="1" t="str">
        <f t="shared" si="4"/>
        <v>Required</v>
      </c>
      <c r="H291" s="5" t="s">
        <v>1793</v>
      </c>
      <c r="I291" s="1" t="s">
        <v>25</v>
      </c>
      <c r="J291" s="1" t="s">
        <v>1792</v>
      </c>
      <c r="K291" s="1" t="s">
        <v>1788</v>
      </c>
      <c r="L291" s="1" t="s">
        <v>25</v>
      </c>
      <c r="M291" s="1" t="s">
        <v>28</v>
      </c>
      <c r="N291" s="1" t="s">
        <v>1790</v>
      </c>
      <c r="O291" s="1" t="s">
        <v>19</v>
      </c>
      <c r="P291" s="1" t="s">
        <v>18</v>
      </c>
      <c r="Q291" s="1" t="s">
        <v>20</v>
      </c>
      <c r="R291" s="1" t="s">
        <v>1791</v>
      </c>
      <c r="S291" s="1">
        <v>1</v>
      </c>
      <c r="T291" s="1" t="s">
        <v>1794</v>
      </c>
      <c r="V291" t="s">
        <v>3561</v>
      </c>
      <c r="W291" t="s">
        <v>3244</v>
      </c>
    </row>
    <row r="292" spans="1:23">
      <c r="A292" s="1" t="s">
        <v>2044</v>
      </c>
      <c r="B292" s="1" t="str" cm="1">
        <f t="array" ref="B292">IF(A292="","",_xlfn.IFS(COUNTIF($U:$U,A292)&gt;0,"All uploaded",COUNTIF($V:$V,A292)&gt;0,"Partly uploaded",COUNTIF($W:$X,A292)&gt;0,"Not uploaded",TRUE,"Not classified"))</f>
        <v>Partly uploaded</v>
      </c>
      <c r="C292" s="1" t="str" cm="1">
        <f t="array" ref="C292">_xlfn.SWITCH(TRIM(I292),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92" s="1" t="s">
        <v>0</v>
      </c>
      <c r="E292" s="1" t="s">
        <v>4</v>
      </c>
      <c r="F292" s="1" t="str" cm="1">
        <f t="array" ref="F292">_xlfn.LET(
_xlpm.status,UPPER(TRIM(B292&amp;"")),
_xlpm.risk,UPPER(TRIM(C292&amp;"")),
_xlpm.notify,UPPER(TRIM(D292&amp;"")),
_xlpm.form,UPPER(TRIM(E292&amp;"")),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92" s="1" t="str">
        <f t="shared" si="4"/>
        <v>NA</v>
      </c>
      <c r="H292" s="5" t="s">
        <v>2047</v>
      </c>
      <c r="I292" s="1" t="s">
        <v>22</v>
      </c>
      <c r="J292" s="1" t="s">
        <v>2046</v>
      </c>
      <c r="K292" s="1" t="s">
        <v>2043</v>
      </c>
      <c r="L292" s="1" t="s">
        <v>22</v>
      </c>
      <c r="M292" s="1" t="s">
        <v>77</v>
      </c>
      <c r="N292" s="1" t="s">
        <v>2045</v>
      </c>
      <c r="O292" s="1" t="s">
        <v>19</v>
      </c>
      <c r="P292" s="1" t="s">
        <v>18</v>
      </c>
      <c r="Q292" s="1" t="s">
        <v>20</v>
      </c>
      <c r="R292" s="1" t="s">
        <v>146</v>
      </c>
      <c r="S292" s="1">
        <v>6</v>
      </c>
      <c r="T292" s="1" t="s">
        <v>2048</v>
      </c>
      <c r="V292" t="s">
        <v>3578</v>
      </c>
      <c r="W292" t="s">
        <v>3242</v>
      </c>
    </row>
    <row r="293" spans="1:23">
      <c r="A293" s="1" t="s">
        <v>2044</v>
      </c>
      <c r="B293" s="1" t="str" cm="1">
        <f t="array" ref="B293">IF(A293="","",_xlfn.IFS(COUNTIF($U:$U,A293)&gt;0,"All uploaded",COUNTIF($V:$V,A293)&gt;0,"Partly uploaded",COUNTIF($W:$X,A293)&gt;0,"Not uploaded",TRUE,"Not classified"))</f>
        <v>Partly uploaded</v>
      </c>
      <c r="C293" s="1" t="str" cm="1">
        <f t="array" ref="C293">_xlfn.SWITCH(TRIM(I293),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93" s="1" t="s">
        <v>0</v>
      </c>
      <c r="E293" s="1" t="s">
        <v>4</v>
      </c>
      <c r="F293" s="1" t="str" cm="1">
        <f t="array" ref="F293">_xlfn.LET(
_xlpm.status,UPPER(TRIM(B293&amp;"")),
_xlpm.risk,UPPER(TRIM(C293&amp;"")),
_xlpm.notify,UPPER(TRIM(D293&amp;"")),
_xlpm.form,UPPER(TRIM(E293&amp;"")),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93" s="1" t="str">
        <f t="shared" si="4"/>
        <v>NA</v>
      </c>
      <c r="H293" s="5" t="s">
        <v>2050</v>
      </c>
      <c r="I293" s="1" t="s">
        <v>22</v>
      </c>
      <c r="J293" s="1" t="s">
        <v>2049</v>
      </c>
      <c r="K293" s="1" t="s">
        <v>2043</v>
      </c>
      <c r="L293" s="1" t="s">
        <v>22</v>
      </c>
      <c r="M293" s="1" t="s">
        <v>77</v>
      </c>
      <c r="N293" s="1" t="s">
        <v>2045</v>
      </c>
      <c r="O293" s="1" t="s">
        <v>19</v>
      </c>
      <c r="P293" s="1" t="s">
        <v>18</v>
      </c>
      <c r="Q293" s="1" t="s">
        <v>20</v>
      </c>
      <c r="R293" s="1" t="s">
        <v>1741</v>
      </c>
      <c r="S293" s="1">
        <v>6</v>
      </c>
      <c r="T293" s="1" t="s">
        <v>2048</v>
      </c>
      <c r="V293" t="s">
        <v>3586</v>
      </c>
      <c r="W293" t="s">
        <v>3266</v>
      </c>
    </row>
    <row r="294" spans="1:23">
      <c r="A294" s="1" t="s">
        <v>2044</v>
      </c>
      <c r="B294" s="1" t="str" cm="1">
        <f t="array" ref="B294">IF(A294="","",_xlfn.IFS(COUNTIF($U:$U,A294)&gt;0,"All uploaded",COUNTIF($V:$V,A294)&gt;0,"Partly uploaded",COUNTIF($W:$X,A294)&gt;0,"Not uploaded",TRUE,"Not classified"))</f>
        <v>Partly uploaded</v>
      </c>
      <c r="C294" s="1" t="str" cm="1">
        <f t="array" ref="C294">_xlfn.SWITCH(TRIM(I294),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94" s="1" t="s">
        <v>0</v>
      </c>
      <c r="E294" s="1" t="s">
        <v>4</v>
      </c>
      <c r="F294" s="1" t="str" cm="1">
        <f t="array" ref="F294">_xlfn.LET(
_xlpm.status,UPPER(TRIM(B294&amp;"")),
_xlpm.risk,UPPER(TRIM(C294&amp;"")),
_xlpm.notify,UPPER(TRIM(D294&amp;"")),
_xlpm.form,UPPER(TRIM(E294&amp;"")),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94" s="1" t="str">
        <f t="shared" si="4"/>
        <v>NA</v>
      </c>
      <c r="H294" s="5" t="s">
        <v>2052</v>
      </c>
      <c r="I294" s="1" t="s">
        <v>22</v>
      </c>
      <c r="J294" s="1" t="s">
        <v>2051</v>
      </c>
      <c r="K294" s="1" t="s">
        <v>2043</v>
      </c>
      <c r="L294" s="1" t="s">
        <v>22</v>
      </c>
      <c r="M294" s="1" t="s">
        <v>77</v>
      </c>
      <c r="N294" s="1" t="s">
        <v>2045</v>
      </c>
      <c r="O294" s="1" t="s">
        <v>19</v>
      </c>
      <c r="P294" s="1" t="s">
        <v>18</v>
      </c>
      <c r="Q294" s="1" t="s">
        <v>20</v>
      </c>
      <c r="R294" s="1" t="s">
        <v>88</v>
      </c>
      <c r="S294" s="1">
        <v>6</v>
      </c>
      <c r="T294" s="1" t="s">
        <v>2048</v>
      </c>
      <c r="V294" t="s">
        <v>3597</v>
      </c>
      <c r="W294" t="s">
        <v>3286</v>
      </c>
    </row>
    <row r="295" spans="1:23">
      <c r="A295" s="1" t="s">
        <v>1805</v>
      </c>
      <c r="B295" s="1" t="str" cm="1">
        <f t="array" ref="B295">IF(A295="","",_xlfn.IFS(COUNTIF($U:$U,A295)&gt;0,"All uploaded",COUNTIF($V:$V,A295)&gt;0,"Partly uploaded",COUNTIF($W:$X,A295)&gt;0,"Not uploaded",TRUE,"Not classified"))</f>
        <v>Partly uploaded</v>
      </c>
      <c r="C295" s="1" t="str" cm="1">
        <f t="array" ref="C295">_xlfn.SWITCH(TRIM(I295),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95" s="1" t="s">
        <v>1</v>
      </c>
      <c r="E295" s="1" t="s">
        <v>4</v>
      </c>
      <c r="F295" s="1" t="str" cm="1">
        <f t="array" ref="F295">_xlfn.LET(
_xlpm.status,UPPER(TRIM(B295&amp;"")),
_xlpm.risk,UPPER(TRIM(C295&amp;"")),
_xlpm.notify,UPPER(TRIM(D295&amp;"")),
_xlpm.form,UPPER(TRIM(E295&amp;"")),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95" s="1" t="str">
        <f t="shared" si="4"/>
        <v>Required</v>
      </c>
      <c r="H295" s="5" t="s">
        <v>1809</v>
      </c>
      <c r="I295" s="1" t="s">
        <v>10</v>
      </c>
      <c r="J295" s="1" t="s">
        <v>1808</v>
      </c>
      <c r="K295" s="1" t="s">
        <v>1802</v>
      </c>
      <c r="L295" s="1" t="s">
        <v>10</v>
      </c>
      <c r="M295" s="1" t="s">
        <v>75</v>
      </c>
      <c r="N295" s="1" t="s">
        <v>1806</v>
      </c>
      <c r="O295" s="1" t="s">
        <v>19</v>
      </c>
      <c r="P295" s="1" t="s">
        <v>18</v>
      </c>
      <c r="Q295" s="1" t="s">
        <v>20</v>
      </c>
      <c r="R295" s="1" t="s">
        <v>1807</v>
      </c>
      <c r="S295" s="1">
        <v>3</v>
      </c>
      <c r="T295" s="1" t="s">
        <v>154</v>
      </c>
      <c r="V295" t="s">
        <v>3608</v>
      </c>
      <c r="W295" t="s">
        <v>3289</v>
      </c>
    </row>
    <row r="296" spans="1:23">
      <c r="A296" s="1" t="s">
        <v>1813</v>
      </c>
      <c r="B296" s="1" t="str" cm="1">
        <f t="array" ref="B296">IF(A296="","",_xlfn.IFS(COUNTIF($U:$U,A296)&gt;0,"All uploaded",COUNTIF($V:$V,A296)&gt;0,"Partly uploaded",COUNTIF($W:$X,A296)&gt;0,"Not uploaded",TRUE,"Not classified"))</f>
        <v>All uploaded</v>
      </c>
      <c r="C296" s="1" t="str" cm="1">
        <f t="array" ref="C296">_xlfn.SWITCH(TRIM(I296),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296" s="1" t="s">
        <v>1</v>
      </c>
      <c r="E296" s="1" t="s">
        <v>4</v>
      </c>
      <c r="F296" s="1" t="str" cm="1">
        <f t="array" ref="F296">_xlfn.LET(
_xlpm.status,UPPER(TRIM(B296&amp;"")),
_xlpm.risk,UPPER(TRIM(C296&amp;"")),
_xlpm.notify,UPPER(TRIM(D296&amp;"")),
_xlpm.form,UPPER(TRIM(E296&amp;"")),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296" s="1" t="str">
        <f t="shared" si="4"/>
        <v>Required</v>
      </c>
      <c r="H296" s="5" t="s">
        <v>1816</v>
      </c>
      <c r="I296" s="1" t="s">
        <v>25</v>
      </c>
      <c r="J296" s="1" t="s">
        <v>1815</v>
      </c>
      <c r="K296" s="1" t="s">
        <v>1812</v>
      </c>
      <c r="L296" s="1" t="s">
        <v>25</v>
      </c>
      <c r="M296" s="1" t="s">
        <v>28</v>
      </c>
      <c r="N296" s="1" t="s">
        <v>1814</v>
      </c>
      <c r="O296" s="1" t="s">
        <v>19</v>
      </c>
      <c r="P296" s="1" t="s">
        <v>18</v>
      </c>
      <c r="Q296" s="1" t="s">
        <v>20</v>
      </c>
      <c r="R296" s="1" t="s">
        <v>1647</v>
      </c>
      <c r="S296" s="1">
        <v>1</v>
      </c>
      <c r="T296" s="1" t="s">
        <v>1817</v>
      </c>
      <c r="V296" t="s">
        <v>3620</v>
      </c>
      <c r="W296" t="s">
        <v>3364</v>
      </c>
    </row>
    <row r="297" spans="1:23">
      <c r="A297" s="1" t="s">
        <v>1819</v>
      </c>
      <c r="B297" s="1" t="str" cm="1">
        <f t="array" ref="B297">IF(A297="","",_xlfn.IFS(COUNTIF($U:$U,A297)&gt;0,"All uploaded",COUNTIF($V:$V,A297)&gt;0,"Partly uploaded",COUNTIF($W:$X,A297)&gt;0,"Not uploaded",TRUE,"Not classified"))</f>
        <v>Partly uploaded</v>
      </c>
      <c r="C297" s="1" t="str" cm="1">
        <f t="array" ref="C297">_xlfn.SWITCH(TRIM(I297),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97" s="1" t="s">
        <v>0</v>
      </c>
      <c r="E297" s="1" t="s">
        <v>4</v>
      </c>
      <c r="F297" s="1" t="str" cm="1">
        <f t="array" ref="F297">_xlfn.LET(
_xlpm.status,UPPER(TRIM(B297&amp;"")),
_xlpm.risk,UPPER(TRIM(C297&amp;"")),
_xlpm.notify,UPPER(TRIM(D297&amp;"")),
_xlpm.form,UPPER(TRIM(E297&amp;"")),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97" s="1" t="str">
        <f t="shared" si="4"/>
        <v>NA</v>
      </c>
      <c r="H297" s="5" t="s">
        <v>1822</v>
      </c>
      <c r="I297" s="1" t="s">
        <v>22</v>
      </c>
      <c r="J297" s="1" t="s">
        <v>1821</v>
      </c>
      <c r="K297" s="1" t="s">
        <v>1818</v>
      </c>
      <c r="L297" s="1" t="s">
        <v>22</v>
      </c>
      <c r="M297" s="1" t="s">
        <v>77</v>
      </c>
      <c r="N297" s="1" t="s">
        <v>1820</v>
      </c>
      <c r="O297" s="1" t="s">
        <v>19</v>
      </c>
      <c r="P297" s="1" t="s">
        <v>18</v>
      </c>
      <c r="Q297" s="1" t="s">
        <v>20</v>
      </c>
      <c r="R297" s="1" t="s">
        <v>203</v>
      </c>
      <c r="S297" s="1">
        <v>14</v>
      </c>
      <c r="T297" s="1" t="s">
        <v>1823</v>
      </c>
      <c r="V297" t="s">
        <v>3652</v>
      </c>
      <c r="W297" t="s">
        <v>3292</v>
      </c>
    </row>
    <row r="298" spans="1:23">
      <c r="A298" s="1" t="s">
        <v>1824</v>
      </c>
      <c r="B298" s="1" t="str" cm="1">
        <f t="array" ref="B298">IF(A298="","",_xlfn.IFS(COUNTIF($U:$U,A298)&gt;0,"All uploaded",COUNTIF($V:$V,A298)&gt;0,"Partly uploaded",COUNTIF($W:$X,A298)&gt;0,"Not uploaded",TRUE,"Not classified"))</f>
        <v>Partly uploaded</v>
      </c>
      <c r="C298" s="1" t="str" cm="1">
        <f t="array" ref="C298">_xlfn.SWITCH(TRIM(I298),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98" s="1" t="s">
        <v>0</v>
      </c>
      <c r="E298" s="1" t="s">
        <v>3</v>
      </c>
      <c r="F298" s="1" t="str" cm="1">
        <f t="array" ref="F298">_xlfn.LET(
_xlpm.status,UPPER(TRIM(B298&amp;"")),
_xlpm.risk,UPPER(TRIM(C298&amp;"")),
_xlpm.notify,UPPER(TRIM(D298&amp;"")),
_xlpm.form,UPPER(TRIM(E298&amp;"")),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298" s="1" t="str">
        <f t="shared" si="4"/>
        <v>NA</v>
      </c>
      <c r="H298" s="5" t="s">
        <v>1827</v>
      </c>
      <c r="I298" s="1" t="s">
        <v>22</v>
      </c>
      <c r="J298" s="1" t="s">
        <v>1826</v>
      </c>
      <c r="K298" s="1" t="s">
        <v>1818</v>
      </c>
      <c r="L298" s="1" t="s">
        <v>22</v>
      </c>
      <c r="M298" s="1" t="s">
        <v>77</v>
      </c>
      <c r="N298" s="1" t="s">
        <v>1825</v>
      </c>
      <c r="O298" s="1" t="s">
        <v>19</v>
      </c>
      <c r="P298" s="1" t="s">
        <v>18</v>
      </c>
      <c r="Q298" s="1" t="s">
        <v>20</v>
      </c>
      <c r="R298" s="1" t="s">
        <v>203</v>
      </c>
      <c r="S298" s="1">
        <v>2</v>
      </c>
      <c r="T298" s="1" t="s">
        <v>1828</v>
      </c>
      <c r="V298" t="s">
        <v>3667</v>
      </c>
      <c r="W298" t="s">
        <v>3343</v>
      </c>
    </row>
    <row r="299" spans="1:23">
      <c r="A299" s="1" t="s">
        <v>1883</v>
      </c>
      <c r="B299" s="1" t="str" cm="1">
        <f t="array" ref="B299">IF(A299="","",_xlfn.IFS(COUNTIF($U:$U,A299)&gt;0,"All uploaded",COUNTIF($V:$V,A299)&gt;0,"Partly uploaded",COUNTIF($W:$X,A299)&gt;0,"Not uploaded",TRUE,"Not classified"))</f>
        <v>All uploaded</v>
      </c>
      <c r="C299" s="1" t="str" cm="1">
        <f t="array" ref="C299">_xlfn.SWITCH(TRIM(I299),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299" s="1" t="s">
        <v>0</v>
      </c>
      <c r="E299" s="1" t="s">
        <v>4</v>
      </c>
      <c r="F299" s="1" t="str" cm="1">
        <f t="array" ref="F299">_xlfn.LET(
_xlpm.status,UPPER(TRIM(B299&amp;"")),
_xlpm.risk,UPPER(TRIM(C299&amp;"")),
_xlpm.notify,UPPER(TRIM(D299&amp;"")),
_xlpm.form,UPPER(TRIM(E299&amp;"")),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299" s="1" t="str">
        <f t="shared" si="4"/>
        <v>NA</v>
      </c>
      <c r="H299" s="5" t="s">
        <v>1886</v>
      </c>
      <c r="I299" s="1" t="s">
        <v>22</v>
      </c>
      <c r="J299" s="1" t="s">
        <v>1885</v>
      </c>
      <c r="K299" s="1" t="s">
        <v>1862</v>
      </c>
      <c r="L299" s="1" t="s">
        <v>22</v>
      </c>
      <c r="M299" s="1" t="s">
        <v>77</v>
      </c>
      <c r="N299" s="1" t="s">
        <v>1884</v>
      </c>
      <c r="O299" s="1" t="s">
        <v>19</v>
      </c>
      <c r="P299" s="1" t="s">
        <v>18</v>
      </c>
      <c r="Q299" s="1" t="s">
        <v>20</v>
      </c>
      <c r="R299" s="1" t="s">
        <v>203</v>
      </c>
      <c r="S299" s="1">
        <v>2</v>
      </c>
      <c r="T299" s="1" t="s">
        <v>1887</v>
      </c>
      <c r="V299" t="s">
        <v>3675</v>
      </c>
      <c r="W299" t="s">
        <v>3300</v>
      </c>
    </row>
    <row r="300" spans="1:23">
      <c r="A300" s="1" t="s">
        <v>1833</v>
      </c>
      <c r="B300" s="1" t="str" cm="1">
        <f t="array" ref="B300">IF(A300="","",_xlfn.IFS(COUNTIF($U:$U,A300)&gt;0,"All uploaded",COUNTIF($V:$V,A300)&gt;0,"Partly uploaded",COUNTIF($W:$X,A300)&gt;0,"Not uploaded",TRUE,"Not classified"))</f>
        <v>Partly uploaded</v>
      </c>
      <c r="C300" s="1" t="str" cm="1">
        <f t="array" ref="C300">_xlfn.SWITCH(TRIM(I300),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00" s="1" t="s">
        <v>0</v>
      </c>
      <c r="E300" s="1" t="s">
        <v>2</v>
      </c>
      <c r="F300" s="1" t="str" cm="1">
        <f t="array" ref="F300">_xlfn.LET(
_xlpm.status,UPPER(TRIM(B300&amp;"")),
_xlpm.risk,UPPER(TRIM(C300&amp;"")),
_xlpm.notify,UPPER(TRIM(D300&amp;"")),
_xlpm.form,UPPER(TRIM(E300&amp;"")),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00" s="1" t="str">
        <f t="shared" si="4"/>
        <v>NA</v>
      </c>
      <c r="H300" s="5" t="s">
        <v>1836</v>
      </c>
      <c r="I300" s="1" t="s">
        <v>22</v>
      </c>
      <c r="J300" s="1" t="s">
        <v>1835</v>
      </c>
      <c r="K300" s="1" t="s">
        <v>1832</v>
      </c>
      <c r="L300" s="1" t="s">
        <v>22</v>
      </c>
      <c r="M300" s="1" t="s">
        <v>77</v>
      </c>
      <c r="N300" s="1" t="s">
        <v>1834</v>
      </c>
      <c r="O300" s="1" t="s">
        <v>19</v>
      </c>
      <c r="P300" s="1" t="s">
        <v>18</v>
      </c>
      <c r="Q300" s="1" t="s">
        <v>20</v>
      </c>
      <c r="R300" s="1" t="s">
        <v>203</v>
      </c>
      <c r="S300" s="1">
        <v>5</v>
      </c>
      <c r="T300" s="1" t="s">
        <v>1837</v>
      </c>
      <c r="V300" t="s">
        <v>3688</v>
      </c>
      <c r="W300" t="s">
        <v>3297</v>
      </c>
    </row>
    <row r="301" spans="1:23">
      <c r="A301" s="1" t="s">
        <v>1838</v>
      </c>
      <c r="B301" s="1" t="str" cm="1">
        <f t="array" ref="B301">IF(A301="","",_xlfn.IFS(COUNTIF($U:$U,A301)&gt;0,"All uploaded",COUNTIF($V:$V,A301)&gt;0,"Partly uploaded",COUNTIF($W:$X,A301)&gt;0,"Not uploaded",TRUE,"Not classified"))</f>
        <v>Partly uploaded</v>
      </c>
      <c r="C301" s="1" t="str" cm="1">
        <f t="array" ref="C301">_xlfn.SWITCH(TRIM(I301),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01" s="1" t="s">
        <v>0</v>
      </c>
      <c r="E301" s="1" t="s">
        <v>4</v>
      </c>
      <c r="F301" s="1" t="str" cm="1">
        <f t="array" ref="F301">_xlfn.LET(
_xlpm.status,UPPER(TRIM(B301&amp;"")),
_xlpm.risk,UPPER(TRIM(C301&amp;"")),
_xlpm.notify,UPPER(TRIM(D301&amp;"")),
_xlpm.form,UPPER(TRIM(E301&amp;"")),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01" s="1" t="str">
        <f t="shared" si="4"/>
        <v>Required</v>
      </c>
      <c r="H301" s="5" t="s">
        <v>2066</v>
      </c>
      <c r="I301" s="1" t="s">
        <v>34</v>
      </c>
      <c r="J301" s="1" t="s">
        <v>2065</v>
      </c>
      <c r="K301" s="1" t="s">
        <v>2064</v>
      </c>
      <c r="L301" s="1" t="s">
        <v>34</v>
      </c>
      <c r="M301" s="1" t="s">
        <v>77</v>
      </c>
      <c r="N301" s="1" t="s">
        <v>1839</v>
      </c>
      <c r="O301" s="1" t="s">
        <v>19</v>
      </c>
      <c r="P301" s="1" t="s">
        <v>18</v>
      </c>
      <c r="Q301" s="1" t="s">
        <v>20</v>
      </c>
      <c r="R301" s="1" t="s">
        <v>1718</v>
      </c>
      <c r="S301" s="1">
        <v>1</v>
      </c>
      <c r="T301" s="1" t="s">
        <v>2067</v>
      </c>
      <c r="V301" t="s">
        <v>3728</v>
      </c>
      <c r="W301" t="s">
        <v>3301</v>
      </c>
    </row>
    <row r="302" spans="1:23">
      <c r="A302" s="1" t="s">
        <v>1851</v>
      </c>
      <c r="B302" s="1" t="str" cm="1">
        <f t="array" ref="B302">IF(A302="","",_xlfn.IFS(COUNTIF($U:$U,A302)&gt;0,"All uploaded",COUNTIF($V:$V,A302)&gt;0,"Partly uploaded",COUNTIF($W:$X,A302)&gt;0,"Not uploaded",TRUE,"Not classified"))</f>
        <v>Partly uploaded</v>
      </c>
      <c r="C302" s="1" t="str" cm="1">
        <f t="array" ref="C302">_xlfn.SWITCH(TRIM(I302),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02" s="1" t="s">
        <v>1</v>
      </c>
      <c r="E302" s="1" t="s">
        <v>4</v>
      </c>
      <c r="F302" s="1" t="str" cm="1">
        <f t="array" ref="F302">_xlfn.LET(
_xlpm.status,UPPER(TRIM(B302&amp;"")),
_xlpm.risk,UPPER(TRIM(C302&amp;"")),
_xlpm.notify,UPPER(TRIM(D302&amp;"")),
_xlpm.form,UPPER(TRIM(E302&amp;"")),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02" s="1" t="str">
        <f t="shared" si="4"/>
        <v>Required</v>
      </c>
      <c r="H302" s="5" t="s">
        <v>1857</v>
      </c>
      <c r="I302" s="1" t="s">
        <v>25</v>
      </c>
      <c r="J302" s="1" t="s">
        <v>1856</v>
      </c>
      <c r="K302" s="1" t="s">
        <v>1845</v>
      </c>
      <c r="L302" s="1" t="s">
        <v>25</v>
      </c>
      <c r="M302" s="1" t="s">
        <v>77</v>
      </c>
      <c r="N302" s="1" t="s">
        <v>1492</v>
      </c>
      <c r="O302" s="1" t="s">
        <v>19</v>
      </c>
      <c r="P302" s="1" t="s">
        <v>18</v>
      </c>
      <c r="Q302" s="1" t="s">
        <v>20</v>
      </c>
      <c r="R302" s="1" t="s">
        <v>1658</v>
      </c>
      <c r="S302" s="1">
        <v>2</v>
      </c>
      <c r="T302" s="1" t="s">
        <v>1858</v>
      </c>
      <c r="V302" t="s">
        <v>3735</v>
      </c>
      <c r="W302" t="s">
        <v>3295</v>
      </c>
    </row>
    <row r="303" spans="1:23">
      <c r="A303" s="1" t="s">
        <v>1846</v>
      </c>
      <c r="B303" s="1" t="str" cm="1">
        <f t="array" ref="B303">IF(A303="","",_xlfn.IFS(COUNTIF($U:$U,A303)&gt;0,"All uploaded",COUNTIF($V:$V,A303)&gt;0,"Partly uploaded",COUNTIF($W:$X,A303)&gt;0,"Not uploaded",TRUE,"Not classified"))</f>
        <v>Partly uploaded</v>
      </c>
      <c r="C303" s="1" t="str" cm="1">
        <f t="array" ref="C303">_xlfn.SWITCH(TRIM(I303),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03" s="1" t="s">
        <v>1</v>
      </c>
      <c r="E303" s="1" t="s">
        <v>4</v>
      </c>
      <c r="F303" s="1" t="str" cm="1">
        <f t="array" ref="F303">_xlfn.LET(
_xlpm.status,UPPER(TRIM(B303&amp;"")),
_xlpm.risk,UPPER(TRIM(C303&amp;"")),
_xlpm.notify,UPPER(TRIM(D303&amp;"")),
_xlpm.form,UPPER(TRIM(E303&amp;"")),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03" s="1" t="str">
        <f t="shared" si="4"/>
        <v>Required</v>
      </c>
      <c r="H303" s="5" t="s">
        <v>1849</v>
      </c>
      <c r="I303" s="1" t="s">
        <v>25</v>
      </c>
      <c r="J303" s="1" t="s">
        <v>1848</v>
      </c>
      <c r="K303" s="1" t="s">
        <v>1845</v>
      </c>
      <c r="L303" s="1" t="s">
        <v>25</v>
      </c>
      <c r="M303" s="1" t="s">
        <v>80</v>
      </c>
      <c r="N303" s="1" t="s">
        <v>1847</v>
      </c>
      <c r="O303" s="1" t="s">
        <v>19</v>
      </c>
      <c r="P303" s="1" t="s">
        <v>18</v>
      </c>
      <c r="Q303" s="1" t="s">
        <v>20</v>
      </c>
      <c r="R303" s="1" t="s">
        <v>1658</v>
      </c>
      <c r="S303" s="1">
        <v>4</v>
      </c>
      <c r="T303" s="1" t="s">
        <v>1850</v>
      </c>
      <c r="V303" t="s">
        <v>3762</v>
      </c>
      <c r="W303" t="s">
        <v>3308</v>
      </c>
    </row>
    <row r="304" spans="1:23">
      <c r="A304" s="1" t="s">
        <v>1863</v>
      </c>
      <c r="B304" s="1" t="str" cm="1">
        <f t="array" ref="B304">IF(A304="","",_xlfn.IFS(COUNTIF($U:$U,A304)&gt;0,"All uploaded",COUNTIF($V:$V,A304)&gt;0,"Partly uploaded",COUNTIF($W:$X,A304)&gt;0,"Not uploaded",TRUE,"Not classified"))</f>
        <v>Partly uploaded</v>
      </c>
      <c r="C304" s="1" t="str" cm="1">
        <f t="array" ref="C304">_xlfn.SWITCH(TRIM(I304),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04" s="1" t="s">
        <v>1</v>
      </c>
      <c r="E304" s="1" t="s">
        <v>4</v>
      </c>
      <c r="F304" s="1" t="str" cm="1">
        <f t="array" ref="F304">_xlfn.LET(
_xlpm.status,UPPER(TRIM(B304&amp;"")),
_xlpm.risk,UPPER(TRIM(C304&amp;"")),
_xlpm.notify,UPPER(TRIM(D304&amp;"")),
_xlpm.form,UPPER(TRIM(E304&amp;"")),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04" s="1" t="str">
        <f t="shared" si="4"/>
        <v>NA</v>
      </c>
      <c r="H304" s="5" t="s">
        <v>1865</v>
      </c>
      <c r="I304" s="1" t="s">
        <v>22</v>
      </c>
      <c r="J304" s="1" t="s">
        <v>1864</v>
      </c>
      <c r="K304" s="1" t="s">
        <v>1862</v>
      </c>
      <c r="L304" s="1" t="s">
        <v>22</v>
      </c>
      <c r="M304" s="1" t="s">
        <v>77</v>
      </c>
      <c r="N304" s="1" t="s">
        <v>68</v>
      </c>
      <c r="O304" s="1" t="s">
        <v>19</v>
      </c>
      <c r="P304" s="1" t="s">
        <v>18</v>
      </c>
      <c r="Q304" s="1" t="s">
        <v>20</v>
      </c>
      <c r="R304" s="1" t="s">
        <v>1611</v>
      </c>
      <c r="S304" s="1">
        <v>56</v>
      </c>
      <c r="T304" s="1" t="s">
        <v>1866</v>
      </c>
      <c r="V304" t="s">
        <v>3774</v>
      </c>
      <c r="W304" t="s">
        <v>3303</v>
      </c>
    </row>
    <row r="305" spans="1:23">
      <c r="A305" s="1" t="s">
        <v>1878</v>
      </c>
      <c r="B305" s="1" t="str" cm="1">
        <f t="array" ref="B305">IF(A305="","",_xlfn.IFS(COUNTIF($U:$U,A305)&gt;0,"All uploaded",COUNTIF($V:$V,A305)&gt;0,"Partly uploaded",COUNTIF($W:$X,A305)&gt;0,"Not uploaded",TRUE,"Not classified"))</f>
        <v>Partly uploaded</v>
      </c>
      <c r="C305" s="1" t="str" cm="1">
        <f t="array" ref="C305">_xlfn.SWITCH(TRIM(I305),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05" s="1" t="s">
        <v>0</v>
      </c>
      <c r="E305" s="1" t="s">
        <v>4</v>
      </c>
      <c r="F305" s="1" t="str" cm="1">
        <f t="array" ref="F305">_xlfn.LET(
_xlpm.status,UPPER(TRIM(B305&amp;"")),
_xlpm.risk,UPPER(TRIM(C305&amp;"")),
_xlpm.notify,UPPER(TRIM(D305&amp;"")),
_xlpm.form,UPPER(TRIM(E305&amp;"")),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05" s="1" t="str">
        <f t="shared" si="4"/>
        <v>Required</v>
      </c>
      <c r="H305" s="5" t="s">
        <v>1881</v>
      </c>
      <c r="I305" s="1" t="s">
        <v>27</v>
      </c>
      <c r="J305" s="1" t="s">
        <v>1880</v>
      </c>
      <c r="K305" s="1" t="s">
        <v>1862</v>
      </c>
      <c r="L305" s="1" t="s">
        <v>27</v>
      </c>
      <c r="M305" s="1" t="s">
        <v>77</v>
      </c>
      <c r="N305" s="1" t="s">
        <v>1879</v>
      </c>
      <c r="O305" s="1" t="s">
        <v>19</v>
      </c>
      <c r="P305" s="1" t="s">
        <v>18</v>
      </c>
      <c r="Q305" s="1" t="s">
        <v>20</v>
      </c>
      <c r="R305" s="1" t="s">
        <v>902</v>
      </c>
      <c r="S305" s="1">
        <v>1</v>
      </c>
      <c r="T305" s="1" t="s">
        <v>1882</v>
      </c>
      <c r="V305" t="s">
        <v>3786</v>
      </c>
      <c r="W305" t="s">
        <v>3321</v>
      </c>
    </row>
    <row r="306" spans="1:23">
      <c r="A306" s="1" t="s">
        <v>1872</v>
      </c>
      <c r="B306" s="1" t="str" cm="1">
        <f t="array" ref="B306">IF(A306="","",_xlfn.IFS(COUNTIF($U:$U,A306)&gt;0,"All uploaded",COUNTIF($V:$V,A306)&gt;0,"Partly uploaded",COUNTIF($W:$X,A306)&gt;0,"Not uploaded",TRUE,"Not classified"))</f>
        <v>All uploaded</v>
      </c>
      <c r="C306" s="1" t="str" cm="1">
        <f t="array" ref="C306">_xlfn.SWITCH(TRIM(I306),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06" s="1" t="s">
        <v>1</v>
      </c>
      <c r="E306" s="1" t="s">
        <v>4</v>
      </c>
      <c r="F306" s="1" t="str" cm="1">
        <f t="array" ref="F306">_xlfn.LET(
_xlpm.status,UPPER(TRIM(B306&amp;"")),
_xlpm.risk,UPPER(TRIM(C306&amp;"")),
_xlpm.notify,UPPER(TRIM(D306&amp;"")),
_xlpm.form,UPPER(TRIM(E306&amp;"")),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06" s="1" t="str">
        <f t="shared" si="4"/>
        <v>Required</v>
      </c>
      <c r="H306" s="5" t="s">
        <v>1876</v>
      </c>
      <c r="I306" s="1" t="s">
        <v>25</v>
      </c>
      <c r="J306" s="1" t="s">
        <v>1875</v>
      </c>
      <c r="K306" s="1" t="s">
        <v>1862</v>
      </c>
      <c r="L306" s="1" t="s">
        <v>25</v>
      </c>
      <c r="M306" s="1" t="s">
        <v>80</v>
      </c>
      <c r="N306" s="1" t="s">
        <v>1873</v>
      </c>
      <c r="O306" s="1" t="s">
        <v>19</v>
      </c>
      <c r="P306" s="1" t="s">
        <v>18</v>
      </c>
      <c r="Q306" s="1" t="s">
        <v>20</v>
      </c>
      <c r="R306" s="1" t="s">
        <v>1874</v>
      </c>
      <c r="S306" s="1">
        <v>1</v>
      </c>
      <c r="T306" s="1" t="s">
        <v>1877</v>
      </c>
      <c r="V306" t="s">
        <v>3800</v>
      </c>
      <c r="W306" t="s">
        <v>3320</v>
      </c>
    </row>
    <row r="307" spans="1:23">
      <c r="A307" s="1" t="s">
        <v>1889</v>
      </c>
      <c r="B307" s="1" t="str" cm="1">
        <f t="array" ref="B307">IF(A307="","",_xlfn.IFS(COUNTIF($U:$U,A307)&gt;0,"All uploaded",COUNTIF($V:$V,A307)&gt;0,"Partly uploaded",COUNTIF($W:$X,A307)&gt;0,"Not uploaded",TRUE,"Not classified"))</f>
        <v>Partly uploaded</v>
      </c>
      <c r="C307" s="1" t="str" cm="1">
        <f t="array" ref="C307">_xlfn.SWITCH(TRIM(I307),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07" s="1" t="s">
        <v>1</v>
      </c>
      <c r="E307" s="1" t="s">
        <v>4</v>
      </c>
      <c r="F307" s="1" t="str" cm="1">
        <f t="array" ref="F307">_xlfn.LET(
_xlpm.status,UPPER(TRIM(B307&amp;"")),
_xlpm.risk,UPPER(TRIM(C307&amp;"")),
_xlpm.notify,UPPER(TRIM(D307&amp;"")),
_xlpm.form,UPPER(TRIM(E307&amp;"")),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07" s="1" t="str">
        <f t="shared" si="4"/>
        <v>NA</v>
      </c>
      <c r="H307" s="5" t="s">
        <v>1892</v>
      </c>
      <c r="I307" s="1" t="s">
        <v>23</v>
      </c>
      <c r="J307" s="1" t="s">
        <v>1891</v>
      </c>
      <c r="K307" s="1" t="s">
        <v>1888</v>
      </c>
      <c r="L307" s="1" t="s">
        <v>23</v>
      </c>
      <c r="M307" s="1" t="s">
        <v>28</v>
      </c>
      <c r="N307" s="1" t="s">
        <v>1890</v>
      </c>
      <c r="O307" s="1" t="s">
        <v>19</v>
      </c>
      <c r="P307" s="1" t="s">
        <v>18</v>
      </c>
      <c r="Q307" s="1" t="s">
        <v>20</v>
      </c>
      <c r="R307" s="1" t="s">
        <v>1200</v>
      </c>
      <c r="S307" s="1">
        <v>5</v>
      </c>
      <c r="T307" s="1" t="s">
        <v>1893</v>
      </c>
      <c r="W307" t="s">
        <v>3323</v>
      </c>
    </row>
    <row r="308" spans="1:23">
      <c r="A308" s="1" t="s">
        <v>1897</v>
      </c>
      <c r="B308" s="1" t="str" cm="1">
        <f t="array" ref="B308">IF(A308="","",_xlfn.IFS(COUNTIF($U:$U,A308)&gt;0,"All uploaded",COUNTIF($V:$V,A308)&gt;0,"Partly uploaded",COUNTIF($W:$X,A308)&gt;0,"Not uploaded",TRUE,"Not classified"))</f>
        <v>Partly uploaded</v>
      </c>
      <c r="C308" s="1" t="str" cm="1">
        <f t="array" ref="C308">_xlfn.SWITCH(TRIM(I308),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08" s="1" t="s">
        <v>0</v>
      </c>
      <c r="E308" s="1" t="s">
        <v>3</v>
      </c>
      <c r="F308" s="1" t="str" cm="1">
        <f t="array" ref="F308">_xlfn.LET(
_xlpm.status,UPPER(TRIM(B308&amp;"")),
_xlpm.risk,UPPER(TRIM(C308&amp;"")),
_xlpm.notify,UPPER(TRIM(D308&amp;"")),
_xlpm.form,UPPER(TRIM(E308&amp;"")),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08" s="1" t="str">
        <f t="shared" si="4"/>
        <v>NA</v>
      </c>
      <c r="H308" s="5" t="s">
        <v>1900</v>
      </c>
      <c r="I308" s="1" t="s">
        <v>22</v>
      </c>
      <c r="J308" s="1" t="s">
        <v>1899</v>
      </c>
      <c r="K308" s="1" t="s">
        <v>1896</v>
      </c>
      <c r="L308" s="1" t="s">
        <v>22</v>
      </c>
      <c r="M308" s="1" t="s">
        <v>77</v>
      </c>
      <c r="N308" s="1" t="s">
        <v>1898</v>
      </c>
      <c r="O308" s="1" t="s">
        <v>19</v>
      </c>
      <c r="P308" s="1" t="s">
        <v>18</v>
      </c>
      <c r="Q308" s="1" t="s">
        <v>20</v>
      </c>
      <c r="R308" s="1" t="s">
        <v>854</v>
      </c>
      <c r="S308" s="1">
        <v>5</v>
      </c>
      <c r="T308" s="1" t="s">
        <v>1901</v>
      </c>
      <c r="W308" t="s">
        <v>3340</v>
      </c>
    </row>
    <row r="309" spans="1:23">
      <c r="A309" s="1" t="s">
        <v>1908</v>
      </c>
      <c r="B309" s="1" t="str" cm="1">
        <f t="array" ref="B309">IF(A309="","",_xlfn.IFS(COUNTIF($U:$U,A309)&gt;0,"All uploaded",COUNTIF($V:$V,A309)&gt;0,"Partly uploaded",COUNTIF($W:$X,A309)&gt;0,"Not uploaded",TRUE,"Not classified"))</f>
        <v>All uploaded</v>
      </c>
      <c r="C309" s="1" t="str" cm="1">
        <f t="array" ref="C309">_xlfn.SWITCH(TRIM(I309),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09" s="1" t="s">
        <v>1</v>
      </c>
      <c r="E309" s="1" t="s">
        <v>4</v>
      </c>
      <c r="F309" s="1" t="str" cm="1">
        <f t="array" ref="F309">_xlfn.LET(
_xlpm.status,UPPER(TRIM(B309&amp;"")),
_xlpm.risk,UPPER(TRIM(C309&amp;"")),
_xlpm.notify,UPPER(TRIM(D309&amp;"")),
_xlpm.form,UPPER(TRIM(E309&amp;"")),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09" s="1" t="str">
        <f t="shared" si="4"/>
        <v>Required</v>
      </c>
      <c r="H309" s="5" t="s">
        <v>1912</v>
      </c>
      <c r="I309" s="1" t="s">
        <v>27</v>
      </c>
      <c r="J309" s="1" t="s">
        <v>1911</v>
      </c>
      <c r="K309" s="1" t="s">
        <v>1905</v>
      </c>
      <c r="L309" s="1" t="s">
        <v>27</v>
      </c>
      <c r="M309" s="1" t="s">
        <v>28</v>
      </c>
      <c r="N309" s="1" t="s">
        <v>1909</v>
      </c>
      <c r="O309" s="1" t="s">
        <v>19</v>
      </c>
      <c r="P309" s="1" t="s">
        <v>18</v>
      </c>
      <c r="Q309" s="1" t="s">
        <v>20</v>
      </c>
      <c r="R309" s="1" t="s">
        <v>1910</v>
      </c>
      <c r="S309" s="1">
        <v>2</v>
      </c>
      <c r="T309" s="1" t="s">
        <v>1913</v>
      </c>
      <c r="W309" t="s">
        <v>3345</v>
      </c>
    </row>
    <row r="310" spans="1:23">
      <c r="A310" s="1" t="s">
        <v>1919</v>
      </c>
      <c r="B310" s="1" t="str" cm="1">
        <f t="array" ref="B310">IF(A310="","",_xlfn.IFS(COUNTIF($U:$U,A310)&gt;0,"All uploaded",COUNTIF($V:$V,A310)&gt;0,"Partly uploaded",COUNTIF($W:$X,A310)&gt;0,"Not uploaded",TRUE,"Not classified"))</f>
        <v>Partly uploaded</v>
      </c>
      <c r="C310" s="1" t="str" cm="1">
        <f t="array" ref="C310">_xlfn.SWITCH(TRIM(I310),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10" s="1" t="s">
        <v>1</v>
      </c>
      <c r="E310" s="1" t="s">
        <v>2</v>
      </c>
      <c r="F310" s="1" t="str" cm="1">
        <f t="array" ref="F310">_xlfn.LET(
_xlpm.status,UPPER(TRIM(B310&amp;"")),
_xlpm.risk,UPPER(TRIM(C310&amp;"")),
_xlpm.notify,UPPER(TRIM(D310&amp;"")),
_xlpm.form,UPPER(TRIM(E310&amp;"")),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10" s="1" t="str">
        <f t="shared" si="4"/>
        <v>NA</v>
      </c>
      <c r="H310" s="5" t="s">
        <v>1922</v>
      </c>
      <c r="I310" s="1" t="s">
        <v>23</v>
      </c>
      <c r="J310" s="1" t="s">
        <v>1921</v>
      </c>
      <c r="K310" s="1" t="s">
        <v>1918</v>
      </c>
      <c r="L310" s="1" t="s">
        <v>23</v>
      </c>
      <c r="M310" s="1" t="s">
        <v>28</v>
      </c>
      <c r="N310" s="1" t="s">
        <v>1920</v>
      </c>
      <c r="O310" s="1" t="s">
        <v>19</v>
      </c>
      <c r="P310" s="1" t="s">
        <v>18</v>
      </c>
      <c r="Q310" s="1" t="s">
        <v>20</v>
      </c>
      <c r="R310" s="1" t="s">
        <v>1807</v>
      </c>
      <c r="S310" s="1">
        <v>22</v>
      </c>
      <c r="T310" s="1" t="s">
        <v>1923</v>
      </c>
      <c r="W310" t="s">
        <v>3342</v>
      </c>
    </row>
    <row r="311" spans="1:23">
      <c r="A311" s="1" t="s">
        <v>1941</v>
      </c>
      <c r="B311" s="1" t="str" cm="1">
        <f t="array" ref="B311">IF(A311="","",_xlfn.IFS(COUNTIF($U:$U,A311)&gt;0,"All uploaded",COUNTIF($V:$V,A311)&gt;0,"Partly uploaded",COUNTIF($W:$X,A311)&gt;0,"Not uploaded",TRUE,"Not classified"))</f>
        <v>Partly uploaded</v>
      </c>
      <c r="C311" s="1" t="str" cm="1">
        <f t="array" ref="C311">_xlfn.SWITCH(TRIM(I311),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11" s="1" t="s">
        <v>0</v>
      </c>
      <c r="E311" s="1" t="s">
        <v>4</v>
      </c>
      <c r="F311" s="1" t="str" cm="1">
        <f t="array" ref="F311">_xlfn.LET(
_xlpm.status,UPPER(TRIM(B311&amp;"")),
_xlpm.risk,UPPER(TRIM(C311&amp;"")),
_xlpm.notify,UPPER(TRIM(D311&amp;"")),
_xlpm.form,UPPER(TRIM(E311&amp;"")),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11" s="1" t="str">
        <f t="shared" si="4"/>
        <v>NA</v>
      </c>
      <c r="H311" s="5" t="s">
        <v>1945</v>
      </c>
      <c r="I311" s="1" t="s">
        <v>22</v>
      </c>
      <c r="J311" s="1" t="s">
        <v>1944</v>
      </c>
      <c r="K311" s="1" t="s">
        <v>1940</v>
      </c>
      <c r="L311" s="1" t="s">
        <v>22</v>
      </c>
      <c r="M311" s="1" t="s">
        <v>77</v>
      </c>
      <c r="N311" s="1" t="s">
        <v>1942</v>
      </c>
      <c r="O311" s="1" t="s">
        <v>19</v>
      </c>
      <c r="P311" s="1" t="s">
        <v>18</v>
      </c>
      <c r="Q311" s="1" t="s">
        <v>20</v>
      </c>
      <c r="R311" s="1" t="s">
        <v>1943</v>
      </c>
      <c r="S311" s="1">
        <v>14</v>
      </c>
      <c r="T311" s="1" t="s">
        <v>1946</v>
      </c>
      <c r="W311" t="s">
        <v>3353</v>
      </c>
    </row>
    <row r="312" spans="1:23">
      <c r="A312" s="1" t="s">
        <v>1941</v>
      </c>
      <c r="B312" s="1" t="str" cm="1">
        <f t="array" ref="B312">IF(A312="","",_xlfn.IFS(COUNTIF($U:$U,A312)&gt;0,"All uploaded",COUNTIF($V:$V,A312)&gt;0,"Partly uploaded",COUNTIF($W:$X,A312)&gt;0,"Not uploaded",TRUE,"Not classified"))</f>
        <v>Partly uploaded</v>
      </c>
      <c r="C312" s="1" t="str" cm="1">
        <f t="array" ref="C312">_xlfn.SWITCH(TRIM(I312),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12" s="1" t="s">
        <v>0</v>
      </c>
      <c r="E312" s="1" t="s">
        <v>3</v>
      </c>
      <c r="F312" s="1" t="str" cm="1">
        <f t="array" ref="F312">_xlfn.LET(
_xlpm.status,UPPER(TRIM(B312&amp;"")),
_xlpm.risk,UPPER(TRIM(C312&amp;"")),
_xlpm.notify,UPPER(TRIM(D312&amp;"")),
_xlpm.form,UPPER(TRIM(E312&amp;"")),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12" s="1" t="str">
        <f t="shared" si="4"/>
        <v>NA</v>
      </c>
      <c r="H312" s="5" t="s">
        <v>1945</v>
      </c>
      <c r="I312" s="1" t="s">
        <v>22</v>
      </c>
      <c r="J312" s="1" t="s">
        <v>1948</v>
      </c>
      <c r="K312" s="1" t="s">
        <v>1940</v>
      </c>
      <c r="L312" s="1" t="s">
        <v>22</v>
      </c>
      <c r="M312" s="1" t="s">
        <v>77</v>
      </c>
      <c r="N312" s="1" t="s">
        <v>1942</v>
      </c>
      <c r="O312" s="1" t="s">
        <v>19</v>
      </c>
      <c r="P312" s="1" t="s">
        <v>18</v>
      </c>
      <c r="Q312" s="1" t="s">
        <v>20</v>
      </c>
      <c r="R312" s="1" t="s">
        <v>1947</v>
      </c>
      <c r="S312" s="1">
        <v>17</v>
      </c>
      <c r="T312" s="1" t="s">
        <v>1949</v>
      </c>
      <c r="W312" t="s">
        <v>3361</v>
      </c>
    </row>
    <row r="313" spans="1:23">
      <c r="A313" s="1" t="s">
        <v>1931</v>
      </c>
      <c r="B313" s="1" t="str" cm="1">
        <f t="array" ref="B313">IF(A313="","",_xlfn.IFS(COUNTIF($U:$U,A313)&gt;0,"All uploaded",COUNTIF($V:$V,A313)&gt;0,"Partly uploaded",COUNTIF($W:$X,A313)&gt;0,"Not uploaded",TRUE,"Not classified"))</f>
        <v>Partly uploaded</v>
      </c>
      <c r="C313" s="1" t="str" cm="1">
        <f t="array" ref="C313">_xlfn.SWITCH(TRIM(I313),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13" s="1" t="s">
        <v>0</v>
      </c>
      <c r="E313" s="1" t="s">
        <v>3</v>
      </c>
      <c r="F313" s="1" t="str" cm="1">
        <f t="array" ref="F313">_xlfn.LET(
_xlpm.status,UPPER(TRIM(B313&amp;"")),
_xlpm.risk,UPPER(TRIM(C313&amp;"")),
_xlpm.notify,UPPER(TRIM(D313&amp;"")),
_xlpm.form,UPPER(TRIM(E313&amp;"")),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13" s="1" t="str">
        <f t="shared" si="4"/>
        <v>NA</v>
      </c>
      <c r="H313" s="5" t="s">
        <v>1934</v>
      </c>
      <c r="I313" s="1" t="s">
        <v>22</v>
      </c>
      <c r="J313" s="1" t="s">
        <v>1933</v>
      </c>
      <c r="K313" s="1" t="s">
        <v>1930</v>
      </c>
      <c r="L313" s="1" t="s">
        <v>22</v>
      </c>
      <c r="M313" s="1" t="s">
        <v>77</v>
      </c>
      <c r="N313" s="1" t="s">
        <v>1932</v>
      </c>
      <c r="O313" s="1" t="s">
        <v>19</v>
      </c>
      <c r="P313" s="1" t="s">
        <v>18</v>
      </c>
      <c r="Q313" s="1" t="s">
        <v>20</v>
      </c>
      <c r="R313" s="1" t="s">
        <v>203</v>
      </c>
      <c r="S313" s="1">
        <v>2</v>
      </c>
      <c r="T313" s="1" t="s">
        <v>1935</v>
      </c>
      <c r="W313" t="s">
        <v>3366</v>
      </c>
    </row>
    <row r="314" spans="1:23">
      <c r="A314" s="1" t="s">
        <v>1951</v>
      </c>
      <c r="B314" s="1" t="str" cm="1">
        <f t="array" ref="B314">IF(A314="","",_xlfn.IFS(COUNTIF($U:$U,A314)&gt;0,"All uploaded",COUNTIF($V:$V,A314)&gt;0,"Partly uploaded",COUNTIF($W:$X,A314)&gt;0,"Not uploaded",TRUE,"Not classified"))</f>
        <v>All uploaded</v>
      </c>
      <c r="C314" s="1" t="str" cm="1">
        <f t="array" ref="C314">_xlfn.SWITCH(TRIM(I314),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14" s="1" t="s">
        <v>1</v>
      </c>
      <c r="E314" s="1" t="s">
        <v>4</v>
      </c>
      <c r="F314" s="1" t="str" cm="1">
        <f t="array" ref="F314">_xlfn.LET(
_xlpm.status,UPPER(TRIM(B314&amp;"")),
_xlpm.risk,UPPER(TRIM(C314&amp;"")),
_xlpm.notify,UPPER(TRIM(D314&amp;"")),
_xlpm.form,UPPER(TRIM(E314&amp;"")),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14" s="1" t="str">
        <f t="shared" si="4"/>
        <v>Required</v>
      </c>
      <c r="H314" s="5" t="s">
        <v>1955</v>
      </c>
      <c r="I314" s="1" t="s">
        <v>27</v>
      </c>
      <c r="J314" s="1" t="s">
        <v>1954</v>
      </c>
      <c r="K314" s="1" t="s">
        <v>1950</v>
      </c>
      <c r="L314" s="1" t="s">
        <v>27</v>
      </c>
      <c r="M314" s="1" t="s">
        <v>28</v>
      </c>
      <c r="N314" s="1" t="s">
        <v>1952</v>
      </c>
      <c r="O314" s="1" t="s">
        <v>19</v>
      </c>
      <c r="P314" s="1" t="s">
        <v>18</v>
      </c>
      <c r="Q314" s="1" t="s">
        <v>20</v>
      </c>
      <c r="R314" s="1" t="s">
        <v>1953</v>
      </c>
      <c r="S314" s="1">
        <v>6</v>
      </c>
      <c r="T314" s="1" t="s">
        <v>1956</v>
      </c>
      <c r="W314" t="s">
        <v>3412</v>
      </c>
    </row>
    <row r="315" spans="1:23">
      <c r="A315" s="1" t="s">
        <v>1959</v>
      </c>
      <c r="B315" s="1" t="str" cm="1">
        <f t="array" ref="B315">IF(A315="","",_xlfn.IFS(COUNTIF($U:$U,A315)&gt;0,"All uploaded",COUNTIF($V:$V,A315)&gt;0,"Partly uploaded",COUNTIF($W:$X,A315)&gt;0,"Not uploaded",TRUE,"Not classified"))</f>
        <v>Partly uploaded</v>
      </c>
      <c r="C315" s="1" t="str" cm="1">
        <f t="array" ref="C315">_xlfn.SWITCH(TRIM(I315),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15" s="1" t="s">
        <v>1</v>
      </c>
      <c r="E315" s="1" t="s">
        <v>4</v>
      </c>
      <c r="F315" s="1" t="str" cm="1">
        <f t="array" ref="F315">_xlfn.LET(
_xlpm.status,UPPER(TRIM(B315&amp;"")),
_xlpm.risk,UPPER(TRIM(C315&amp;"")),
_xlpm.notify,UPPER(TRIM(D315&amp;"")),
_xlpm.form,UPPER(TRIM(E315&amp;"")),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15" s="1" t="str">
        <f t="shared" si="4"/>
        <v>Required</v>
      </c>
      <c r="H315" s="5" t="s">
        <v>1962</v>
      </c>
      <c r="I315" s="1" t="s">
        <v>27</v>
      </c>
      <c r="J315" s="1" t="s">
        <v>1961</v>
      </c>
      <c r="K315" s="1" t="s">
        <v>1950</v>
      </c>
      <c r="L315" s="1" t="s">
        <v>27</v>
      </c>
      <c r="M315" s="1" t="s">
        <v>28</v>
      </c>
      <c r="N315" s="1" t="s">
        <v>1960</v>
      </c>
      <c r="O315" s="1" t="s">
        <v>19</v>
      </c>
      <c r="P315" s="1" t="s">
        <v>18</v>
      </c>
      <c r="Q315" s="1" t="s">
        <v>20</v>
      </c>
      <c r="R315" s="1" t="s">
        <v>1718</v>
      </c>
      <c r="S315" s="1">
        <v>1</v>
      </c>
      <c r="T315" s="1" t="s">
        <v>1963</v>
      </c>
      <c r="W315" t="s">
        <v>3406</v>
      </c>
    </row>
    <row r="316" spans="1:23">
      <c r="A316" s="1" t="s">
        <v>1967</v>
      </c>
      <c r="B316" s="1" t="str" cm="1">
        <f t="array" ref="B316">IF(A316="","",_xlfn.IFS(COUNTIF($U:$U,A316)&gt;0,"All uploaded",COUNTIF($V:$V,A316)&gt;0,"Partly uploaded",COUNTIF($W:$X,A316)&gt;0,"Not uploaded",TRUE,"Not classified"))</f>
        <v>Partly uploaded</v>
      </c>
      <c r="C316" s="1" t="str" cm="1">
        <f t="array" ref="C316">_xlfn.SWITCH(TRIM(I316),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16" s="1" t="s">
        <v>1</v>
      </c>
      <c r="E316" s="1" t="s">
        <v>2</v>
      </c>
      <c r="F316" s="1" t="str" cm="1">
        <f t="array" ref="F316">_xlfn.LET(
_xlpm.status,UPPER(TRIM(B316&amp;"")),
_xlpm.risk,UPPER(TRIM(C316&amp;"")),
_xlpm.notify,UPPER(TRIM(D316&amp;"")),
_xlpm.form,UPPER(TRIM(E316&amp;"")),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16" s="1" t="str">
        <f t="shared" si="4"/>
        <v>NA</v>
      </c>
      <c r="H316" s="5" t="s">
        <v>1974</v>
      </c>
      <c r="I316" s="1" t="s">
        <v>23</v>
      </c>
      <c r="J316" s="1" t="s">
        <v>1973</v>
      </c>
      <c r="K316" s="1" t="s">
        <v>1964</v>
      </c>
      <c r="L316" s="1" t="s">
        <v>23</v>
      </c>
      <c r="M316" s="1" t="s">
        <v>28</v>
      </c>
      <c r="N316" s="1" t="s">
        <v>1968</v>
      </c>
      <c r="O316" s="1" t="s">
        <v>19</v>
      </c>
      <c r="P316" s="1" t="s">
        <v>18</v>
      </c>
      <c r="Q316" s="1" t="s">
        <v>20</v>
      </c>
      <c r="R316" s="1" t="s">
        <v>135</v>
      </c>
      <c r="S316" s="1">
        <v>1</v>
      </c>
      <c r="T316" s="1" t="s">
        <v>1975</v>
      </c>
      <c r="W316" t="s">
        <v>3377</v>
      </c>
    </row>
    <row r="317" spans="1:23">
      <c r="A317" s="1" t="s">
        <v>1979</v>
      </c>
      <c r="B317" s="1" t="str" cm="1">
        <f t="array" ref="B317">IF(A317="","",_xlfn.IFS(COUNTIF($U:$U,A317)&gt;0,"All uploaded",COUNTIF($V:$V,A317)&gt;0,"Partly uploaded",COUNTIF($W:$X,A317)&gt;0,"Not uploaded",TRUE,"Not classified"))</f>
        <v>Partly uploaded</v>
      </c>
      <c r="C317" s="1" t="str" cm="1">
        <f t="array" ref="C317">_xlfn.SWITCH(TRIM(I317),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17" s="1" t="s">
        <v>0</v>
      </c>
      <c r="E317" s="1" t="s">
        <v>4</v>
      </c>
      <c r="F317" s="1" t="str" cm="1">
        <f t="array" ref="F317">_xlfn.LET(
_xlpm.status,UPPER(TRIM(B317&amp;"")),
_xlpm.risk,UPPER(TRIM(C317&amp;"")),
_xlpm.notify,UPPER(TRIM(D317&amp;"")),
_xlpm.form,UPPER(TRIM(E317&amp;"")),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17" s="1" t="str">
        <f t="shared" si="4"/>
        <v>NA</v>
      </c>
      <c r="H317" s="5" t="s">
        <v>1982</v>
      </c>
      <c r="I317" s="1" t="s">
        <v>22</v>
      </c>
      <c r="J317" s="1" t="s">
        <v>1981</v>
      </c>
      <c r="K317" s="1" t="s">
        <v>1978</v>
      </c>
      <c r="L317" s="1" t="s">
        <v>22</v>
      </c>
      <c r="M317" s="1" t="s">
        <v>77</v>
      </c>
      <c r="N317" s="1" t="s">
        <v>1980</v>
      </c>
      <c r="O317" s="1" t="s">
        <v>19</v>
      </c>
      <c r="P317" s="1" t="s">
        <v>18</v>
      </c>
      <c r="Q317" s="1" t="s">
        <v>20</v>
      </c>
      <c r="R317" s="1" t="s">
        <v>1200</v>
      </c>
      <c r="S317" s="1">
        <v>2</v>
      </c>
      <c r="T317" s="1" t="s">
        <v>1983</v>
      </c>
      <c r="W317" t="s">
        <v>3386</v>
      </c>
    </row>
    <row r="318" spans="1:23">
      <c r="A318" s="1" t="s">
        <v>2024</v>
      </c>
      <c r="B318" s="1" t="str" cm="1">
        <f t="array" ref="B318">IF(A318="","",_xlfn.IFS(COUNTIF($U:$U,A318)&gt;0,"All uploaded",COUNTIF($V:$V,A318)&gt;0,"Partly uploaded",COUNTIF($W:$X,A318)&gt;0,"Not uploaded",TRUE,"Not classified"))</f>
        <v>Partly uploaded</v>
      </c>
      <c r="C318" s="1" t="str" cm="1">
        <f t="array" ref="C318">_xlfn.SWITCH(TRIM(I318),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18" s="1" t="s">
        <v>0</v>
      </c>
      <c r="E318" s="1" t="s">
        <v>4</v>
      </c>
      <c r="F318" s="1" t="str" cm="1">
        <f t="array" ref="F318">_xlfn.LET(
_xlpm.status,UPPER(TRIM(B318&amp;"")),
_xlpm.risk,UPPER(TRIM(C318&amp;"")),
_xlpm.notify,UPPER(TRIM(D318&amp;"")),
_xlpm.form,UPPER(TRIM(E318&amp;"")),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18" s="1" t="str">
        <f t="shared" si="4"/>
        <v>NA</v>
      </c>
      <c r="H318" s="5" t="s">
        <v>2029</v>
      </c>
      <c r="I318" s="1" t="s">
        <v>22</v>
      </c>
      <c r="J318" s="1" t="s">
        <v>2028</v>
      </c>
      <c r="K318" s="1" t="s">
        <v>2023</v>
      </c>
      <c r="L318" s="1" t="s">
        <v>22</v>
      </c>
      <c r="M318" s="1" t="s">
        <v>77</v>
      </c>
      <c r="N318" s="1" t="s">
        <v>2025</v>
      </c>
      <c r="O318" s="1" t="s">
        <v>19</v>
      </c>
      <c r="P318" s="1" t="s">
        <v>18</v>
      </c>
      <c r="Q318" s="1" t="s">
        <v>20</v>
      </c>
      <c r="R318" s="1" t="s">
        <v>1200</v>
      </c>
      <c r="S318" s="1">
        <v>1</v>
      </c>
      <c r="T318" s="1" t="s">
        <v>2030</v>
      </c>
      <c r="W318" t="s">
        <v>3399</v>
      </c>
    </row>
    <row r="319" spans="1:23">
      <c r="A319" s="1" t="s">
        <v>1987</v>
      </c>
      <c r="B319" s="1" t="str" cm="1">
        <f t="array" ref="B319">IF(A319="","",_xlfn.IFS(COUNTIF($U:$U,A319)&gt;0,"All uploaded",COUNTIF($V:$V,A319)&gt;0,"Partly uploaded",COUNTIF($W:$X,A319)&gt;0,"Not uploaded",TRUE,"Not classified"))</f>
        <v>All uploaded</v>
      </c>
      <c r="C319" s="1" t="str" cm="1">
        <f t="array" ref="C319">_xlfn.SWITCH(TRIM(I319),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19" s="1" t="s">
        <v>0</v>
      </c>
      <c r="E319" s="1" t="s">
        <v>3</v>
      </c>
      <c r="F319" s="1" t="str" cm="1">
        <f t="array" ref="F319">_xlfn.LET(
_xlpm.status,UPPER(TRIM(B319&amp;"")),
_xlpm.risk,UPPER(TRIM(C319&amp;"")),
_xlpm.notify,UPPER(TRIM(D319&amp;"")),
_xlpm.form,UPPER(TRIM(E319&amp;"")),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19" s="1" t="str">
        <f t="shared" si="4"/>
        <v>NA</v>
      </c>
      <c r="H319" s="5" t="s">
        <v>1990</v>
      </c>
      <c r="I319" s="1" t="s">
        <v>22</v>
      </c>
      <c r="J319" s="1" t="s">
        <v>1989</v>
      </c>
      <c r="K319" s="1" t="s">
        <v>1986</v>
      </c>
      <c r="L319" s="1" t="s">
        <v>22</v>
      </c>
      <c r="M319" s="1" t="s">
        <v>77</v>
      </c>
      <c r="N319" s="1" t="s">
        <v>1988</v>
      </c>
      <c r="O319" s="1" t="s">
        <v>19</v>
      </c>
      <c r="P319" s="1" t="s">
        <v>18</v>
      </c>
      <c r="Q319" s="1" t="s">
        <v>20</v>
      </c>
      <c r="R319" s="1" t="s">
        <v>203</v>
      </c>
      <c r="S319" s="1">
        <v>2</v>
      </c>
      <c r="T319" s="1" t="s">
        <v>1991</v>
      </c>
      <c r="W319" t="s">
        <v>3409</v>
      </c>
    </row>
    <row r="320" spans="1:23">
      <c r="A320" s="1" t="s">
        <v>1993</v>
      </c>
      <c r="B320" s="1" t="str" cm="1">
        <f t="array" ref="B320">IF(A320="","",_xlfn.IFS(COUNTIF($U:$U,A320)&gt;0,"All uploaded",COUNTIF($V:$V,A320)&gt;0,"Partly uploaded",COUNTIF($W:$X,A320)&gt;0,"Not uploaded",TRUE,"Not classified"))</f>
        <v>All uploaded</v>
      </c>
      <c r="C320" s="1" t="str" cm="1">
        <f t="array" ref="C320">_xlfn.SWITCH(TRIM(I320),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20" s="1" t="s">
        <v>1</v>
      </c>
      <c r="E320" s="1" t="s">
        <v>4</v>
      </c>
      <c r="F320" s="1" t="str" cm="1">
        <f t="array" ref="F320">_xlfn.LET(
_xlpm.status,UPPER(TRIM(B320&amp;"")),
_xlpm.risk,UPPER(TRIM(C320&amp;"")),
_xlpm.notify,UPPER(TRIM(D320&amp;"")),
_xlpm.form,UPPER(TRIM(E320&amp;"")),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20" s="1" t="str">
        <f t="shared" si="4"/>
        <v>Required</v>
      </c>
      <c r="H320" s="5" t="s">
        <v>1996</v>
      </c>
      <c r="I320" s="1" t="s">
        <v>25</v>
      </c>
      <c r="J320" s="1" t="s">
        <v>1995</v>
      </c>
      <c r="K320" s="1" t="s">
        <v>1992</v>
      </c>
      <c r="L320" s="1" t="s">
        <v>25</v>
      </c>
      <c r="M320" s="1" t="s">
        <v>28</v>
      </c>
      <c r="N320" s="1" t="s">
        <v>1847</v>
      </c>
      <c r="O320" s="1" t="s">
        <v>19</v>
      </c>
      <c r="P320" s="1" t="s">
        <v>18</v>
      </c>
      <c r="Q320" s="1" t="s">
        <v>20</v>
      </c>
      <c r="R320" s="1" t="s">
        <v>1994</v>
      </c>
      <c r="S320" s="1">
        <v>4</v>
      </c>
      <c r="T320" s="1" t="s">
        <v>1997</v>
      </c>
      <c r="W320" t="s">
        <v>3423</v>
      </c>
    </row>
    <row r="321" spans="1:23">
      <c r="A321" s="1" t="s">
        <v>1993</v>
      </c>
      <c r="B321" s="1" t="str" cm="1">
        <f t="array" ref="B321">IF(A321="","",_xlfn.IFS(COUNTIF($U:$U,A321)&gt;0,"All uploaded",COUNTIF($V:$V,A321)&gt;0,"Partly uploaded",COUNTIF($W:$X,A321)&gt;0,"Not uploaded",TRUE,"Not classified"))</f>
        <v>All uploaded</v>
      </c>
      <c r="C321" s="1" t="str" cm="1">
        <f t="array" ref="C321">_xlfn.SWITCH(TRIM(I321),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21" s="1" t="s">
        <v>0</v>
      </c>
      <c r="E321" s="1" t="s">
        <v>4</v>
      </c>
      <c r="F321" s="1" t="str" cm="1">
        <f t="array" ref="F321">_xlfn.LET(
_xlpm.status,UPPER(TRIM(B321&amp;"")),
_xlpm.risk,UPPER(TRIM(C321&amp;"")),
_xlpm.notify,UPPER(TRIM(D321&amp;"")),
_xlpm.form,UPPER(TRIM(E321&amp;"")),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21" s="1" t="str">
        <f t="shared" si="4"/>
        <v>Required</v>
      </c>
      <c r="H321" s="5" t="s">
        <v>1996</v>
      </c>
      <c r="I321" s="1" t="s">
        <v>25</v>
      </c>
      <c r="J321" s="1" t="s">
        <v>1999</v>
      </c>
      <c r="K321" s="1" t="s">
        <v>1992</v>
      </c>
      <c r="L321" s="1" t="s">
        <v>25</v>
      </c>
      <c r="M321" s="1" t="s">
        <v>28</v>
      </c>
      <c r="N321" s="1" t="s">
        <v>1847</v>
      </c>
      <c r="O321" s="1" t="s">
        <v>19</v>
      </c>
      <c r="P321" s="1" t="s">
        <v>18</v>
      </c>
      <c r="Q321" s="1" t="s">
        <v>20</v>
      </c>
      <c r="R321" s="1" t="s">
        <v>1998</v>
      </c>
      <c r="S321" s="1">
        <v>2</v>
      </c>
      <c r="T321" s="1" t="s">
        <v>2000</v>
      </c>
      <c r="W321" t="s">
        <v>3422</v>
      </c>
    </row>
    <row r="322" spans="1:23">
      <c r="A322" s="1" t="s">
        <v>1993</v>
      </c>
      <c r="B322" s="1" t="str" cm="1">
        <f t="array" ref="B322">IF(A322="","",_xlfn.IFS(COUNTIF($U:$U,A322)&gt;0,"All uploaded",COUNTIF($V:$V,A322)&gt;0,"Partly uploaded",COUNTIF($W:$X,A322)&gt;0,"Not uploaded",TRUE,"Not classified"))</f>
        <v>All uploaded</v>
      </c>
      <c r="C322" s="1" t="str" cm="1">
        <f t="array" ref="C322">_xlfn.SWITCH(TRIM(I322),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22" s="1" t="s">
        <v>0</v>
      </c>
      <c r="E322" s="1" t="s">
        <v>3</v>
      </c>
      <c r="F322" s="1" t="str" cm="1">
        <f t="array" ref="F322">_xlfn.LET(
_xlpm.status,UPPER(TRIM(B322&amp;"")),
_xlpm.risk,UPPER(TRIM(C322&amp;"")),
_xlpm.notify,UPPER(TRIM(D322&amp;"")),
_xlpm.form,UPPER(TRIM(E322&amp;"")),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22" s="1" t="str">
        <f t="shared" si="4"/>
        <v>NA</v>
      </c>
      <c r="H322" s="5" t="s">
        <v>1996</v>
      </c>
      <c r="I322" s="1" t="s">
        <v>25</v>
      </c>
      <c r="J322" s="1" t="s">
        <v>2001</v>
      </c>
      <c r="K322" s="1" t="s">
        <v>1992</v>
      </c>
      <c r="L322" s="1" t="s">
        <v>25</v>
      </c>
      <c r="M322" s="1" t="s">
        <v>28</v>
      </c>
      <c r="N322" s="1" t="s">
        <v>1847</v>
      </c>
      <c r="O322" s="1" t="s">
        <v>19</v>
      </c>
      <c r="P322" s="1" t="s">
        <v>18</v>
      </c>
      <c r="Q322" s="1" t="s">
        <v>20</v>
      </c>
      <c r="R322" s="1" t="s">
        <v>1998</v>
      </c>
      <c r="S322" s="1">
        <v>2</v>
      </c>
      <c r="T322" s="1" t="s">
        <v>2002</v>
      </c>
      <c r="W322" t="s">
        <v>3418</v>
      </c>
    </row>
    <row r="323" spans="1:23">
      <c r="A323" s="1" t="s">
        <v>2019</v>
      </c>
      <c r="B323" s="1" t="str" cm="1">
        <f t="array" ref="B323">IF(A323="","",_xlfn.IFS(COUNTIF($U:$U,A323)&gt;0,"All uploaded",COUNTIF($V:$V,A323)&gt;0,"Partly uploaded",COUNTIF($W:$X,A323)&gt;0,"Not uploaded",TRUE,"Not classified"))</f>
        <v>Partly uploaded</v>
      </c>
      <c r="C323" s="1" t="str" cm="1">
        <f t="array" ref="C323">_xlfn.SWITCH(TRIM(I323),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23" s="1" t="s">
        <v>0</v>
      </c>
      <c r="E323" s="1" t="s">
        <v>4</v>
      </c>
      <c r="F323" s="1" t="str" cm="1">
        <f t="array" ref="F323">_xlfn.LET(
_xlpm.status,UPPER(TRIM(B323&amp;"")),
_xlpm.risk,UPPER(TRIM(C323&amp;"")),
_xlpm.notify,UPPER(TRIM(D323&amp;"")),
_xlpm.form,UPPER(TRIM(E323&amp;"")),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23" s="1" t="str">
        <f t="shared" ref="G323:G386" si="5">IF(AND(UPPER(TRIM(C323&amp;""))="MAJOR",OR(TRIM(D323&amp;"")="",UPPER(TRIM(E323&amp;""))="REJECT")),"Required","NA")</f>
        <v>Required</v>
      </c>
      <c r="H323" s="5" t="s">
        <v>2022</v>
      </c>
      <c r="I323" s="1" t="s">
        <v>33</v>
      </c>
      <c r="J323" s="1" t="s">
        <v>2021</v>
      </c>
      <c r="K323" s="1" t="s">
        <v>2016</v>
      </c>
      <c r="L323" s="1" t="s">
        <v>33</v>
      </c>
      <c r="M323" s="1" t="s">
        <v>77</v>
      </c>
      <c r="N323" s="1" t="s">
        <v>2020</v>
      </c>
      <c r="O323" s="1" t="s">
        <v>19</v>
      </c>
      <c r="P323" s="1" t="s">
        <v>18</v>
      </c>
      <c r="Q323" s="1" t="s">
        <v>20</v>
      </c>
      <c r="R323" s="1" t="s">
        <v>203</v>
      </c>
      <c r="S323" s="1">
        <v>4</v>
      </c>
      <c r="T323" s="1" t="s">
        <v>1997</v>
      </c>
      <c r="W323" t="s">
        <v>3415</v>
      </c>
    </row>
    <row r="324" spans="1:23">
      <c r="A324" s="1" t="s">
        <v>2003</v>
      </c>
      <c r="B324" s="1" t="str" cm="1">
        <f t="array" ref="B324">IF(A324="","",_xlfn.IFS(COUNTIF($U:$U,A324)&gt;0,"All uploaded",COUNTIF($V:$V,A324)&gt;0,"Partly uploaded",COUNTIF($W:$X,A324)&gt;0,"Not uploaded",TRUE,"Not classified"))</f>
        <v>Partly uploaded</v>
      </c>
      <c r="C324" s="1" t="str" cm="1">
        <f t="array" ref="C324">_xlfn.SWITCH(TRIM(I324),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24" s="1" t="s">
        <v>0</v>
      </c>
      <c r="E324" s="1" t="s">
        <v>3</v>
      </c>
      <c r="F324" s="1" t="str" cm="1">
        <f t="array" ref="F324">_xlfn.LET(
_xlpm.status,UPPER(TRIM(B324&amp;"")),
_xlpm.risk,UPPER(TRIM(C324&amp;"")),
_xlpm.notify,UPPER(TRIM(D324&amp;"")),
_xlpm.form,UPPER(TRIM(E324&amp;"")),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24" s="1" t="str">
        <f t="shared" si="5"/>
        <v>NA</v>
      </c>
      <c r="H324" s="5" t="s">
        <v>2010</v>
      </c>
      <c r="I324" s="1" t="s">
        <v>27</v>
      </c>
      <c r="J324" s="1" t="s">
        <v>2009</v>
      </c>
      <c r="K324" s="1" t="s">
        <v>1992</v>
      </c>
      <c r="L324" s="1" t="s">
        <v>27</v>
      </c>
      <c r="M324" s="1" t="s">
        <v>28</v>
      </c>
      <c r="N324" s="1" t="s">
        <v>2004</v>
      </c>
      <c r="O324" s="1" t="s">
        <v>19</v>
      </c>
      <c r="P324" s="1" t="s">
        <v>18</v>
      </c>
      <c r="Q324" s="1" t="s">
        <v>20</v>
      </c>
      <c r="R324" s="1" t="s">
        <v>2008</v>
      </c>
      <c r="S324" s="1">
        <v>11</v>
      </c>
      <c r="T324" s="1" t="s">
        <v>2011</v>
      </c>
      <c r="W324" t="s">
        <v>3420</v>
      </c>
    </row>
    <row r="325" spans="1:23">
      <c r="A325" s="1" t="s">
        <v>2003</v>
      </c>
      <c r="B325" s="1" t="str" cm="1">
        <f t="array" ref="B325">IF(A325="","",_xlfn.IFS(COUNTIF($U:$U,A325)&gt;0,"All uploaded",COUNTIF($V:$V,A325)&gt;0,"Partly uploaded",COUNTIF($W:$X,A325)&gt;0,"Not uploaded",TRUE,"Not classified"))</f>
        <v>Partly uploaded</v>
      </c>
      <c r="C325" s="1" t="str" cm="1">
        <f t="array" ref="C325">_xlfn.SWITCH(TRIM(I325),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25" s="1" t="s">
        <v>1</v>
      </c>
      <c r="E325" s="1" t="s">
        <v>4</v>
      </c>
      <c r="F325" s="1" t="str" cm="1">
        <f t="array" ref="F325">_xlfn.LET(
_xlpm.status,UPPER(TRIM(B325&amp;"")),
_xlpm.risk,UPPER(TRIM(C325&amp;"")),
_xlpm.notify,UPPER(TRIM(D325&amp;"")),
_xlpm.form,UPPER(TRIM(E325&amp;"")),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25" s="1" t="str">
        <f t="shared" si="5"/>
        <v>Required</v>
      </c>
      <c r="H325" s="5" t="s">
        <v>2006</v>
      </c>
      <c r="I325" s="1" t="s">
        <v>27</v>
      </c>
      <c r="J325" s="1" t="s">
        <v>2005</v>
      </c>
      <c r="K325" s="1" t="s">
        <v>1992</v>
      </c>
      <c r="L325" s="1" t="s">
        <v>27</v>
      </c>
      <c r="M325" s="1" t="s">
        <v>28</v>
      </c>
      <c r="N325" s="1" t="s">
        <v>2004</v>
      </c>
      <c r="O325" s="1" t="s">
        <v>19</v>
      </c>
      <c r="P325" s="1" t="s">
        <v>18</v>
      </c>
      <c r="Q325" s="1" t="s">
        <v>20</v>
      </c>
      <c r="R325" s="1" t="s">
        <v>902</v>
      </c>
      <c r="S325" s="1">
        <v>10</v>
      </c>
      <c r="T325" s="1" t="s">
        <v>2007</v>
      </c>
      <c r="W325" t="s">
        <v>3424</v>
      </c>
    </row>
    <row r="326" spans="1:23">
      <c r="A326" s="1" t="s">
        <v>2145</v>
      </c>
      <c r="B326" s="1" t="str" cm="1">
        <f t="array" ref="B326">IF(A326="","",_xlfn.IFS(COUNTIF($U:$U,A326)&gt;0,"All uploaded",COUNTIF($V:$V,A326)&gt;0,"Partly uploaded",COUNTIF($W:$X,A326)&gt;0,"Not uploaded",TRUE,"Not classified"))</f>
        <v>All uploaded</v>
      </c>
      <c r="C326" s="1" t="str" cm="1">
        <f t="array" ref="C326">_xlfn.SWITCH(TRIM(I326),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26" s="1" t="s">
        <v>0</v>
      </c>
      <c r="E326" s="1" t="s">
        <v>4</v>
      </c>
      <c r="F326" s="1" t="str" cm="1">
        <f t="array" ref="F326">_xlfn.LET(
_xlpm.status,UPPER(TRIM(B326&amp;"")),
_xlpm.risk,UPPER(TRIM(C326&amp;"")),
_xlpm.notify,UPPER(TRIM(D326&amp;"")),
_xlpm.form,UPPER(TRIM(E326&amp;"")),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26" s="1" t="str">
        <f t="shared" si="5"/>
        <v>NA</v>
      </c>
      <c r="H326" s="5" t="s">
        <v>2148</v>
      </c>
      <c r="I326" s="1" t="s">
        <v>22</v>
      </c>
      <c r="J326" s="1" t="s">
        <v>2147</v>
      </c>
      <c r="K326" s="1" t="s">
        <v>2144</v>
      </c>
      <c r="L326" s="1" t="s">
        <v>22</v>
      </c>
      <c r="M326" s="1" t="s">
        <v>77</v>
      </c>
      <c r="N326" s="1" t="s">
        <v>2146</v>
      </c>
      <c r="O326" s="1" t="s">
        <v>19</v>
      </c>
      <c r="P326" s="1" t="s">
        <v>18</v>
      </c>
      <c r="Q326" s="1" t="s">
        <v>20</v>
      </c>
      <c r="R326" s="1" t="s">
        <v>2080</v>
      </c>
      <c r="S326" s="1">
        <v>1</v>
      </c>
      <c r="T326" s="1" t="s">
        <v>138</v>
      </c>
      <c r="W326" t="s">
        <v>3432</v>
      </c>
    </row>
    <row r="327" spans="1:23">
      <c r="A327" s="1" t="s">
        <v>2036</v>
      </c>
      <c r="B327" s="1" t="str" cm="1">
        <f t="array" ref="B327">IF(A327="","",_xlfn.IFS(COUNTIF($U:$U,A327)&gt;0,"All uploaded",COUNTIF($V:$V,A327)&gt;0,"Partly uploaded",COUNTIF($W:$X,A327)&gt;0,"Not uploaded",TRUE,"Not classified"))</f>
        <v>Partly uploaded</v>
      </c>
      <c r="C327" s="1" t="str" cm="1">
        <f t="array" ref="C327">_xlfn.SWITCH(TRIM(I327),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27" s="1" t="s">
        <v>0</v>
      </c>
      <c r="E327" s="1" t="s">
        <v>2</v>
      </c>
      <c r="F327" s="1" t="str" cm="1">
        <f t="array" ref="F327">_xlfn.LET(
_xlpm.status,UPPER(TRIM(B327&amp;"")),
_xlpm.risk,UPPER(TRIM(C327&amp;"")),
_xlpm.notify,UPPER(TRIM(D327&amp;"")),
_xlpm.form,UPPER(TRIM(E327&amp;"")),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27" s="1" t="str">
        <f t="shared" si="5"/>
        <v>NA</v>
      </c>
      <c r="H327" s="5" t="s">
        <v>2039</v>
      </c>
      <c r="I327" s="1" t="s">
        <v>22</v>
      </c>
      <c r="J327" s="1" t="s">
        <v>2038</v>
      </c>
      <c r="K327" s="1" t="s">
        <v>2035</v>
      </c>
      <c r="L327" s="1" t="s">
        <v>22</v>
      </c>
      <c r="M327" s="1" t="s">
        <v>77</v>
      </c>
      <c r="N327" s="1" t="s">
        <v>2037</v>
      </c>
      <c r="O327" s="1" t="s">
        <v>19</v>
      </c>
      <c r="P327" s="1" t="s">
        <v>18</v>
      </c>
      <c r="Q327" s="1" t="s">
        <v>20</v>
      </c>
      <c r="R327" s="1" t="s">
        <v>1200</v>
      </c>
      <c r="S327" s="1">
        <v>1</v>
      </c>
      <c r="T327" s="1" t="s">
        <v>2040</v>
      </c>
      <c r="W327" t="s">
        <v>3434</v>
      </c>
    </row>
    <row r="328" spans="1:23">
      <c r="A328" s="1" t="s">
        <v>2053</v>
      </c>
      <c r="B328" s="1" t="str" cm="1">
        <f t="array" ref="B328">IF(A328="","",_xlfn.IFS(COUNTIF($U:$U,A328)&gt;0,"All uploaded",COUNTIF($V:$V,A328)&gt;0,"Partly uploaded",COUNTIF($W:$X,A328)&gt;0,"Not uploaded",TRUE,"Not classified"))</f>
        <v>Partly uploaded</v>
      </c>
      <c r="C328" s="1" t="str" cm="1">
        <f t="array" ref="C328">_xlfn.SWITCH(TRIM(I328),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28" s="1" t="s">
        <v>1</v>
      </c>
      <c r="E328" s="1" t="s">
        <v>2</v>
      </c>
      <c r="F328" s="1" t="str" cm="1">
        <f t="array" ref="F328">_xlfn.LET(
_xlpm.status,UPPER(TRIM(B328&amp;"")),
_xlpm.risk,UPPER(TRIM(C328&amp;"")),
_xlpm.notify,UPPER(TRIM(D328&amp;"")),
_xlpm.form,UPPER(TRIM(E328&amp;"")),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28" s="1" t="str">
        <f t="shared" si="5"/>
        <v>NA</v>
      </c>
      <c r="H328" s="5" t="s">
        <v>2056</v>
      </c>
      <c r="I328" s="1" t="s">
        <v>25</v>
      </c>
      <c r="J328" s="1" t="s">
        <v>2055</v>
      </c>
      <c r="K328" s="1" t="s">
        <v>2043</v>
      </c>
      <c r="L328" s="1" t="s">
        <v>25</v>
      </c>
      <c r="M328" s="1" t="s">
        <v>28</v>
      </c>
      <c r="N328" s="1" t="s">
        <v>2054</v>
      </c>
      <c r="O328" s="1" t="s">
        <v>19</v>
      </c>
      <c r="P328" s="1" t="s">
        <v>18</v>
      </c>
      <c r="Q328" s="1" t="s">
        <v>20</v>
      </c>
      <c r="R328" s="1" t="s">
        <v>146</v>
      </c>
      <c r="S328" s="1">
        <v>1</v>
      </c>
      <c r="T328" s="1" t="s">
        <v>2057</v>
      </c>
      <c r="W328" t="s">
        <v>3427</v>
      </c>
    </row>
    <row r="329" spans="1:23">
      <c r="A329" s="1" t="s">
        <v>2053</v>
      </c>
      <c r="B329" s="1" t="str" cm="1">
        <f t="array" ref="B329">IF(A329="","",_xlfn.IFS(COUNTIF($U:$U,A329)&gt;0,"All uploaded",COUNTIF($V:$V,A329)&gt;0,"Partly uploaded",COUNTIF($W:$X,A329)&gt;0,"Not uploaded",TRUE,"Not classified"))</f>
        <v>Partly uploaded</v>
      </c>
      <c r="C329" s="1" t="str" cm="1">
        <f t="array" ref="C329">_xlfn.SWITCH(TRIM(I329),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29" s="1" t="s">
        <v>1</v>
      </c>
      <c r="E329" s="1" t="s">
        <v>4</v>
      </c>
      <c r="F329" s="1" t="str" cm="1">
        <f t="array" ref="F329">_xlfn.LET(
_xlpm.status,UPPER(TRIM(B329&amp;"")),
_xlpm.risk,UPPER(TRIM(C329&amp;"")),
_xlpm.notify,UPPER(TRIM(D329&amp;"")),
_xlpm.form,UPPER(TRIM(E329&amp;"")),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29" s="1" t="str">
        <f t="shared" si="5"/>
        <v>Required</v>
      </c>
      <c r="H329" s="5" t="s">
        <v>2059</v>
      </c>
      <c r="I329" s="1" t="s">
        <v>25</v>
      </c>
      <c r="J329" s="1" t="s">
        <v>2058</v>
      </c>
      <c r="K329" s="1" t="s">
        <v>2043</v>
      </c>
      <c r="L329" s="1" t="s">
        <v>25</v>
      </c>
      <c r="M329" s="1" t="s">
        <v>28</v>
      </c>
      <c r="N329" s="1" t="s">
        <v>2054</v>
      </c>
      <c r="O329" s="1" t="s">
        <v>19</v>
      </c>
      <c r="P329" s="1" t="s">
        <v>18</v>
      </c>
      <c r="Q329" s="1" t="s">
        <v>20</v>
      </c>
      <c r="R329" s="1" t="s">
        <v>1807</v>
      </c>
      <c r="S329" s="1">
        <v>1</v>
      </c>
      <c r="T329" s="1" t="s">
        <v>2060</v>
      </c>
      <c r="W329" t="s">
        <v>3442</v>
      </c>
    </row>
    <row r="330" spans="1:23">
      <c r="A330" s="1" t="s">
        <v>2069</v>
      </c>
      <c r="B330" s="1" t="str" cm="1">
        <f t="array" ref="B330">IF(A330="","",_xlfn.IFS(COUNTIF($U:$U,A330)&gt;0,"All uploaded",COUNTIF($V:$V,A330)&gt;0,"Partly uploaded",COUNTIF($W:$X,A330)&gt;0,"Not uploaded",TRUE,"Not classified"))</f>
        <v>All uploaded</v>
      </c>
      <c r="C330" s="1" t="str" cm="1">
        <f t="array" ref="C330">_xlfn.SWITCH(TRIM(I330),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30" s="1" t="s">
        <v>0</v>
      </c>
      <c r="E330" s="1" t="s">
        <v>4</v>
      </c>
      <c r="F330" s="1" t="str" cm="1">
        <f t="array" ref="F330">_xlfn.LET(
_xlpm.status,UPPER(TRIM(B330&amp;"")),
_xlpm.risk,UPPER(TRIM(C330&amp;"")),
_xlpm.notify,UPPER(TRIM(D330&amp;"")),
_xlpm.form,UPPER(TRIM(E330&amp;"")),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30" s="1" t="str">
        <f t="shared" si="5"/>
        <v>Required</v>
      </c>
      <c r="H330" s="5" t="s">
        <v>2072</v>
      </c>
      <c r="I330" s="1" t="s">
        <v>25</v>
      </c>
      <c r="J330" s="1" t="s">
        <v>2071</v>
      </c>
      <c r="K330" s="1" t="s">
        <v>2068</v>
      </c>
      <c r="L330" s="1" t="s">
        <v>25</v>
      </c>
      <c r="M330" s="1" t="s">
        <v>28</v>
      </c>
      <c r="N330" s="1" t="s">
        <v>2070</v>
      </c>
      <c r="O330" s="1" t="s">
        <v>19</v>
      </c>
      <c r="P330" s="1" t="s">
        <v>18</v>
      </c>
      <c r="Q330" s="1" t="s">
        <v>20</v>
      </c>
      <c r="R330" s="1" t="s">
        <v>88</v>
      </c>
      <c r="S330" s="1">
        <v>8</v>
      </c>
      <c r="T330" s="1" t="s">
        <v>2073</v>
      </c>
      <c r="W330" t="s">
        <v>3440</v>
      </c>
    </row>
    <row r="331" spans="1:23">
      <c r="A331" s="1" t="s">
        <v>2069</v>
      </c>
      <c r="B331" s="1" t="str" cm="1">
        <f t="array" ref="B331">IF(A331="","",_xlfn.IFS(COUNTIF($U:$U,A331)&gt;0,"All uploaded",COUNTIF($V:$V,A331)&gt;0,"Partly uploaded",COUNTIF($W:$X,A331)&gt;0,"Not uploaded",TRUE,"Not classified"))</f>
        <v>All uploaded</v>
      </c>
      <c r="C331" s="1" t="str" cm="1">
        <f t="array" ref="C331">_xlfn.SWITCH(TRIM(I331),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31" s="1" t="s">
        <v>0</v>
      </c>
      <c r="E331" s="1" t="s">
        <v>5</v>
      </c>
      <c r="F331" s="1" t="str" cm="1">
        <f t="array" ref="F331">_xlfn.LET(
_xlpm.status,UPPER(TRIM(B331&amp;"")),
_xlpm.risk,UPPER(TRIM(C331&amp;"")),
_xlpm.notify,UPPER(TRIM(D331&amp;"")),
_xlpm.form,UPPER(TRIM(E331&amp;"")),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canceled</v>
      </c>
      <c r="G331" s="1" t="str">
        <f t="shared" si="5"/>
        <v>NA</v>
      </c>
      <c r="H331" s="5" t="s">
        <v>2072</v>
      </c>
      <c r="I331" s="1" t="s">
        <v>25</v>
      </c>
      <c r="J331" s="1" t="s">
        <v>2075</v>
      </c>
      <c r="K331" s="1" t="s">
        <v>2068</v>
      </c>
      <c r="L331" s="1" t="s">
        <v>25</v>
      </c>
      <c r="M331" s="1" t="s">
        <v>80</v>
      </c>
      <c r="N331" s="1" t="s">
        <v>2070</v>
      </c>
      <c r="O331" s="1" t="s">
        <v>19</v>
      </c>
      <c r="P331" s="1" t="s">
        <v>18</v>
      </c>
      <c r="Q331" s="1" t="s">
        <v>20</v>
      </c>
      <c r="R331" s="1" t="s">
        <v>2074</v>
      </c>
      <c r="S331" s="1">
        <v>8</v>
      </c>
      <c r="T331" s="1" t="s">
        <v>2073</v>
      </c>
      <c r="W331" t="s">
        <v>3448</v>
      </c>
    </row>
    <row r="332" spans="1:23">
      <c r="A332" s="1" t="s">
        <v>2097</v>
      </c>
      <c r="B332" s="1" t="str" cm="1">
        <f t="array" ref="B332">IF(A332="","",_xlfn.IFS(COUNTIF($U:$U,A332)&gt;0,"All uploaded",COUNTIF($V:$V,A332)&gt;0,"Partly uploaded",COUNTIF($W:$X,A332)&gt;0,"Not uploaded",TRUE,"Not classified"))</f>
        <v>Partly uploaded</v>
      </c>
      <c r="C332" s="1" t="str" cm="1">
        <f t="array" ref="C332">_xlfn.SWITCH(TRIM(I332),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32" s="1" t="s">
        <v>0</v>
      </c>
      <c r="E332" s="1" t="s">
        <v>4</v>
      </c>
      <c r="F332" s="1" t="str" cm="1">
        <f t="array" ref="F332">_xlfn.LET(
_xlpm.status,UPPER(TRIM(B332&amp;"")),
_xlpm.risk,UPPER(TRIM(C332&amp;"")),
_xlpm.notify,UPPER(TRIM(D332&amp;"")),
_xlpm.form,UPPER(TRIM(E332&amp;"")),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32" s="1" t="str">
        <f t="shared" si="5"/>
        <v>NA</v>
      </c>
      <c r="H332" s="5" t="s">
        <v>2103</v>
      </c>
      <c r="I332" s="1" t="s">
        <v>22</v>
      </c>
      <c r="J332" s="1" t="s">
        <v>2102</v>
      </c>
      <c r="K332" s="1" t="s">
        <v>2091</v>
      </c>
      <c r="L332" s="1" t="s">
        <v>22</v>
      </c>
      <c r="M332" s="1" t="s">
        <v>77</v>
      </c>
      <c r="N332" s="1" t="s">
        <v>2098</v>
      </c>
      <c r="O332" s="1" t="s">
        <v>19</v>
      </c>
      <c r="P332" s="1" t="s">
        <v>18</v>
      </c>
      <c r="Q332" s="1" t="s">
        <v>20</v>
      </c>
      <c r="R332" s="1" t="s">
        <v>2080</v>
      </c>
      <c r="S332" s="1">
        <v>4</v>
      </c>
      <c r="T332" s="1" t="s">
        <v>2104</v>
      </c>
      <c r="W332" t="s">
        <v>3475</v>
      </c>
    </row>
    <row r="333" spans="1:23">
      <c r="A333" s="1" t="s">
        <v>2092</v>
      </c>
      <c r="B333" s="1" t="str" cm="1">
        <f t="array" ref="B333">IF(A333="","",_xlfn.IFS(COUNTIF($U:$U,A333)&gt;0,"All uploaded",COUNTIF($V:$V,A333)&gt;0,"Partly uploaded",COUNTIF($W:$X,A333)&gt;0,"Not uploaded",TRUE,"Not classified"))</f>
        <v>Partly uploaded</v>
      </c>
      <c r="C333" s="1" t="str" cm="1">
        <f t="array" ref="C333">_xlfn.SWITCH(TRIM(I333),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33" s="1" t="s">
        <v>1</v>
      </c>
      <c r="E333" s="1" t="s">
        <v>4</v>
      </c>
      <c r="F333" s="1" t="str" cm="1">
        <f t="array" ref="F333">_xlfn.LET(
_xlpm.status,UPPER(TRIM(B333&amp;"")),
_xlpm.risk,UPPER(TRIM(C333&amp;"")),
_xlpm.notify,UPPER(TRIM(D333&amp;"")),
_xlpm.form,UPPER(TRIM(E333&amp;"")),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33" s="1" t="str">
        <f t="shared" si="5"/>
        <v>NA</v>
      </c>
      <c r="H333" s="5" t="s">
        <v>2094</v>
      </c>
      <c r="I333" s="1" t="s">
        <v>48</v>
      </c>
      <c r="J333" s="1" t="s">
        <v>2093</v>
      </c>
      <c r="K333" s="1" t="s">
        <v>2091</v>
      </c>
      <c r="L333" s="1" t="s">
        <v>48</v>
      </c>
      <c r="M333" s="1" t="s">
        <v>28</v>
      </c>
      <c r="N333" s="1" t="s">
        <v>961</v>
      </c>
      <c r="O333" s="1" t="s">
        <v>19</v>
      </c>
      <c r="P333" s="1" t="s">
        <v>18</v>
      </c>
      <c r="Q333" s="1" t="s">
        <v>20</v>
      </c>
      <c r="R333" s="1" t="s">
        <v>550</v>
      </c>
      <c r="S333" s="1">
        <v>4</v>
      </c>
      <c r="T333" s="1" t="s">
        <v>2095</v>
      </c>
      <c r="W333" t="s">
        <v>3462</v>
      </c>
    </row>
    <row r="334" spans="1:23">
      <c r="A334" s="1" t="s">
        <v>2096</v>
      </c>
      <c r="B334" s="1" t="str" cm="1">
        <f t="array" ref="B334">IF(A334="","",_xlfn.IFS(COUNTIF($U:$U,A334)&gt;0,"All uploaded",COUNTIF($V:$V,A334)&gt;0,"Partly uploaded",COUNTIF($W:$X,A334)&gt;0,"Not uploaded",TRUE,"Not classified"))</f>
        <v>Partly uploaded</v>
      </c>
      <c r="C334" s="1" t="str" cm="1">
        <f t="array" ref="C334">_xlfn.SWITCH(TRIM(I334),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34" s="1" t="s">
        <v>0</v>
      </c>
      <c r="E334" s="1" t="s">
        <v>4</v>
      </c>
      <c r="F334" s="1" t="str" cm="1">
        <f t="array" ref="F334">_xlfn.LET(
_xlpm.status,UPPER(TRIM(B334&amp;"")),
_xlpm.risk,UPPER(TRIM(C334&amp;"")),
_xlpm.notify,UPPER(TRIM(D334&amp;"")),
_xlpm.form,UPPER(TRIM(E334&amp;"")),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34" s="1" t="str">
        <f t="shared" si="5"/>
        <v>NA</v>
      </c>
      <c r="H334" s="5" t="s">
        <v>2100</v>
      </c>
      <c r="I334" s="1" t="s">
        <v>22</v>
      </c>
      <c r="J334" s="1" t="s">
        <v>2099</v>
      </c>
      <c r="K334" s="1" t="s">
        <v>2091</v>
      </c>
      <c r="L334" s="1" t="s">
        <v>22</v>
      </c>
      <c r="M334" s="1" t="s">
        <v>77</v>
      </c>
      <c r="N334" s="1" t="s">
        <v>1042</v>
      </c>
      <c r="O334" s="1" t="s">
        <v>19</v>
      </c>
      <c r="P334" s="1" t="s">
        <v>18</v>
      </c>
      <c r="Q334" s="1" t="s">
        <v>20</v>
      </c>
      <c r="R334" s="1" t="s">
        <v>2080</v>
      </c>
      <c r="S334" s="1">
        <v>3</v>
      </c>
      <c r="T334" s="1" t="s">
        <v>2101</v>
      </c>
      <c r="W334" t="s">
        <v>3501</v>
      </c>
    </row>
    <row r="335" spans="1:23">
      <c r="A335" s="1" t="s">
        <v>2078</v>
      </c>
      <c r="B335" s="1" t="str" cm="1">
        <f t="array" ref="B335">IF(A335="","",_xlfn.IFS(COUNTIF($U:$U,A335)&gt;0,"All uploaded",COUNTIF($V:$V,A335)&gt;0,"Partly uploaded",COUNTIF($W:$X,A335)&gt;0,"Not uploaded",TRUE,"Not classified"))</f>
        <v>Partly uploaded</v>
      </c>
      <c r="C335" s="1" t="str" cm="1">
        <f t="array" ref="C335">_xlfn.SWITCH(TRIM(I335),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35" s="1" t="s">
        <v>0</v>
      </c>
      <c r="E335" s="1" t="s">
        <v>4</v>
      </c>
      <c r="F335" s="1" t="str" cm="1">
        <f t="array" ref="F335">_xlfn.LET(
_xlpm.status,UPPER(TRIM(B335&amp;"")),
_xlpm.risk,UPPER(TRIM(C335&amp;"")),
_xlpm.notify,UPPER(TRIM(D335&amp;"")),
_xlpm.form,UPPER(TRIM(E335&amp;"")),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35" s="1" t="str">
        <f t="shared" si="5"/>
        <v>NA</v>
      </c>
      <c r="H335" s="5" t="s">
        <v>2082</v>
      </c>
      <c r="I335" s="1" t="s">
        <v>22</v>
      </c>
      <c r="J335" s="1" t="s">
        <v>2081</v>
      </c>
      <c r="K335" s="1" t="s">
        <v>2077</v>
      </c>
      <c r="L335" s="1" t="s">
        <v>22</v>
      </c>
      <c r="M335" s="1" t="s">
        <v>77</v>
      </c>
      <c r="N335" s="1" t="s">
        <v>2079</v>
      </c>
      <c r="O335" s="1" t="s">
        <v>19</v>
      </c>
      <c r="P335" s="1" t="s">
        <v>18</v>
      </c>
      <c r="Q335" s="1" t="s">
        <v>20</v>
      </c>
      <c r="R335" s="1" t="s">
        <v>2080</v>
      </c>
      <c r="S335" s="1">
        <v>4</v>
      </c>
      <c r="T335" s="1" t="s">
        <v>2083</v>
      </c>
      <c r="W335" t="s">
        <v>3517</v>
      </c>
    </row>
    <row r="336" spans="1:23">
      <c r="A336" s="1" t="s">
        <v>2086</v>
      </c>
      <c r="B336" s="1" t="str" cm="1">
        <f t="array" ref="B336">IF(A336="","",_xlfn.IFS(COUNTIF($U:$U,A336)&gt;0,"All uploaded",COUNTIF($V:$V,A336)&gt;0,"Partly uploaded",COUNTIF($W:$X,A336)&gt;0,"Not uploaded",TRUE,"Not classified"))</f>
        <v>All uploaded</v>
      </c>
      <c r="C336" s="1" t="str" cm="1">
        <f t="array" ref="C336">_xlfn.SWITCH(TRIM(I336),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36" s="1" t="s">
        <v>0</v>
      </c>
      <c r="E336" s="1" t="s">
        <v>2</v>
      </c>
      <c r="F336" s="1" t="str" cm="1">
        <f t="array" ref="F336">_xlfn.LET(
_xlpm.status,UPPER(TRIM(B336&amp;"")),
_xlpm.risk,UPPER(TRIM(C336&amp;"")),
_xlpm.notify,UPPER(TRIM(D336&amp;"")),
_xlpm.form,UPPER(TRIM(E336&amp;"")),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36" s="1" t="str">
        <f t="shared" si="5"/>
        <v>NA</v>
      </c>
      <c r="H336" s="5" t="s">
        <v>2089</v>
      </c>
      <c r="I336" s="1" t="s">
        <v>22</v>
      </c>
      <c r="J336" s="1" t="s">
        <v>2088</v>
      </c>
      <c r="K336" s="1" t="s">
        <v>2077</v>
      </c>
      <c r="L336" s="1" t="s">
        <v>22</v>
      </c>
      <c r="M336" s="1" t="s">
        <v>77</v>
      </c>
      <c r="N336" s="1" t="s">
        <v>2087</v>
      </c>
      <c r="O336" s="1" t="s">
        <v>19</v>
      </c>
      <c r="P336" s="1" t="s">
        <v>18</v>
      </c>
      <c r="Q336" s="1" t="s">
        <v>20</v>
      </c>
      <c r="R336" s="1" t="s">
        <v>2080</v>
      </c>
      <c r="S336" s="1">
        <v>1</v>
      </c>
      <c r="T336" s="1" t="s">
        <v>2090</v>
      </c>
      <c r="W336" t="s">
        <v>3514</v>
      </c>
    </row>
    <row r="337" spans="1:23">
      <c r="A337" s="1" t="s">
        <v>2131</v>
      </c>
      <c r="B337" s="1" t="str" cm="1">
        <f t="array" ref="B337">IF(A337="","",_xlfn.IFS(COUNTIF($U:$U,A337)&gt;0,"All uploaded",COUNTIF($V:$V,A337)&gt;0,"Partly uploaded",COUNTIF($W:$X,A337)&gt;0,"Not uploaded",TRUE,"Not classified"))</f>
        <v>All uploaded</v>
      </c>
      <c r="C337" s="1" t="str" cm="1">
        <f t="array" ref="C337">_xlfn.SWITCH(TRIM(I337),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37" s="1" t="s">
        <v>1</v>
      </c>
      <c r="E337" s="1" t="s">
        <v>4</v>
      </c>
      <c r="F337" s="1" t="str" cm="1">
        <f t="array" ref="F337">_xlfn.LET(
_xlpm.status,UPPER(TRIM(B337&amp;"")),
_xlpm.risk,UPPER(TRIM(C337&amp;"")),
_xlpm.notify,UPPER(TRIM(D337&amp;"")),
_xlpm.form,UPPER(TRIM(E337&amp;"")),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37" s="1" t="str">
        <f t="shared" si="5"/>
        <v>Required</v>
      </c>
      <c r="H337" s="5" t="s">
        <v>2133</v>
      </c>
      <c r="I337" s="1" t="s">
        <v>27</v>
      </c>
      <c r="J337" s="1" t="s">
        <v>2132</v>
      </c>
      <c r="K337" s="1" t="s">
        <v>2105</v>
      </c>
      <c r="L337" s="1" t="s">
        <v>27</v>
      </c>
      <c r="M337" s="1" t="s">
        <v>77</v>
      </c>
      <c r="N337" s="1" t="s">
        <v>1728</v>
      </c>
      <c r="O337" s="1" t="s">
        <v>19</v>
      </c>
      <c r="P337" s="1" t="s">
        <v>18</v>
      </c>
      <c r="Q337" s="1" t="s">
        <v>20</v>
      </c>
      <c r="R337" s="1" t="s">
        <v>2111</v>
      </c>
      <c r="S337" s="1">
        <v>1</v>
      </c>
      <c r="T337" s="1" t="s">
        <v>2134</v>
      </c>
      <c r="W337" t="s">
        <v>3520</v>
      </c>
    </row>
    <row r="338" spans="1:23">
      <c r="A338" s="1" t="s">
        <v>2109</v>
      </c>
      <c r="B338" s="1" t="str" cm="1">
        <f t="array" ref="B338">IF(A338="","",_xlfn.IFS(COUNTIF($U:$U,A338)&gt;0,"All uploaded",COUNTIF($V:$V,A338)&gt;0,"Partly uploaded",COUNTIF($W:$X,A338)&gt;0,"Not uploaded",TRUE,"Not classified"))</f>
        <v>All uploaded</v>
      </c>
      <c r="C338" s="1" t="str" cm="1">
        <f t="array" ref="C338">_xlfn.SWITCH(TRIM(I338),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38" s="1" t="s">
        <v>1</v>
      </c>
      <c r="E338" s="1" t="s">
        <v>4</v>
      </c>
      <c r="F338" s="1" t="str" cm="1">
        <f t="array" ref="F338">_xlfn.LET(
_xlpm.status,UPPER(TRIM(B338&amp;"")),
_xlpm.risk,UPPER(TRIM(C338&amp;"")),
_xlpm.notify,UPPER(TRIM(D338&amp;"")),
_xlpm.form,UPPER(TRIM(E338&amp;"")),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38" s="1" t="str">
        <f t="shared" si="5"/>
        <v>Required</v>
      </c>
      <c r="H338" s="5" t="s">
        <v>2113</v>
      </c>
      <c r="I338" s="1" t="s">
        <v>27</v>
      </c>
      <c r="J338" s="1" t="s">
        <v>2112</v>
      </c>
      <c r="K338" s="1" t="s">
        <v>2105</v>
      </c>
      <c r="L338" s="1" t="s">
        <v>27</v>
      </c>
      <c r="M338" s="1" t="s">
        <v>77</v>
      </c>
      <c r="N338" s="1" t="s">
        <v>2110</v>
      </c>
      <c r="O338" s="1" t="s">
        <v>19</v>
      </c>
      <c r="P338" s="1" t="s">
        <v>18</v>
      </c>
      <c r="Q338" s="1" t="s">
        <v>20</v>
      </c>
      <c r="R338" s="1" t="s">
        <v>2111</v>
      </c>
      <c r="S338" s="1">
        <v>1</v>
      </c>
      <c r="T338" s="1" t="s">
        <v>2114</v>
      </c>
      <c r="W338" t="s">
        <v>3526</v>
      </c>
    </row>
    <row r="339" spans="1:23">
      <c r="A339" s="1" t="s">
        <v>2115</v>
      </c>
      <c r="B339" s="1" t="str" cm="1">
        <f t="array" ref="B339">IF(A339="","",_xlfn.IFS(COUNTIF($U:$U,A339)&gt;0,"All uploaded",COUNTIF($V:$V,A339)&gt;0,"Partly uploaded",COUNTIF($W:$X,A339)&gt;0,"Not uploaded",TRUE,"Not classified"))</f>
        <v>Partly uploaded</v>
      </c>
      <c r="C339" s="1" t="str" cm="1">
        <f t="array" ref="C339">_xlfn.SWITCH(TRIM(I339),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39" s="1" t="s">
        <v>1</v>
      </c>
      <c r="E339" s="1" t="s">
        <v>4</v>
      </c>
      <c r="F339" s="1" t="str" cm="1">
        <f t="array" ref="F339">_xlfn.LET(
_xlpm.status,UPPER(TRIM(B339&amp;"")),
_xlpm.risk,UPPER(TRIM(C339&amp;"")),
_xlpm.notify,UPPER(TRIM(D339&amp;"")),
_xlpm.form,UPPER(TRIM(E339&amp;"")),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39" s="1" t="str">
        <f t="shared" si="5"/>
        <v>Required</v>
      </c>
      <c r="H339" s="5" t="s">
        <v>2118</v>
      </c>
      <c r="I339" s="1" t="s">
        <v>27</v>
      </c>
      <c r="J339" s="1" t="s">
        <v>2117</v>
      </c>
      <c r="K339" s="1" t="s">
        <v>2105</v>
      </c>
      <c r="L339" s="1" t="s">
        <v>27</v>
      </c>
      <c r="M339" s="1" t="s">
        <v>28</v>
      </c>
      <c r="N339" s="1" t="s">
        <v>2116</v>
      </c>
      <c r="O339" s="1" t="s">
        <v>19</v>
      </c>
      <c r="P339" s="1" t="s">
        <v>18</v>
      </c>
      <c r="Q339" s="1" t="s">
        <v>20</v>
      </c>
      <c r="R339" s="1" t="s">
        <v>902</v>
      </c>
      <c r="S339" s="1">
        <v>13</v>
      </c>
      <c r="T339" s="1" t="s">
        <v>2119</v>
      </c>
      <c r="W339" t="s">
        <v>3515</v>
      </c>
    </row>
    <row r="340" spans="1:23">
      <c r="A340" s="1" t="s">
        <v>2115</v>
      </c>
      <c r="B340" s="1" t="str" cm="1">
        <f t="array" ref="B340">IF(A340="","",_xlfn.IFS(COUNTIF($U:$U,A340)&gt;0,"All uploaded",COUNTIF($V:$V,A340)&gt;0,"Partly uploaded",COUNTIF($W:$X,A340)&gt;0,"Not uploaded",TRUE,"Not classified"))</f>
        <v>Partly uploaded</v>
      </c>
      <c r="C340" s="1" t="str" cm="1">
        <f t="array" ref="C340">_xlfn.SWITCH(TRIM(I340),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40" s="1" t="s">
        <v>1</v>
      </c>
      <c r="E340" s="1" t="s">
        <v>4</v>
      </c>
      <c r="F340" s="1" t="str" cm="1">
        <f t="array" ref="F340">_xlfn.LET(
_xlpm.status,UPPER(TRIM(B340&amp;"")),
_xlpm.risk,UPPER(TRIM(C340&amp;"")),
_xlpm.notify,UPPER(TRIM(D340&amp;"")),
_xlpm.form,UPPER(TRIM(E340&amp;"")),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40" s="1" t="str">
        <f t="shared" si="5"/>
        <v>Required</v>
      </c>
      <c r="H340" s="5" t="s">
        <v>2125</v>
      </c>
      <c r="I340" s="1" t="s">
        <v>27</v>
      </c>
      <c r="J340" s="1" t="s">
        <v>2124</v>
      </c>
      <c r="K340" s="1" t="s">
        <v>2105</v>
      </c>
      <c r="L340" s="1" t="s">
        <v>27</v>
      </c>
      <c r="M340" s="1" t="s">
        <v>28</v>
      </c>
      <c r="N340" s="1" t="s">
        <v>2116</v>
      </c>
      <c r="O340" s="1" t="s">
        <v>19</v>
      </c>
      <c r="P340" s="1" t="s">
        <v>18</v>
      </c>
      <c r="Q340" s="1" t="s">
        <v>20</v>
      </c>
      <c r="R340" s="1" t="s">
        <v>1627</v>
      </c>
      <c r="S340" s="1">
        <v>3</v>
      </c>
      <c r="T340" s="1" t="s">
        <v>2126</v>
      </c>
      <c r="W340" t="s">
        <v>3523</v>
      </c>
    </row>
    <row r="341" spans="1:23">
      <c r="A341" s="1" t="s">
        <v>2115</v>
      </c>
      <c r="B341" s="1" t="str" cm="1">
        <f t="array" ref="B341">IF(A341="","",_xlfn.IFS(COUNTIF($U:$U,A341)&gt;0,"All uploaded",COUNTIF($V:$V,A341)&gt;0,"Partly uploaded",COUNTIF($W:$X,A341)&gt;0,"Not uploaded",TRUE,"Not classified"))</f>
        <v>Partly uploaded</v>
      </c>
      <c r="C341" s="1" t="str" cm="1">
        <f t="array" ref="C341">_xlfn.SWITCH(TRIM(I341),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41" s="1" t="s">
        <v>1</v>
      </c>
      <c r="E341" s="1" t="s">
        <v>4</v>
      </c>
      <c r="F341" s="1" t="str" cm="1">
        <f t="array" ref="F341">_xlfn.LET(
_xlpm.status,UPPER(TRIM(B341&amp;"")),
_xlpm.risk,UPPER(TRIM(C341&amp;"")),
_xlpm.notify,UPPER(TRIM(D341&amp;"")),
_xlpm.form,UPPER(TRIM(E341&amp;"")),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41" s="1" t="str">
        <f t="shared" si="5"/>
        <v>Required</v>
      </c>
      <c r="H341" s="5" t="s">
        <v>2128</v>
      </c>
      <c r="I341" s="1" t="s">
        <v>27</v>
      </c>
      <c r="J341" s="1" t="s">
        <v>2127</v>
      </c>
      <c r="K341" s="1" t="s">
        <v>2105</v>
      </c>
      <c r="L341" s="1" t="s">
        <v>27</v>
      </c>
      <c r="M341" s="1" t="s">
        <v>28</v>
      </c>
      <c r="N341" s="1" t="s">
        <v>2116</v>
      </c>
      <c r="O341" s="1" t="s">
        <v>19</v>
      </c>
      <c r="P341" s="1" t="s">
        <v>18</v>
      </c>
      <c r="Q341" s="1" t="s">
        <v>20</v>
      </c>
      <c r="R341" s="1" t="s">
        <v>1627</v>
      </c>
      <c r="S341" s="1">
        <v>4</v>
      </c>
      <c r="T341" s="1" t="s">
        <v>2129</v>
      </c>
      <c r="W341" t="s">
        <v>3529</v>
      </c>
    </row>
    <row r="342" spans="1:23">
      <c r="A342" s="1" t="s">
        <v>2115</v>
      </c>
      <c r="B342" s="1" t="str" cm="1">
        <f t="array" ref="B342">IF(A342="","",_xlfn.IFS(COUNTIF($U:$U,A342)&gt;0,"All uploaded",COUNTIF($V:$V,A342)&gt;0,"Partly uploaded",COUNTIF($W:$X,A342)&gt;0,"Not uploaded",TRUE,"Not classified"))</f>
        <v>Partly uploaded</v>
      </c>
      <c r="C342" s="1" t="str" cm="1">
        <f t="array" ref="C342">_xlfn.SWITCH(TRIM(I342),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42" s="1" t="s">
        <v>1</v>
      </c>
      <c r="E342" s="1" t="s">
        <v>4</v>
      </c>
      <c r="F342" s="1" t="str" cm="1">
        <f t="array" ref="F342">_xlfn.LET(
_xlpm.status,UPPER(TRIM(B342&amp;"")),
_xlpm.risk,UPPER(TRIM(C342&amp;"")),
_xlpm.notify,UPPER(TRIM(D342&amp;"")),
_xlpm.form,UPPER(TRIM(E342&amp;"")),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42" s="1" t="str">
        <f t="shared" si="5"/>
        <v>Required</v>
      </c>
      <c r="H342" s="5" t="s">
        <v>2121</v>
      </c>
      <c r="I342" s="1" t="s">
        <v>27</v>
      </c>
      <c r="J342" s="1" t="s">
        <v>2120</v>
      </c>
      <c r="K342" s="1" t="s">
        <v>2105</v>
      </c>
      <c r="L342" s="1" t="s">
        <v>27</v>
      </c>
      <c r="M342" s="1" t="s">
        <v>28</v>
      </c>
      <c r="N342" s="1" t="s">
        <v>2116</v>
      </c>
      <c r="O342" s="1" t="s">
        <v>19</v>
      </c>
      <c r="P342" s="1" t="s">
        <v>18</v>
      </c>
      <c r="Q342" s="1" t="s">
        <v>20</v>
      </c>
      <c r="R342" s="1" t="s">
        <v>902</v>
      </c>
      <c r="S342" s="1">
        <v>13</v>
      </c>
      <c r="T342" s="1" t="s">
        <v>2119</v>
      </c>
      <c r="W342" t="s">
        <v>3536</v>
      </c>
    </row>
    <row r="343" spans="1:23">
      <c r="A343" s="1" t="s">
        <v>2115</v>
      </c>
      <c r="B343" s="1" t="str" cm="1">
        <f t="array" ref="B343">IF(A343="","",_xlfn.IFS(COUNTIF($U:$U,A343)&gt;0,"All uploaded",COUNTIF($V:$V,A343)&gt;0,"Partly uploaded",COUNTIF($W:$X,A343)&gt;0,"Not uploaded",TRUE,"Not classified"))</f>
        <v>Partly uploaded</v>
      </c>
      <c r="C343" s="1" t="str" cm="1">
        <f t="array" ref="C343">_xlfn.SWITCH(TRIM(I343),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43" s="1" t="s">
        <v>1</v>
      </c>
      <c r="E343" s="1" t="s">
        <v>4</v>
      </c>
      <c r="F343" s="1" t="str" cm="1">
        <f t="array" ref="F343">_xlfn.LET(
_xlpm.status,UPPER(TRIM(B343&amp;"")),
_xlpm.risk,UPPER(TRIM(C343&amp;"")),
_xlpm.notify,UPPER(TRIM(D343&amp;"")),
_xlpm.form,UPPER(TRIM(E343&amp;"")),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43" s="1" t="str">
        <f t="shared" si="5"/>
        <v>Required</v>
      </c>
      <c r="H343" s="5" t="s">
        <v>2123</v>
      </c>
      <c r="I343" s="1" t="s">
        <v>27</v>
      </c>
      <c r="J343" s="1" t="s">
        <v>2122</v>
      </c>
      <c r="K343" s="1" t="s">
        <v>2105</v>
      </c>
      <c r="L343" s="1" t="s">
        <v>27</v>
      </c>
      <c r="M343" s="1" t="s">
        <v>28</v>
      </c>
      <c r="N343" s="1" t="s">
        <v>2116</v>
      </c>
      <c r="O343" s="1" t="s">
        <v>19</v>
      </c>
      <c r="P343" s="1" t="s">
        <v>18</v>
      </c>
      <c r="Q343" s="1" t="s">
        <v>20</v>
      </c>
      <c r="R343" s="1" t="s">
        <v>902</v>
      </c>
      <c r="S343" s="1">
        <v>13</v>
      </c>
      <c r="T343" s="1" t="s">
        <v>2119</v>
      </c>
      <c r="W343" t="s">
        <v>3532</v>
      </c>
    </row>
    <row r="344" spans="1:23">
      <c r="A344" s="1" t="s">
        <v>2138</v>
      </c>
      <c r="B344" s="1" t="str" cm="1">
        <f t="array" ref="B344">IF(A344="","",_xlfn.IFS(COUNTIF($U:$U,A344)&gt;0,"All uploaded",COUNTIF($V:$V,A344)&gt;0,"Partly uploaded",COUNTIF($W:$X,A344)&gt;0,"Not uploaded",TRUE,"Not classified"))</f>
        <v>All uploaded</v>
      </c>
      <c r="C344" s="1" t="str" cm="1">
        <f t="array" ref="C344">_xlfn.SWITCH(TRIM(I344),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44" s="1" t="s">
        <v>0</v>
      </c>
      <c r="E344" s="1" t="s">
        <v>4</v>
      </c>
      <c r="F344" s="1" t="str" cm="1">
        <f t="array" ref="F344">_xlfn.LET(
_xlpm.status,UPPER(TRIM(B344&amp;"")),
_xlpm.risk,UPPER(TRIM(C344&amp;"")),
_xlpm.notify,UPPER(TRIM(D344&amp;"")),
_xlpm.form,UPPER(TRIM(E344&amp;"")),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44" s="1" t="str">
        <f t="shared" si="5"/>
        <v>Required</v>
      </c>
      <c r="H344" s="5" t="s">
        <v>2142</v>
      </c>
      <c r="I344" s="1" t="s">
        <v>27</v>
      </c>
      <c r="J344" s="1" t="s">
        <v>2141</v>
      </c>
      <c r="K344" s="1" t="s">
        <v>2105</v>
      </c>
      <c r="L344" s="1" t="s">
        <v>27</v>
      </c>
      <c r="M344" s="1" t="s">
        <v>28</v>
      </c>
      <c r="N344" s="1" t="s">
        <v>2139</v>
      </c>
      <c r="O344" s="1" t="s">
        <v>19</v>
      </c>
      <c r="P344" s="1" t="s">
        <v>18</v>
      </c>
      <c r="Q344" s="1" t="s">
        <v>20</v>
      </c>
      <c r="R344" s="1" t="s">
        <v>2140</v>
      </c>
      <c r="S344" s="1">
        <v>1</v>
      </c>
      <c r="T344" s="1" t="s">
        <v>2143</v>
      </c>
      <c r="W344" t="s">
        <v>3535</v>
      </c>
    </row>
    <row r="345" spans="1:23">
      <c r="A345" s="1" t="s">
        <v>2107</v>
      </c>
      <c r="B345" s="1" t="str" cm="1">
        <f t="array" ref="B345">IF(A345="","",_xlfn.IFS(COUNTIF($U:$U,A345)&gt;0,"All uploaded",COUNTIF($V:$V,A345)&gt;0,"Partly uploaded",COUNTIF($W:$X,A345)&gt;0,"Not uploaded",TRUE,"Not classified"))</f>
        <v>Partly uploaded</v>
      </c>
      <c r="C345" s="1" t="str" cm="1">
        <f t="array" ref="C345">_xlfn.SWITCH(TRIM(I345),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45" s="1" t="s">
        <v>0</v>
      </c>
      <c r="E345" s="1" t="s">
        <v>4</v>
      </c>
      <c r="F345" s="1" t="str" cm="1">
        <f t="array" ref="F345">_xlfn.LET(
_xlpm.status,UPPER(TRIM(B345&amp;"")),
_xlpm.risk,UPPER(TRIM(C345&amp;"")),
_xlpm.notify,UPPER(TRIM(D345&amp;"")),
_xlpm.form,UPPER(TRIM(E345&amp;"")),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45" s="1" t="str">
        <f t="shared" si="5"/>
        <v>Required</v>
      </c>
      <c r="H345" s="5" t="s">
        <v>2136</v>
      </c>
      <c r="I345" s="1" t="s">
        <v>27</v>
      </c>
      <c r="J345" s="1" t="s">
        <v>2135</v>
      </c>
      <c r="K345" s="1" t="s">
        <v>2105</v>
      </c>
      <c r="L345" s="1" t="s">
        <v>27</v>
      </c>
      <c r="M345" s="1" t="s">
        <v>77</v>
      </c>
      <c r="N345" s="1" t="s">
        <v>2108</v>
      </c>
      <c r="O345" s="1" t="s">
        <v>19</v>
      </c>
      <c r="P345" s="1" t="s">
        <v>18</v>
      </c>
      <c r="Q345" s="1" t="s">
        <v>20</v>
      </c>
      <c r="R345" s="1" t="s">
        <v>2111</v>
      </c>
      <c r="S345" s="1">
        <v>1</v>
      </c>
      <c r="T345" s="1" t="s">
        <v>2137</v>
      </c>
      <c r="W345" t="s">
        <v>3541</v>
      </c>
    </row>
    <row r="346" spans="1:23">
      <c r="A346" s="1" t="s">
        <v>2157</v>
      </c>
      <c r="B346" s="1" t="str" cm="1">
        <f t="array" ref="B346">IF(A346="","",_xlfn.IFS(COUNTIF($U:$U,A346)&gt;0,"All uploaded",COUNTIF($V:$V,A346)&gt;0,"Partly uploaded",COUNTIF($W:$X,A346)&gt;0,"Not uploaded",TRUE,"Not classified"))</f>
        <v>All uploaded</v>
      </c>
      <c r="C346" s="1" t="str" cm="1">
        <f t="array" ref="C346">_xlfn.SWITCH(TRIM(I346),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46" s="1" t="s">
        <v>0</v>
      </c>
      <c r="E346" s="1" t="s">
        <v>4</v>
      </c>
      <c r="F346" s="1" t="str" cm="1">
        <f t="array" ref="F346">_xlfn.LET(
_xlpm.status,UPPER(TRIM(B346&amp;"")),
_xlpm.risk,UPPER(TRIM(C346&amp;"")),
_xlpm.notify,UPPER(TRIM(D346&amp;"")),
_xlpm.form,UPPER(TRIM(E346&amp;"")),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46" s="1" t="str">
        <f t="shared" si="5"/>
        <v>Required</v>
      </c>
      <c r="H346" s="5" t="s">
        <v>2159</v>
      </c>
      <c r="I346" s="1" t="s">
        <v>27</v>
      </c>
      <c r="J346" s="1" t="s">
        <v>2158</v>
      </c>
      <c r="K346" s="1" t="s">
        <v>2154</v>
      </c>
      <c r="L346" s="1" t="s">
        <v>27</v>
      </c>
      <c r="M346" s="1" t="s">
        <v>28</v>
      </c>
      <c r="N346" s="1" t="s">
        <v>578</v>
      </c>
      <c r="O346" s="1" t="s">
        <v>19</v>
      </c>
      <c r="P346" s="1" t="s">
        <v>18</v>
      </c>
      <c r="Q346" s="1" t="s">
        <v>20</v>
      </c>
      <c r="R346" s="1" t="s">
        <v>135</v>
      </c>
      <c r="S346" s="1">
        <v>1</v>
      </c>
      <c r="T346" s="1" t="s">
        <v>2160</v>
      </c>
      <c r="W346" t="s">
        <v>3538</v>
      </c>
    </row>
    <row r="347" spans="1:23">
      <c r="A347" s="1" t="s">
        <v>2221</v>
      </c>
      <c r="B347" s="1" t="str" cm="1">
        <f t="array" ref="B347">IF(A347="","",_xlfn.IFS(COUNTIF($U:$U,A347)&gt;0,"All uploaded",COUNTIF($V:$V,A347)&gt;0,"Partly uploaded",COUNTIF($W:$X,A347)&gt;0,"Not uploaded",TRUE,"Not classified"))</f>
        <v>All uploaded</v>
      </c>
      <c r="C347" s="1" t="str" cm="1">
        <f t="array" ref="C347">_xlfn.SWITCH(TRIM(I347),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47" s="1" t="s">
        <v>0</v>
      </c>
      <c r="E347" s="1" t="s">
        <v>4</v>
      </c>
      <c r="F347" s="1" t="str" cm="1">
        <f t="array" ref="F347">_xlfn.LET(
_xlpm.status,UPPER(TRIM(B347&amp;"")),
_xlpm.risk,UPPER(TRIM(C347&amp;"")),
_xlpm.notify,UPPER(TRIM(D347&amp;"")),
_xlpm.form,UPPER(TRIM(E347&amp;"")),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47" s="1" t="str">
        <f t="shared" si="5"/>
        <v>Required</v>
      </c>
      <c r="H347" s="5" t="s">
        <v>2224</v>
      </c>
      <c r="I347" s="1" t="s">
        <v>33</v>
      </c>
      <c r="J347" s="1" t="s">
        <v>2223</v>
      </c>
      <c r="K347" s="1" t="s">
        <v>2208</v>
      </c>
      <c r="L347" s="1" t="s">
        <v>33</v>
      </c>
      <c r="M347" s="1" t="s">
        <v>77</v>
      </c>
      <c r="N347" s="1" t="s">
        <v>2222</v>
      </c>
      <c r="O347" s="1" t="s">
        <v>19</v>
      </c>
      <c r="P347" s="1" t="s">
        <v>18</v>
      </c>
      <c r="Q347" s="1" t="s">
        <v>20</v>
      </c>
      <c r="R347" s="1" t="s">
        <v>2213</v>
      </c>
      <c r="S347" s="1">
        <v>8</v>
      </c>
      <c r="T347" s="1" t="s">
        <v>2073</v>
      </c>
      <c r="W347" t="s">
        <v>3544</v>
      </c>
    </row>
    <row r="348" spans="1:23">
      <c r="A348" s="1" t="s">
        <v>2165</v>
      </c>
      <c r="B348" s="1" t="str" cm="1">
        <f t="array" ref="B348">IF(A348="","",_xlfn.IFS(COUNTIF($U:$U,A348)&gt;0,"All uploaded",COUNTIF($V:$V,A348)&gt;0,"Partly uploaded",COUNTIF($W:$X,A348)&gt;0,"Not uploaded",TRUE,"Not classified"))</f>
        <v>Partly uploaded</v>
      </c>
      <c r="C348" s="1" t="str" cm="1">
        <f t="array" ref="C348">_xlfn.SWITCH(TRIM(I348),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48" s="1" t="s">
        <v>0</v>
      </c>
      <c r="E348" s="1" t="s">
        <v>4</v>
      </c>
      <c r="F348" s="1" t="str" cm="1">
        <f t="array" ref="F348">_xlfn.LET(
_xlpm.status,UPPER(TRIM(B348&amp;"")),
_xlpm.risk,UPPER(TRIM(C348&amp;"")),
_xlpm.notify,UPPER(TRIM(D348&amp;"")),
_xlpm.form,UPPER(TRIM(E348&amp;"")),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48" s="1" t="str">
        <f t="shared" si="5"/>
        <v>Required</v>
      </c>
      <c r="H348" s="5" t="s">
        <v>2169</v>
      </c>
      <c r="I348" s="1" t="s">
        <v>25</v>
      </c>
      <c r="J348" s="1" t="s">
        <v>2168</v>
      </c>
      <c r="K348" s="1" t="s">
        <v>2164</v>
      </c>
      <c r="L348" s="1" t="s">
        <v>25</v>
      </c>
      <c r="M348" s="1" t="s">
        <v>28</v>
      </c>
      <c r="N348" s="1" t="s">
        <v>2166</v>
      </c>
      <c r="O348" s="1" t="s">
        <v>19</v>
      </c>
      <c r="P348" s="1" t="s">
        <v>18</v>
      </c>
      <c r="Q348" s="1" t="s">
        <v>20</v>
      </c>
      <c r="R348" s="1" t="s">
        <v>2167</v>
      </c>
      <c r="S348" s="1">
        <v>2</v>
      </c>
      <c r="T348" s="1" t="s">
        <v>143</v>
      </c>
      <c r="W348" t="s">
        <v>3558</v>
      </c>
    </row>
    <row r="349" spans="1:23">
      <c r="A349" s="1" t="s">
        <v>2203</v>
      </c>
      <c r="B349" s="1" t="str" cm="1">
        <f t="array" ref="B349">IF(A349="","",_xlfn.IFS(COUNTIF($U:$U,A349)&gt;0,"All uploaded",COUNTIF($V:$V,A349)&gt;0,"Partly uploaded",COUNTIF($W:$X,A349)&gt;0,"Not uploaded",TRUE,"Not classified"))</f>
        <v>All uploaded</v>
      </c>
      <c r="C349" s="1" t="str" cm="1">
        <f t="array" ref="C349">_xlfn.SWITCH(TRIM(I349),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49" s="1" t="s">
        <v>0</v>
      </c>
      <c r="E349" s="1" t="s">
        <v>4</v>
      </c>
      <c r="F349" s="1" t="str" cm="1">
        <f t="array" ref="F349">_xlfn.LET(
_xlpm.status,UPPER(TRIM(B349&amp;"")),
_xlpm.risk,UPPER(TRIM(C349&amp;"")),
_xlpm.notify,UPPER(TRIM(D349&amp;"")),
_xlpm.form,UPPER(TRIM(E349&amp;"")),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49" s="1" t="str">
        <f t="shared" si="5"/>
        <v>Required</v>
      </c>
      <c r="H349" s="5" t="s">
        <v>2206</v>
      </c>
      <c r="I349" s="1" t="s">
        <v>27</v>
      </c>
      <c r="J349" s="1" t="s">
        <v>2205</v>
      </c>
      <c r="K349" s="1" t="s">
        <v>2188</v>
      </c>
      <c r="L349" s="1" t="s">
        <v>27</v>
      </c>
      <c r="M349" s="1" t="s">
        <v>28</v>
      </c>
      <c r="N349" s="1" t="s">
        <v>2204</v>
      </c>
      <c r="O349" s="1" t="s">
        <v>19</v>
      </c>
      <c r="P349" s="1" t="s">
        <v>18</v>
      </c>
      <c r="Q349" s="1" t="s">
        <v>20</v>
      </c>
      <c r="R349" s="1" t="s">
        <v>135</v>
      </c>
      <c r="S349" s="1">
        <v>1</v>
      </c>
      <c r="T349" s="1" t="s">
        <v>2207</v>
      </c>
      <c r="W349" t="s">
        <v>3551</v>
      </c>
    </row>
    <row r="350" spans="1:23">
      <c r="A350" s="1" t="s">
        <v>2198</v>
      </c>
      <c r="B350" s="1" t="str" cm="1">
        <f t="array" ref="B350">IF(A350="","",_xlfn.IFS(COUNTIF($U:$U,A350)&gt;0,"All uploaded",COUNTIF($V:$V,A350)&gt;0,"Partly uploaded",COUNTIF($W:$X,A350)&gt;0,"Not uploaded",TRUE,"Not classified"))</f>
        <v>All uploaded</v>
      </c>
      <c r="C350" s="1" t="str" cm="1">
        <f t="array" ref="C350">_xlfn.SWITCH(TRIM(I350),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50" s="1" t="s">
        <v>1</v>
      </c>
      <c r="E350" s="1" t="s">
        <v>4</v>
      </c>
      <c r="F350" s="1" t="str" cm="1">
        <f t="array" ref="F350">_xlfn.LET(
_xlpm.status,UPPER(TRIM(B350&amp;"")),
_xlpm.risk,UPPER(TRIM(C350&amp;"")),
_xlpm.notify,UPPER(TRIM(D350&amp;"")),
_xlpm.form,UPPER(TRIM(E350&amp;"")),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50" s="1" t="str">
        <f t="shared" si="5"/>
        <v>Required</v>
      </c>
      <c r="H350" s="5" t="s">
        <v>2201</v>
      </c>
      <c r="I350" s="1" t="s">
        <v>27</v>
      </c>
      <c r="J350" s="1" t="s">
        <v>2200</v>
      </c>
      <c r="K350" s="1" t="s">
        <v>2188</v>
      </c>
      <c r="L350" s="1" t="s">
        <v>27</v>
      </c>
      <c r="M350" s="1" t="s">
        <v>28</v>
      </c>
      <c r="N350" s="1" t="s">
        <v>2199</v>
      </c>
      <c r="O350" s="1" t="s">
        <v>19</v>
      </c>
      <c r="P350" s="1" t="s">
        <v>18</v>
      </c>
      <c r="Q350" s="1" t="s">
        <v>20</v>
      </c>
      <c r="R350" s="1" t="s">
        <v>2174</v>
      </c>
      <c r="S350" s="1">
        <v>1</v>
      </c>
      <c r="T350" s="1" t="s">
        <v>2202</v>
      </c>
      <c r="W350" t="s">
        <v>3556</v>
      </c>
    </row>
    <row r="351" spans="1:23">
      <c r="A351" s="1" t="s">
        <v>2189</v>
      </c>
      <c r="B351" s="1" t="str" cm="1">
        <f t="array" ref="B351">IF(A351="","",_xlfn.IFS(COUNTIF($U:$U,A351)&gt;0,"All uploaded",COUNTIF($V:$V,A351)&gt;0,"Partly uploaded",COUNTIF($W:$X,A351)&gt;0,"Not uploaded",TRUE,"Not classified"))</f>
        <v>Partly uploaded</v>
      </c>
      <c r="C351" s="1" t="str" cm="1">
        <f t="array" ref="C351">_xlfn.SWITCH(TRIM(I351),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51" s="1" t="s">
        <v>0</v>
      </c>
      <c r="E351" s="1" t="s">
        <v>3</v>
      </c>
      <c r="F351" s="1" t="str" cm="1">
        <f t="array" ref="F351">_xlfn.LET(
_xlpm.status,UPPER(TRIM(B351&amp;"")),
_xlpm.risk,UPPER(TRIM(C351&amp;"")),
_xlpm.notify,UPPER(TRIM(D351&amp;"")),
_xlpm.form,UPPER(TRIM(E351&amp;"")),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51" s="1" t="str">
        <f t="shared" si="5"/>
        <v>NA</v>
      </c>
      <c r="H351" s="5" t="s">
        <v>2192</v>
      </c>
      <c r="I351" s="1" t="s">
        <v>27</v>
      </c>
      <c r="J351" s="1" t="s">
        <v>2191</v>
      </c>
      <c r="K351" s="1" t="s">
        <v>2188</v>
      </c>
      <c r="L351" s="1" t="s">
        <v>27</v>
      </c>
      <c r="M351" s="1" t="s">
        <v>28</v>
      </c>
      <c r="N351" s="1" t="s">
        <v>2190</v>
      </c>
      <c r="O351" s="1" t="s">
        <v>19</v>
      </c>
      <c r="P351" s="1" t="s">
        <v>18</v>
      </c>
      <c r="Q351" s="1" t="s">
        <v>20</v>
      </c>
      <c r="R351" s="1" t="s">
        <v>2140</v>
      </c>
      <c r="S351" s="1">
        <v>3</v>
      </c>
      <c r="T351" s="1" t="s">
        <v>2193</v>
      </c>
      <c r="W351" t="s">
        <v>3554</v>
      </c>
    </row>
    <row r="352" spans="1:23">
      <c r="A352" s="1" t="s">
        <v>2173</v>
      </c>
      <c r="B352" s="1" t="str" cm="1">
        <f t="array" ref="B352">IF(A352="","",_xlfn.IFS(COUNTIF($U:$U,A352)&gt;0,"All uploaded",COUNTIF($V:$V,A352)&gt;0,"Partly uploaded",COUNTIF($W:$X,A352)&gt;0,"Not uploaded",TRUE,"Not classified"))</f>
        <v>All uploaded</v>
      </c>
      <c r="C352" s="1" t="str" cm="1">
        <f t="array" ref="C352">_xlfn.SWITCH(TRIM(I352),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52" s="1" t="s">
        <v>0</v>
      </c>
      <c r="E352" s="1" t="s">
        <v>3</v>
      </c>
      <c r="F352" s="1" t="str" cm="1">
        <f t="array" ref="F352">_xlfn.LET(
_xlpm.status,UPPER(TRIM(B352&amp;"")),
_xlpm.risk,UPPER(TRIM(C352&amp;"")),
_xlpm.notify,UPPER(TRIM(D352&amp;"")),
_xlpm.form,UPPER(TRIM(E352&amp;"")),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52" s="1" t="str">
        <f t="shared" si="5"/>
        <v>NA</v>
      </c>
      <c r="H352" s="5" t="s">
        <v>2176</v>
      </c>
      <c r="I352" s="1" t="s">
        <v>25</v>
      </c>
      <c r="J352" s="1" t="s">
        <v>2175</v>
      </c>
      <c r="K352" s="1" t="s">
        <v>2172</v>
      </c>
      <c r="L352" s="1" t="s">
        <v>25</v>
      </c>
      <c r="M352" s="1" t="s">
        <v>28</v>
      </c>
      <c r="N352" s="1" t="s">
        <v>1333</v>
      </c>
      <c r="O352" s="1" t="s">
        <v>19</v>
      </c>
      <c r="P352" s="1" t="s">
        <v>18</v>
      </c>
      <c r="Q352" s="1" t="s">
        <v>20</v>
      </c>
      <c r="R352" s="1" t="s">
        <v>2174</v>
      </c>
      <c r="S352" s="1">
        <v>1</v>
      </c>
      <c r="T352" s="1" t="s">
        <v>79</v>
      </c>
      <c r="W352" t="s">
        <v>3573</v>
      </c>
    </row>
    <row r="353" spans="1:23">
      <c r="A353" s="1" t="s">
        <v>2182</v>
      </c>
      <c r="B353" s="1" t="str" cm="1">
        <f t="array" ref="B353">IF(A353="","",_xlfn.IFS(COUNTIF($U:$U,A353)&gt;0,"All uploaded",COUNTIF($V:$V,A353)&gt;0,"Partly uploaded",COUNTIF($W:$X,A353)&gt;0,"Not uploaded",TRUE,"Not classified"))</f>
        <v>All uploaded</v>
      </c>
      <c r="C353" s="1" t="str" cm="1">
        <f t="array" ref="C353">_xlfn.SWITCH(TRIM(I353),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53" s="1" t="s">
        <v>0</v>
      </c>
      <c r="E353" s="1" t="s">
        <v>3</v>
      </c>
      <c r="F353" s="1" t="str" cm="1">
        <f t="array" ref="F353">_xlfn.LET(
_xlpm.status,UPPER(TRIM(B353&amp;"")),
_xlpm.risk,UPPER(TRIM(C353&amp;"")),
_xlpm.notify,UPPER(TRIM(D353&amp;"")),
_xlpm.form,UPPER(TRIM(E353&amp;"")),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53" s="1" t="str">
        <f t="shared" si="5"/>
        <v>NA</v>
      </c>
      <c r="H353" s="5" t="s">
        <v>2186</v>
      </c>
      <c r="I353" s="1" t="s">
        <v>27</v>
      </c>
      <c r="J353" s="1" t="s">
        <v>2185</v>
      </c>
      <c r="K353" s="1" t="s">
        <v>2172</v>
      </c>
      <c r="L353" s="1" t="s">
        <v>27</v>
      </c>
      <c r="M353" s="1" t="s">
        <v>28</v>
      </c>
      <c r="N353" s="1" t="s">
        <v>2183</v>
      </c>
      <c r="O353" s="1" t="s">
        <v>19</v>
      </c>
      <c r="P353" s="1" t="s">
        <v>18</v>
      </c>
      <c r="Q353" s="1" t="s">
        <v>20</v>
      </c>
      <c r="R353" s="1" t="s">
        <v>2184</v>
      </c>
      <c r="S353" s="1">
        <v>1</v>
      </c>
      <c r="T353" s="1" t="s">
        <v>2187</v>
      </c>
      <c r="W353" t="s">
        <v>3575</v>
      </c>
    </row>
    <row r="354" spans="1:23">
      <c r="A354" s="1" t="s">
        <v>2242</v>
      </c>
      <c r="B354" s="1" t="str" cm="1">
        <f t="array" ref="B354">IF(A354="","",_xlfn.IFS(COUNTIF($U:$U,A354)&gt;0,"All uploaded",COUNTIF($V:$V,A354)&gt;0,"Partly uploaded",COUNTIF($W:$X,A354)&gt;0,"Not uploaded",TRUE,"Not classified"))</f>
        <v>Partly uploaded</v>
      </c>
      <c r="C354" s="1" t="str" cm="1">
        <f t="array" ref="C354">_xlfn.SWITCH(TRIM(I354),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54" s="1" t="s">
        <v>0</v>
      </c>
      <c r="E354" s="1" t="s">
        <v>4</v>
      </c>
      <c r="F354" s="1" t="str" cm="1">
        <f t="array" ref="F354">_xlfn.LET(
_xlpm.status,UPPER(TRIM(B354&amp;"")),
_xlpm.risk,UPPER(TRIM(C354&amp;"")),
_xlpm.notify,UPPER(TRIM(D354&amp;"")),
_xlpm.form,UPPER(TRIM(E354&amp;"")),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54" s="1" t="str">
        <f t="shared" si="5"/>
        <v>NA</v>
      </c>
      <c r="H354" s="5" t="s">
        <v>2248</v>
      </c>
      <c r="I354" s="1" t="s">
        <v>22</v>
      </c>
      <c r="J354" s="1" t="s">
        <v>2247</v>
      </c>
      <c r="K354" s="1" t="s">
        <v>2208</v>
      </c>
      <c r="L354" s="1" t="s">
        <v>22</v>
      </c>
      <c r="M354" s="1" t="s">
        <v>77</v>
      </c>
      <c r="N354" s="1" t="s">
        <v>481</v>
      </c>
      <c r="O354" s="1" t="s">
        <v>19</v>
      </c>
      <c r="P354" s="1" t="s">
        <v>18</v>
      </c>
      <c r="Q354" s="1" t="s">
        <v>20</v>
      </c>
      <c r="R354" s="1" t="s">
        <v>2213</v>
      </c>
      <c r="S354" s="1">
        <v>1</v>
      </c>
      <c r="T354" s="1" t="s">
        <v>2249</v>
      </c>
      <c r="W354" t="s">
        <v>3584</v>
      </c>
    </row>
    <row r="355" spans="1:23">
      <c r="A355" s="1" t="s">
        <v>2211</v>
      </c>
      <c r="B355" s="1" t="str" cm="1">
        <f t="array" ref="B355">IF(A355="","",_xlfn.IFS(COUNTIF($U:$U,A355)&gt;0,"All uploaded",COUNTIF($V:$V,A355)&gt;0,"Partly uploaded",COUNTIF($W:$X,A355)&gt;0,"Not uploaded",TRUE,"Not classified"))</f>
        <v>Partly uploaded</v>
      </c>
      <c r="C355" s="1" t="str" cm="1">
        <f t="array" ref="C355">_xlfn.SWITCH(TRIM(I355),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55" s="1" t="s">
        <v>0</v>
      </c>
      <c r="E355" s="1" t="s">
        <v>4</v>
      </c>
      <c r="F355" s="1" t="str" cm="1">
        <f t="array" ref="F355">_xlfn.LET(
_xlpm.status,UPPER(TRIM(B355&amp;"")),
_xlpm.risk,UPPER(TRIM(C355&amp;"")),
_xlpm.notify,UPPER(TRIM(D355&amp;"")),
_xlpm.form,UPPER(TRIM(E355&amp;"")),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55" s="1" t="str">
        <f t="shared" si="5"/>
        <v>NA</v>
      </c>
      <c r="H355" s="5" t="s">
        <v>2215</v>
      </c>
      <c r="I355" s="1" t="s">
        <v>22</v>
      </c>
      <c r="J355" s="1" t="s">
        <v>2214</v>
      </c>
      <c r="K355" s="1" t="s">
        <v>2208</v>
      </c>
      <c r="L355" s="1" t="s">
        <v>22</v>
      </c>
      <c r="M355" s="1" t="s">
        <v>77</v>
      </c>
      <c r="N355" s="1" t="s">
        <v>2212</v>
      </c>
      <c r="O355" s="1" t="s">
        <v>19</v>
      </c>
      <c r="P355" s="1" t="s">
        <v>18</v>
      </c>
      <c r="Q355" s="1" t="s">
        <v>20</v>
      </c>
      <c r="R355" s="1" t="s">
        <v>2213</v>
      </c>
      <c r="S355" s="1">
        <v>5</v>
      </c>
      <c r="T355" s="1" t="s">
        <v>2216</v>
      </c>
      <c r="W355" t="s">
        <v>3659</v>
      </c>
    </row>
    <row r="356" spans="1:23">
      <c r="A356" s="1" t="s">
        <v>2229</v>
      </c>
      <c r="B356" s="1" t="str" cm="1">
        <f t="array" ref="B356">IF(A356="","",_xlfn.IFS(COUNTIF($U:$U,A356)&gt;0,"All uploaded",COUNTIF($V:$V,A356)&gt;0,"Partly uploaded",COUNTIF($W:$X,A356)&gt;0,"Not uploaded",TRUE,"Not classified"))</f>
        <v>All uploaded</v>
      </c>
      <c r="C356" s="1" t="str" cm="1">
        <f t="array" ref="C356">_xlfn.SWITCH(TRIM(I356),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56" s="1" t="s">
        <v>0</v>
      </c>
      <c r="E356" s="1" t="s">
        <v>4</v>
      </c>
      <c r="F356" s="1" t="str" cm="1">
        <f t="array" ref="F356">_xlfn.LET(
_xlpm.status,UPPER(TRIM(B356&amp;"")),
_xlpm.risk,UPPER(TRIM(C356&amp;"")),
_xlpm.notify,UPPER(TRIM(D356&amp;"")),
_xlpm.form,UPPER(TRIM(E356&amp;"")),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56" s="1" t="str">
        <f t="shared" si="5"/>
        <v>NA</v>
      </c>
      <c r="H356" s="5" t="s">
        <v>2231</v>
      </c>
      <c r="I356" s="1" t="s">
        <v>22</v>
      </c>
      <c r="J356" s="1" t="s">
        <v>2230</v>
      </c>
      <c r="K356" s="1" t="s">
        <v>2208</v>
      </c>
      <c r="L356" s="1" t="s">
        <v>22</v>
      </c>
      <c r="M356" s="1" t="s">
        <v>77</v>
      </c>
      <c r="N356" s="1" t="s">
        <v>1988</v>
      </c>
      <c r="O356" s="1" t="s">
        <v>19</v>
      </c>
      <c r="P356" s="1" t="s">
        <v>18</v>
      </c>
      <c r="Q356" s="1" t="s">
        <v>20</v>
      </c>
      <c r="R356" s="1" t="s">
        <v>2213</v>
      </c>
      <c r="S356" s="1">
        <v>1</v>
      </c>
      <c r="T356" s="1" t="s">
        <v>2232</v>
      </c>
      <c r="W356" t="s">
        <v>3605</v>
      </c>
    </row>
    <row r="357" spans="1:23">
      <c r="A357" s="1" t="s">
        <v>2226</v>
      </c>
      <c r="B357" s="1" t="str" cm="1">
        <f t="array" ref="B357">IF(A357="","",_xlfn.IFS(COUNTIF($U:$U,A357)&gt;0,"All uploaded",COUNTIF($V:$V,A357)&gt;0,"Partly uploaded",COUNTIF($W:$X,A357)&gt;0,"Not uploaded",TRUE,"Not classified"))</f>
        <v>Partly uploaded</v>
      </c>
      <c r="C357" s="1" t="str" cm="1">
        <f t="array" ref="C357">_xlfn.SWITCH(TRIM(I357),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57" s="1" t="s">
        <v>0</v>
      </c>
      <c r="E357" s="1" t="s">
        <v>4</v>
      </c>
      <c r="F357" s="1" t="str" cm="1">
        <f t="array" ref="F357">_xlfn.LET(
_xlpm.status,UPPER(TRIM(B357&amp;"")),
_xlpm.risk,UPPER(TRIM(C357&amp;"")),
_xlpm.notify,UPPER(TRIM(D357&amp;"")),
_xlpm.form,UPPER(TRIM(E357&amp;"")),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57" s="1" t="str">
        <f t="shared" si="5"/>
        <v>NA</v>
      </c>
      <c r="H357" s="5" t="s">
        <v>2228</v>
      </c>
      <c r="I357" s="1" t="s">
        <v>22</v>
      </c>
      <c r="J357" s="1" t="s">
        <v>2227</v>
      </c>
      <c r="K357" s="1" t="s">
        <v>2208</v>
      </c>
      <c r="L357" s="1" t="s">
        <v>22</v>
      </c>
      <c r="M357" s="1" t="s">
        <v>77</v>
      </c>
      <c r="N357" s="1" t="s">
        <v>1868</v>
      </c>
      <c r="O357" s="1" t="s">
        <v>19</v>
      </c>
      <c r="P357" s="1" t="s">
        <v>18</v>
      </c>
      <c r="Q357" s="1" t="s">
        <v>20</v>
      </c>
      <c r="R357" s="1" t="s">
        <v>2213</v>
      </c>
      <c r="S357" s="1">
        <v>2</v>
      </c>
      <c r="T357" s="1" t="s">
        <v>1871</v>
      </c>
      <c r="W357" t="s">
        <v>3614</v>
      </c>
    </row>
    <row r="358" spans="1:23">
      <c r="A358" s="1" t="s">
        <v>2220</v>
      </c>
      <c r="B358" s="1" t="str" cm="1">
        <f t="array" ref="B358">IF(A358="","",_xlfn.IFS(COUNTIF($U:$U,A358)&gt;0,"All uploaded",COUNTIF($V:$V,A358)&gt;0,"Partly uploaded",COUNTIF($W:$X,A358)&gt;0,"Not uploaded",TRUE,"Not classified"))</f>
        <v>Partly uploaded</v>
      </c>
      <c r="C358" s="1" t="str" cm="1">
        <f t="array" ref="C358">_xlfn.SWITCH(TRIM(I358),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58" s="1" t="s">
        <v>1</v>
      </c>
      <c r="E358" s="1" t="s">
        <v>4</v>
      </c>
      <c r="F358" s="1" t="str" cm="1">
        <f t="array" ref="F358">_xlfn.LET(
_xlpm.status,UPPER(TRIM(B358&amp;"")),
_xlpm.risk,UPPER(TRIM(C358&amp;"")),
_xlpm.notify,UPPER(TRIM(D358&amp;"")),
_xlpm.form,UPPER(TRIM(E358&amp;"")),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58" s="1" t="str">
        <f t="shared" si="5"/>
        <v>NA</v>
      </c>
      <c r="H358" s="5" t="s">
        <v>2234</v>
      </c>
      <c r="I358" s="1" t="s">
        <v>35</v>
      </c>
      <c r="J358" s="1" t="s">
        <v>2233</v>
      </c>
      <c r="K358" s="1" t="s">
        <v>2208</v>
      </c>
      <c r="L358" s="1" t="s">
        <v>35</v>
      </c>
      <c r="M358" s="1" t="s">
        <v>75</v>
      </c>
      <c r="N358" s="1" t="s">
        <v>36</v>
      </c>
      <c r="O358" s="1" t="s">
        <v>19</v>
      </c>
      <c r="P358" s="1" t="s">
        <v>18</v>
      </c>
      <c r="Q358" s="1" t="s">
        <v>20</v>
      </c>
      <c r="R358" s="1" t="s">
        <v>2213</v>
      </c>
      <c r="S358" s="1">
        <v>2</v>
      </c>
      <c r="T358" s="1" t="s">
        <v>2235</v>
      </c>
      <c r="W358" t="s">
        <v>3603</v>
      </c>
    </row>
    <row r="359" spans="1:23">
      <c r="A359" s="1" t="s">
        <v>2236</v>
      </c>
      <c r="B359" s="1" t="str" cm="1">
        <f t="array" ref="B359">IF(A359="","",_xlfn.IFS(COUNTIF($U:$U,A359)&gt;0,"All uploaded",COUNTIF($V:$V,A359)&gt;0,"Partly uploaded",COUNTIF($W:$X,A359)&gt;0,"Not uploaded",TRUE,"Not classified"))</f>
        <v>All uploaded</v>
      </c>
      <c r="C359" s="1" t="str" cm="1">
        <f t="array" ref="C359">_xlfn.SWITCH(TRIM(I359),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59" s="1" t="s">
        <v>0</v>
      </c>
      <c r="E359" s="1" t="s">
        <v>4</v>
      </c>
      <c r="F359" s="1" t="str" cm="1">
        <f t="array" ref="F359">_xlfn.LET(
_xlpm.status,UPPER(TRIM(B359&amp;"")),
_xlpm.risk,UPPER(TRIM(C359&amp;"")),
_xlpm.notify,UPPER(TRIM(D359&amp;"")),
_xlpm.form,UPPER(TRIM(E359&amp;"")),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59" s="1" t="str">
        <f t="shared" si="5"/>
        <v>Required</v>
      </c>
      <c r="H359" s="5" t="s">
        <v>2240</v>
      </c>
      <c r="I359" s="1" t="s">
        <v>25</v>
      </c>
      <c r="J359" s="1" t="s">
        <v>2239</v>
      </c>
      <c r="K359" s="1" t="s">
        <v>2208</v>
      </c>
      <c r="L359" s="1" t="s">
        <v>25</v>
      </c>
      <c r="M359" s="1" t="s">
        <v>28</v>
      </c>
      <c r="N359" s="1" t="s">
        <v>2237</v>
      </c>
      <c r="O359" s="1" t="s">
        <v>19</v>
      </c>
      <c r="P359" s="1" t="s">
        <v>18</v>
      </c>
      <c r="Q359" s="1" t="s">
        <v>20</v>
      </c>
      <c r="R359" s="1" t="s">
        <v>2238</v>
      </c>
      <c r="S359" s="1">
        <v>1</v>
      </c>
      <c r="T359" s="1" t="s">
        <v>2241</v>
      </c>
      <c r="W359" t="s">
        <v>3629</v>
      </c>
    </row>
    <row r="360" spans="1:23">
      <c r="A360" s="1" t="s">
        <v>2209</v>
      </c>
      <c r="B360" s="1" t="str" cm="1">
        <f t="array" ref="B360">IF(A360="","",_xlfn.IFS(COUNTIF($U:$U,A360)&gt;0,"All uploaded",COUNTIF($V:$V,A360)&gt;0,"Partly uploaded",COUNTIF($W:$X,A360)&gt;0,"Not uploaded",TRUE,"Not classified"))</f>
        <v>Partly uploaded</v>
      </c>
      <c r="C360" s="1" t="str" cm="1">
        <f t="array" ref="C360">_xlfn.SWITCH(TRIM(I360),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60" s="1" t="s">
        <v>1</v>
      </c>
      <c r="E360" s="1" t="s">
        <v>2</v>
      </c>
      <c r="F360" s="1" t="str" cm="1">
        <f t="array" ref="F360">_xlfn.LET(
_xlpm.status,UPPER(TRIM(B360&amp;"")),
_xlpm.risk,UPPER(TRIM(C360&amp;"")),
_xlpm.notify,UPPER(TRIM(D360&amp;"")),
_xlpm.form,UPPER(TRIM(E360&amp;"")),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60" s="1" t="str">
        <f t="shared" si="5"/>
        <v>NA</v>
      </c>
      <c r="H360" s="5" t="s">
        <v>2244</v>
      </c>
      <c r="I360" s="1" t="s">
        <v>23</v>
      </c>
      <c r="J360" s="1" t="s">
        <v>2243</v>
      </c>
      <c r="K360" s="1" t="s">
        <v>2208</v>
      </c>
      <c r="L360" s="1" t="s">
        <v>23</v>
      </c>
      <c r="M360" s="1" t="s">
        <v>28</v>
      </c>
      <c r="N360" s="1" t="s">
        <v>2210</v>
      </c>
      <c r="O360" s="1" t="s">
        <v>19</v>
      </c>
      <c r="P360" s="1" t="s">
        <v>18</v>
      </c>
      <c r="Q360" s="1" t="s">
        <v>20</v>
      </c>
      <c r="R360" s="1" t="s">
        <v>2213</v>
      </c>
      <c r="S360" s="1">
        <v>1</v>
      </c>
      <c r="T360" s="1" t="s">
        <v>2245</v>
      </c>
      <c r="W360" t="s">
        <v>3617</v>
      </c>
    </row>
    <row r="361" spans="1:23">
      <c r="A361" s="1" t="s">
        <v>2209</v>
      </c>
      <c r="B361" s="1" t="str" cm="1">
        <f t="array" ref="B361">IF(A361="","",_xlfn.IFS(COUNTIF($U:$U,A361)&gt;0,"All uploaded",COUNTIF($V:$V,A361)&gt;0,"Partly uploaded",COUNTIF($W:$X,A361)&gt;0,"Not uploaded",TRUE,"Not classified"))</f>
        <v>Partly uploaded</v>
      </c>
      <c r="C361" s="1" t="str" cm="1">
        <f t="array" ref="C361">_xlfn.SWITCH(TRIM(I361),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61" s="1" t="s">
        <v>1</v>
      </c>
      <c r="E361" s="1" t="s">
        <v>4</v>
      </c>
      <c r="F361" s="1" t="str" cm="1">
        <f t="array" ref="F361">_xlfn.LET(
_xlpm.status,UPPER(TRIM(B361&amp;"")),
_xlpm.risk,UPPER(TRIM(C361&amp;"")),
_xlpm.notify,UPPER(TRIM(D361&amp;"")),
_xlpm.form,UPPER(TRIM(E361&amp;"")),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61" s="1" t="str">
        <f t="shared" si="5"/>
        <v>NA</v>
      </c>
      <c r="H361" s="5" t="s">
        <v>2218</v>
      </c>
      <c r="I361" s="1" t="s">
        <v>23</v>
      </c>
      <c r="J361" s="1" t="s">
        <v>2217</v>
      </c>
      <c r="K361" s="1" t="s">
        <v>2208</v>
      </c>
      <c r="L361" s="1" t="s">
        <v>23</v>
      </c>
      <c r="M361" s="1" t="s">
        <v>28</v>
      </c>
      <c r="N361" s="1" t="s">
        <v>2210</v>
      </c>
      <c r="O361" s="1" t="s">
        <v>19</v>
      </c>
      <c r="P361" s="1" t="s">
        <v>18</v>
      </c>
      <c r="Q361" s="1" t="s">
        <v>20</v>
      </c>
      <c r="R361" s="1" t="s">
        <v>550</v>
      </c>
      <c r="S361" s="1">
        <v>1</v>
      </c>
      <c r="T361" s="1" t="s">
        <v>2219</v>
      </c>
      <c r="W361" t="s">
        <v>3622</v>
      </c>
    </row>
    <row r="362" spans="1:23">
      <c r="A362" s="1" t="s">
        <v>2264</v>
      </c>
      <c r="B362" s="1" t="str" cm="1">
        <f t="array" ref="B362">IF(A362="","",_xlfn.IFS(COUNTIF($U:$U,A362)&gt;0,"All uploaded",COUNTIF($V:$V,A362)&gt;0,"Partly uploaded",COUNTIF($W:$X,A362)&gt;0,"Not uploaded",TRUE,"Not classified"))</f>
        <v>Partly uploaded</v>
      </c>
      <c r="C362" s="1" t="str" cm="1">
        <f t="array" ref="C362">_xlfn.SWITCH(TRIM(I362),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62" s="1" t="s">
        <v>1</v>
      </c>
      <c r="E362" s="1" t="s">
        <v>2</v>
      </c>
      <c r="F362" s="1" t="str" cm="1">
        <f t="array" ref="F362">_xlfn.LET(
_xlpm.status,UPPER(TRIM(B362&amp;"")),
_xlpm.risk,UPPER(TRIM(C362&amp;"")),
_xlpm.notify,UPPER(TRIM(D362&amp;"")),
_xlpm.form,UPPER(TRIM(E362&amp;"")),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62" s="1" t="str">
        <f t="shared" si="5"/>
        <v>NA</v>
      </c>
      <c r="H362" s="5" t="s">
        <v>2268</v>
      </c>
      <c r="I362" s="1" t="s">
        <v>23</v>
      </c>
      <c r="J362" s="1" t="s">
        <v>2267</v>
      </c>
      <c r="K362" s="1" t="s">
        <v>2263</v>
      </c>
      <c r="L362" s="1" t="s">
        <v>23</v>
      </c>
      <c r="M362" s="1" t="s">
        <v>28</v>
      </c>
      <c r="N362" s="1" t="s">
        <v>2265</v>
      </c>
      <c r="O362" s="1" t="s">
        <v>19</v>
      </c>
      <c r="P362" s="1" t="s">
        <v>18</v>
      </c>
      <c r="Q362" s="1" t="s">
        <v>20</v>
      </c>
      <c r="R362" s="1" t="s">
        <v>2266</v>
      </c>
      <c r="S362" s="1">
        <v>4</v>
      </c>
      <c r="T362" s="1" t="s">
        <v>2269</v>
      </c>
      <c r="W362" t="s">
        <v>3631</v>
      </c>
    </row>
    <row r="363" spans="1:23">
      <c r="A363" s="1" t="s">
        <v>2251</v>
      </c>
      <c r="B363" s="1" t="str" cm="1">
        <f t="array" ref="B363">IF(A363="","",_xlfn.IFS(COUNTIF($U:$U,A363)&gt;0,"All uploaded",COUNTIF($V:$V,A363)&gt;0,"Partly uploaded",COUNTIF($W:$X,A363)&gt;0,"Not uploaded",TRUE,"Not classified"))</f>
        <v>Partly uploaded</v>
      </c>
      <c r="C363" s="1" t="str" cm="1">
        <f t="array" ref="C363">_xlfn.SWITCH(TRIM(I363),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63" s="1" t="s">
        <v>0</v>
      </c>
      <c r="E363" s="1" t="s">
        <v>4</v>
      </c>
      <c r="F363" s="1" t="str" cm="1">
        <f t="array" ref="F363">_xlfn.LET(
_xlpm.status,UPPER(TRIM(B363&amp;"")),
_xlpm.risk,UPPER(TRIM(C363&amp;"")),
_xlpm.notify,UPPER(TRIM(D363&amp;"")),
_xlpm.form,UPPER(TRIM(E363&amp;"")),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63" s="1" t="str">
        <f t="shared" si="5"/>
        <v>NA</v>
      </c>
      <c r="H363" s="5" t="s">
        <v>2254</v>
      </c>
      <c r="I363" s="1" t="s">
        <v>22</v>
      </c>
      <c r="J363" s="1" t="s">
        <v>2253</v>
      </c>
      <c r="K363" s="1" t="s">
        <v>2250</v>
      </c>
      <c r="L363" s="1" t="s">
        <v>22</v>
      </c>
      <c r="M363" s="1" t="s">
        <v>77</v>
      </c>
      <c r="N363" s="1" t="s">
        <v>2252</v>
      </c>
      <c r="O363" s="1" t="s">
        <v>19</v>
      </c>
      <c r="P363" s="1" t="s">
        <v>18</v>
      </c>
      <c r="Q363" s="1" t="s">
        <v>20</v>
      </c>
      <c r="R363" s="1" t="s">
        <v>2213</v>
      </c>
      <c r="S363" s="1">
        <v>17</v>
      </c>
      <c r="T363" s="1" t="s">
        <v>2255</v>
      </c>
      <c r="W363" t="s">
        <v>3633</v>
      </c>
    </row>
    <row r="364" spans="1:23">
      <c r="A364" s="1" t="s">
        <v>2256</v>
      </c>
      <c r="B364" s="1" t="str" cm="1">
        <f t="array" ref="B364">IF(A364="","",_xlfn.IFS(COUNTIF($U:$U,A364)&gt;0,"All uploaded",COUNTIF($V:$V,A364)&gt;0,"Partly uploaded",COUNTIF($W:$X,A364)&gt;0,"Not uploaded",TRUE,"Not classified"))</f>
        <v>All uploaded</v>
      </c>
      <c r="C364" s="1" t="str" cm="1">
        <f t="array" ref="C364">_xlfn.SWITCH(TRIM(I364),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64" s="1" t="s">
        <v>0</v>
      </c>
      <c r="E364" s="1" t="s">
        <v>4</v>
      </c>
      <c r="F364" s="1" t="str" cm="1">
        <f t="array" ref="F364">_xlfn.LET(
_xlpm.status,UPPER(TRIM(B364&amp;"")),
_xlpm.risk,UPPER(TRIM(C364&amp;"")),
_xlpm.notify,UPPER(TRIM(D364&amp;"")),
_xlpm.form,UPPER(TRIM(E364&amp;"")),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64" s="1" t="str">
        <f t="shared" si="5"/>
        <v>NA</v>
      </c>
      <c r="H364" s="5" t="s">
        <v>2259</v>
      </c>
      <c r="I364" s="1" t="s">
        <v>22</v>
      </c>
      <c r="J364" s="1" t="s">
        <v>2258</v>
      </c>
      <c r="K364" s="1" t="s">
        <v>2250</v>
      </c>
      <c r="L364" s="1" t="s">
        <v>22</v>
      </c>
      <c r="M364" s="1" t="s">
        <v>77</v>
      </c>
      <c r="N364" s="1" t="s">
        <v>2257</v>
      </c>
      <c r="O364" s="1" t="s">
        <v>19</v>
      </c>
      <c r="P364" s="1" t="s">
        <v>18</v>
      </c>
      <c r="Q364" s="1" t="s">
        <v>20</v>
      </c>
      <c r="R364" s="1" t="s">
        <v>2213</v>
      </c>
      <c r="S364" s="1">
        <v>1</v>
      </c>
      <c r="T364" s="1" t="s">
        <v>2260</v>
      </c>
      <c r="W364" t="s">
        <v>3636</v>
      </c>
    </row>
    <row r="365" spans="1:23">
      <c r="A365" s="1" t="s">
        <v>2408</v>
      </c>
      <c r="B365" s="1" t="str" cm="1">
        <f t="array" ref="B365">IF(A365="","",_xlfn.IFS(COUNTIF($U:$U,A365)&gt;0,"All uploaded",COUNTIF($V:$V,A365)&gt;0,"Partly uploaded",COUNTIF($W:$X,A365)&gt;0,"Not uploaded",TRUE,"Not classified"))</f>
        <v>All uploaded</v>
      </c>
      <c r="C365" s="1" t="str" cm="1">
        <f t="array" ref="C365">_xlfn.SWITCH(TRIM(I365),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65" s="1" t="s">
        <v>0</v>
      </c>
      <c r="E365" s="1" t="s">
        <v>3</v>
      </c>
      <c r="F365" s="1" t="str" cm="1">
        <f t="array" ref="F365">_xlfn.LET(
_xlpm.status,UPPER(TRIM(B365&amp;"")),
_xlpm.risk,UPPER(TRIM(C365&amp;"")),
_xlpm.notify,UPPER(TRIM(D365&amp;"")),
_xlpm.form,UPPER(TRIM(E365&amp;"")),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65" s="1" t="str">
        <f t="shared" si="5"/>
        <v>NA</v>
      </c>
      <c r="H365" s="5" t="s">
        <v>2411</v>
      </c>
      <c r="I365" s="1" t="s">
        <v>22</v>
      </c>
      <c r="J365" s="1" t="s">
        <v>2410</v>
      </c>
      <c r="K365" s="1" t="s">
        <v>2402</v>
      </c>
      <c r="L365" s="1" t="s">
        <v>22</v>
      </c>
      <c r="M365" s="1" t="s">
        <v>77</v>
      </c>
      <c r="N365" s="1" t="s">
        <v>2409</v>
      </c>
      <c r="O365" s="1" t="s">
        <v>19</v>
      </c>
      <c r="P365" s="1" t="s">
        <v>18</v>
      </c>
      <c r="Q365" s="1" t="s">
        <v>20</v>
      </c>
      <c r="R365" s="1" t="s">
        <v>1611</v>
      </c>
      <c r="S365" s="1">
        <v>1</v>
      </c>
      <c r="T365" s="1" t="s">
        <v>2412</v>
      </c>
      <c r="W365" t="s">
        <v>3649</v>
      </c>
    </row>
    <row r="366" spans="1:23">
      <c r="A366" s="1" t="s">
        <v>2272</v>
      </c>
      <c r="B366" s="1" t="str" cm="1">
        <f t="array" ref="B366">IF(A366="","",_xlfn.IFS(COUNTIF($U:$U,A366)&gt;0,"All uploaded",COUNTIF($V:$V,A366)&gt;0,"Partly uploaded",COUNTIF($W:$X,A366)&gt;0,"Not uploaded",TRUE,"Not classified"))</f>
        <v>All uploaded</v>
      </c>
      <c r="C366" s="1" t="str" cm="1">
        <f t="array" ref="C366">_xlfn.SWITCH(TRIM(I366),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66" s="1" t="s">
        <v>0</v>
      </c>
      <c r="E366" s="1" t="s">
        <v>3</v>
      </c>
      <c r="F366" s="1" t="str" cm="1">
        <f t="array" ref="F366">_xlfn.LET(
_xlpm.status,UPPER(TRIM(B366&amp;"")),
_xlpm.risk,UPPER(TRIM(C366&amp;"")),
_xlpm.notify,UPPER(TRIM(D366&amp;"")),
_xlpm.form,UPPER(TRIM(E366&amp;"")),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66" s="1" t="str">
        <f t="shared" si="5"/>
        <v>NA</v>
      </c>
      <c r="H366" s="5" t="s">
        <v>2276</v>
      </c>
      <c r="I366" s="1" t="s">
        <v>22</v>
      </c>
      <c r="J366" s="1" t="s">
        <v>2275</v>
      </c>
      <c r="K366" s="1" t="s">
        <v>2271</v>
      </c>
      <c r="L366" s="1" t="s">
        <v>22</v>
      </c>
      <c r="M366" s="1" t="s">
        <v>77</v>
      </c>
      <c r="N366" s="1" t="s">
        <v>2273</v>
      </c>
      <c r="O366" s="1" t="s">
        <v>19</v>
      </c>
      <c r="P366" s="1" t="s">
        <v>18</v>
      </c>
      <c r="Q366" s="1" t="s">
        <v>20</v>
      </c>
      <c r="R366" s="1" t="s">
        <v>2274</v>
      </c>
      <c r="S366" s="1">
        <v>3</v>
      </c>
      <c r="T366" s="1" t="s">
        <v>2277</v>
      </c>
      <c r="W366" t="s">
        <v>3635</v>
      </c>
    </row>
    <row r="367" spans="1:23">
      <c r="A367" s="1" t="s">
        <v>2351</v>
      </c>
      <c r="B367" s="1" t="str" cm="1">
        <f t="array" ref="B367">IF(A367="","",_xlfn.IFS(COUNTIF($U:$U,A367)&gt;0,"All uploaded",COUNTIF($V:$V,A367)&gt;0,"Partly uploaded",COUNTIF($W:$X,A367)&gt;0,"Not uploaded",TRUE,"Not classified"))</f>
        <v>All uploaded</v>
      </c>
      <c r="C367" s="1" t="str" cm="1">
        <f t="array" ref="C367">_xlfn.SWITCH(TRIM(I367),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67" s="1" t="s">
        <v>0</v>
      </c>
      <c r="E367" s="1" t="s">
        <v>4</v>
      </c>
      <c r="F367" s="1" t="str" cm="1">
        <f t="array" ref="F367">_xlfn.LET(
_xlpm.status,UPPER(TRIM(B367&amp;"")),
_xlpm.risk,UPPER(TRIM(C367&amp;"")),
_xlpm.notify,UPPER(TRIM(D367&amp;"")),
_xlpm.form,UPPER(TRIM(E367&amp;"")),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67" s="1" t="str">
        <f t="shared" si="5"/>
        <v>NA</v>
      </c>
      <c r="H367" s="5" t="s">
        <v>2354</v>
      </c>
      <c r="I367" s="1" t="s">
        <v>22</v>
      </c>
      <c r="J367" s="1" t="s">
        <v>2353</v>
      </c>
      <c r="K367" s="1" t="s">
        <v>2339</v>
      </c>
      <c r="L367" s="1" t="s">
        <v>22</v>
      </c>
      <c r="M367" s="1" t="s">
        <v>77</v>
      </c>
      <c r="N367" s="1" t="s">
        <v>2352</v>
      </c>
      <c r="O367" s="1" t="s">
        <v>19</v>
      </c>
      <c r="P367" s="1" t="s">
        <v>18</v>
      </c>
      <c r="Q367" s="1" t="s">
        <v>20</v>
      </c>
      <c r="R367" s="1" t="s">
        <v>2319</v>
      </c>
      <c r="S367" s="1">
        <v>1</v>
      </c>
      <c r="T367" s="1" t="s">
        <v>2355</v>
      </c>
      <c r="W367" t="s">
        <v>3639</v>
      </c>
    </row>
    <row r="368" spans="1:23">
      <c r="A368" s="1" t="s">
        <v>2304</v>
      </c>
      <c r="B368" s="1" t="str" cm="1">
        <f t="array" ref="B368">IF(A368="","",_xlfn.IFS(COUNTIF($U:$U,A368)&gt;0,"All uploaded",COUNTIF($V:$V,A368)&gt;0,"Partly uploaded",COUNTIF($W:$X,A368)&gt;0,"Not uploaded",TRUE,"Not classified"))</f>
        <v>Partly uploaded</v>
      </c>
      <c r="C368" s="1" t="str" cm="1">
        <f t="array" ref="C368">_xlfn.SWITCH(TRIM(I368),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68" s="1" t="s">
        <v>1</v>
      </c>
      <c r="E368" s="1" t="s">
        <v>4</v>
      </c>
      <c r="F368" s="1" t="str" cm="1">
        <f t="array" ref="F368">_xlfn.LET(
_xlpm.status,UPPER(TRIM(B368&amp;"")),
_xlpm.risk,UPPER(TRIM(C368&amp;"")),
_xlpm.notify,UPPER(TRIM(D368&amp;"")),
_xlpm.form,UPPER(TRIM(E368&amp;"")),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68" s="1" t="str">
        <f t="shared" si="5"/>
        <v>NA</v>
      </c>
      <c r="H368" s="5" t="s">
        <v>2308</v>
      </c>
      <c r="I368" s="1" t="s">
        <v>23</v>
      </c>
      <c r="J368" s="1" t="s">
        <v>2307</v>
      </c>
      <c r="K368" s="1" t="s">
        <v>2303</v>
      </c>
      <c r="L368" s="1" t="s">
        <v>23</v>
      </c>
      <c r="M368" s="1" t="s">
        <v>28</v>
      </c>
      <c r="N368" s="1" t="s">
        <v>2305</v>
      </c>
      <c r="O368" s="1" t="s">
        <v>19</v>
      </c>
      <c r="P368" s="1" t="s">
        <v>18</v>
      </c>
      <c r="Q368" s="1" t="s">
        <v>20</v>
      </c>
      <c r="R368" s="1" t="s">
        <v>2306</v>
      </c>
      <c r="S368" s="1">
        <v>7</v>
      </c>
      <c r="T368" s="1" t="s">
        <v>2309</v>
      </c>
      <c r="W368" t="s">
        <v>3642</v>
      </c>
    </row>
    <row r="369" spans="1:23">
      <c r="A369" s="1" t="s">
        <v>2286</v>
      </c>
      <c r="B369" s="1" t="str" cm="1">
        <f t="array" ref="B369">IF(A369="","",_xlfn.IFS(COUNTIF($U:$U,A369)&gt;0,"All uploaded",COUNTIF($V:$V,A369)&gt;0,"Partly uploaded",COUNTIF($W:$X,A369)&gt;0,"Not uploaded",TRUE,"Not classified"))</f>
        <v>Partly uploaded</v>
      </c>
      <c r="C369" s="1" t="str" cm="1">
        <f t="array" ref="C369">_xlfn.SWITCH(TRIM(I369),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69" s="1" t="s">
        <v>1</v>
      </c>
      <c r="E369" s="1" t="s">
        <v>4</v>
      </c>
      <c r="F369" s="1" t="str" cm="1">
        <f t="array" ref="F369">_xlfn.LET(
_xlpm.status,UPPER(TRIM(B369&amp;"")),
_xlpm.risk,UPPER(TRIM(C369&amp;"")),
_xlpm.notify,UPPER(TRIM(D369&amp;"")),
_xlpm.form,UPPER(TRIM(E369&amp;"")),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369" s="1" t="str">
        <f t="shared" si="5"/>
        <v>Required</v>
      </c>
      <c r="H369" s="5" t="s">
        <v>2289</v>
      </c>
      <c r="I369" s="1" t="s">
        <v>25</v>
      </c>
      <c r="J369" s="1" t="s">
        <v>2288</v>
      </c>
      <c r="K369" s="1" t="s">
        <v>2285</v>
      </c>
      <c r="L369" s="1" t="s">
        <v>25</v>
      </c>
      <c r="M369" s="1" t="s">
        <v>28</v>
      </c>
      <c r="N369" s="1" t="s">
        <v>2287</v>
      </c>
      <c r="O369" s="1" t="s">
        <v>19</v>
      </c>
      <c r="P369" s="1" t="s">
        <v>18</v>
      </c>
      <c r="Q369" s="1" t="s">
        <v>20</v>
      </c>
      <c r="R369" s="1" t="s">
        <v>550</v>
      </c>
      <c r="S369" s="1">
        <v>1</v>
      </c>
      <c r="T369" s="1" t="s">
        <v>2290</v>
      </c>
      <c r="W369" t="s">
        <v>3645</v>
      </c>
    </row>
    <row r="370" spans="1:23">
      <c r="A370" s="1" t="s">
        <v>2286</v>
      </c>
      <c r="B370" s="1" t="str" cm="1">
        <f t="array" ref="B370">IF(A370="","",_xlfn.IFS(COUNTIF($U:$U,A370)&gt;0,"All uploaded",COUNTIF($V:$V,A370)&gt;0,"Partly uploaded",COUNTIF($W:$X,A370)&gt;0,"Not uploaded",TRUE,"Not classified"))</f>
        <v>Partly uploaded</v>
      </c>
      <c r="C370" s="1" t="str" cm="1">
        <f t="array" ref="C370">_xlfn.SWITCH(TRIM(I370),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70" s="1" t="s">
        <v>0</v>
      </c>
      <c r="E370" s="1" t="s">
        <v>4</v>
      </c>
      <c r="F370" s="1" t="str" cm="1">
        <f t="array" ref="F370">_xlfn.LET(
_xlpm.status,UPPER(TRIM(B370&amp;"")),
_xlpm.risk,UPPER(TRIM(C370&amp;"")),
_xlpm.notify,UPPER(TRIM(D370&amp;"")),
_xlpm.form,UPPER(TRIM(E370&amp;"")),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70" s="1" t="str">
        <f t="shared" si="5"/>
        <v>Required</v>
      </c>
      <c r="H370" s="5" t="s">
        <v>2293</v>
      </c>
      <c r="I370" s="1" t="s">
        <v>25</v>
      </c>
      <c r="J370" s="1" t="s">
        <v>2292</v>
      </c>
      <c r="K370" s="1" t="s">
        <v>2285</v>
      </c>
      <c r="L370" s="1" t="s">
        <v>25</v>
      </c>
      <c r="M370" s="1" t="s">
        <v>28</v>
      </c>
      <c r="N370" s="1" t="s">
        <v>2287</v>
      </c>
      <c r="O370" s="1" t="s">
        <v>19</v>
      </c>
      <c r="P370" s="1" t="s">
        <v>18</v>
      </c>
      <c r="Q370" s="1" t="s">
        <v>20</v>
      </c>
      <c r="R370" s="1" t="s">
        <v>2291</v>
      </c>
      <c r="S370" s="1">
        <v>1</v>
      </c>
      <c r="T370" s="1" t="s">
        <v>2290</v>
      </c>
      <c r="W370" t="s">
        <v>3647</v>
      </c>
    </row>
    <row r="371" spans="1:23">
      <c r="A371" s="1" t="s">
        <v>2299</v>
      </c>
      <c r="B371" s="1" t="str" cm="1">
        <f t="array" ref="B371">IF(A371="","",_xlfn.IFS(COUNTIF($U:$U,A371)&gt;0,"All uploaded",COUNTIF($V:$V,A371)&gt;0,"Partly uploaded",COUNTIF($W:$X,A371)&gt;0,"Not uploaded",TRUE,"Not classified"))</f>
        <v>Partly uploaded</v>
      </c>
      <c r="C371" s="1" t="str" cm="1">
        <f t="array" ref="C371">_xlfn.SWITCH(TRIM(I371),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71" s="1" t="s">
        <v>0</v>
      </c>
      <c r="E371" s="1" t="s">
        <v>4</v>
      </c>
      <c r="F371" s="1" t="str" cm="1">
        <f t="array" ref="F371">_xlfn.LET(
_xlpm.status,UPPER(TRIM(B371&amp;"")),
_xlpm.risk,UPPER(TRIM(C371&amp;"")),
_xlpm.notify,UPPER(TRIM(D371&amp;"")),
_xlpm.form,UPPER(TRIM(E371&amp;"")),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71" s="1" t="str">
        <f t="shared" si="5"/>
        <v>Required</v>
      </c>
      <c r="H371" s="5" t="s">
        <v>2301</v>
      </c>
      <c r="I371" s="1" t="s">
        <v>25</v>
      </c>
      <c r="J371" s="1" t="s">
        <v>2300</v>
      </c>
      <c r="K371" s="1" t="s">
        <v>2298</v>
      </c>
      <c r="L371" s="1" t="s">
        <v>25</v>
      </c>
      <c r="M371" s="1" t="s">
        <v>28</v>
      </c>
      <c r="N371" s="1" t="s">
        <v>959</v>
      </c>
      <c r="O371" s="1" t="s">
        <v>19</v>
      </c>
      <c r="P371" s="1" t="s">
        <v>18</v>
      </c>
      <c r="Q371" s="1" t="s">
        <v>20</v>
      </c>
      <c r="R371" s="1" t="s">
        <v>2140</v>
      </c>
      <c r="S371" s="1">
        <v>3</v>
      </c>
      <c r="T371" s="1" t="s">
        <v>2302</v>
      </c>
      <c r="W371" t="s">
        <v>3650</v>
      </c>
    </row>
    <row r="372" spans="1:23">
      <c r="A372" s="1" t="s">
        <v>2342</v>
      </c>
      <c r="B372" s="1" t="str" cm="1">
        <f t="array" ref="B372">IF(A372="","",_xlfn.IFS(COUNTIF($U:$U,A372)&gt;0,"All uploaded",COUNTIF($V:$V,A372)&gt;0,"Partly uploaded",COUNTIF($W:$X,A372)&gt;0,"Not uploaded",TRUE,"Not classified"))</f>
        <v>Partly uploaded</v>
      </c>
      <c r="C372" s="1" t="str" cm="1">
        <f t="array" ref="C372">_xlfn.SWITCH(TRIM(I372),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72" s="1" t="s">
        <v>0</v>
      </c>
      <c r="E372" s="1" t="s">
        <v>3</v>
      </c>
      <c r="F372" s="1" t="str" cm="1">
        <f t="array" ref="F372">_xlfn.LET(
_xlpm.status,UPPER(TRIM(B372&amp;"")),
_xlpm.risk,UPPER(TRIM(C372&amp;"")),
_xlpm.notify,UPPER(TRIM(D372&amp;"")),
_xlpm.form,UPPER(TRIM(E372&amp;"")),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72" s="1" t="str">
        <f t="shared" si="5"/>
        <v>NA</v>
      </c>
      <c r="H372" s="5" t="s">
        <v>2345</v>
      </c>
      <c r="I372" s="1" t="s">
        <v>22</v>
      </c>
      <c r="J372" s="1" t="s">
        <v>2344</v>
      </c>
      <c r="K372" s="1" t="s">
        <v>2339</v>
      </c>
      <c r="L372" s="1" t="s">
        <v>22</v>
      </c>
      <c r="M372" s="1" t="s">
        <v>77</v>
      </c>
      <c r="N372" s="1" t="s">
        <v>2343</v>
      </c>
      <c r="O372" s="1" t="s">
        <v>19</v>
      </c>
      <c r="P372" s="1" t="s">
        <v>18</v>
      </c>
      <c r="Q372" s="1" t="s">
        <v>20</v>
      </c>
      <c r="R372" s="1" t="s">
        <v>2319</v>
      </c>
      <c r="S372" s="1">
        <v>3</v>
      </c>
      <c r="T372" s="1" t="s">
        <v>2346</v>
      </c>
      <c r="W372" t="s">
        <v>3662</v>
      </c>
    </row>
    <row r="373" spans="1:23">
      <c r="A373" s="1" t="s">
        <v>2324</v>
      </c>
      <c r="B373" s="1" t="str" cm="1">
        <f t="array" ref="B373">IF(A373="","",_xlfn.IFS(COUNTIF($U:$U,A373)&gt;0,"All uploaded",COUNTIF($V:$V,A373)&gt;0,"Partly uploaded",COUNTIF($W:$X,A373)&gt;0,"Not uploaded",TRUE,"Not classified"))</f>
        <v>Partly uploaded</v>
      </c>
      <c r="C373" s="1" t="str" cm="1">
        <f t="array" ref="C373">_xlfn.SWITCH(TRIM(I373),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73" s="1" t="s">
        <v>1</v>
      </c>
      <c r="E373" s="1" t="s">
        <v>4</v>
      </c>
      <c r="F373" s="1" t="str" cm="1">
        <f t="array" ref="F373">_xlfn.LET(
_xlpm.status,UPPER(TRIM(B373&amp;"")),
_xlpm.risk,UPPER(TRIM(C373&amp;"")),
_xlpm.notify,UPPER(TRIM(D373&amp;"")),
_xlpm.form,UPPER(TRIM(E373&amp;"")),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73" s="1" t="str">
        <f t="shared" si="5"/>
        <v>NA</v>
      </c>
      <c r="H373" s="5" t="s">
        <v>2326</v>
      </c>
      <c r="I373" s="1" t="s">
        <v>23</v>
      </c>
      <c r="J373" s="1" t="s">
        <v>2325</v>
      </c>
      <c r="K373" s="1" t="s">
        <v>2323</v>
      </c>
      <c r="L373" s="1" t="s">
        <v>23</v>
      </c>
      <c r="M373" s="1" t="s">
        <v>28</v>
      </c>
      <c r="N373" s="1" t="s">
        <v>1920</v>
      </c>
      <c r="O373" s="1" t="s">
        <v>19</v>
      </c>
      <c r="P373" s="1" t="s">
        <v>18</v>
      </c>
      <c r="Q373" s="1" t="s">
        <v>20</v>
      </c>
      <c r="R373" s="1" t="s">
        <v>2319</v>
      </c>
      <c r="S373" s="1">
        <v>7</v>
      </c>
      <c r="T373" s="1" t="s">
        <v>2327</v>
      </c>
      <c r="W373" t="s">
        <v>3664</v>
      </c>
    </row>
    <row r="374" spans="1:23">
      <c r="A374" s="1" t="s">
        <v>2313</v>
      </c>
      <c r="B374" s="1" t="str" cm="1">
        <f t="array" ref="B374">IF(A374="","",_xlfn.IFS(COUNTIF($U:$U,A374)&gt;0,"All uploaded",COUNTIF($V:$V,A374)&gt;0,"Partly uploaded",COUNTIF($W:$X,A374)&gt;0,"Not uploaded",TRUE,"Not classified"))</f>
        <v>Partly uploaded</v>
      </c>
      <c r="C374" s="1" t="str" cm="1">
        <f t="array" ref="C374">_xlfn.SWITCH(TRIM(I374),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74" s="1" t="s">
        <v>1</v>
      </c>
      <c r="E374" s="1" t="s">
        <v>2</v>
      </c>
      <c r="F374" s="1" t="str" cm="1">
        <f t="array" ref="F374">_xlfn.LET(
_xlpm.status,UPPER(TRIM(B374&amp;"")),
_xlpm.risk,UPPER(TRIM(C374&amp;"")),
_xlpm.notify,UPPER(TRIM(D374&amp;"")),
_xlpm.form,UPPER(TRIM(E374&amp;"")),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74" s="1" t="str">
        <f t="shared" si="5"/>
        <v>NA</v>
      </c>
      <c r="H374" s="5" t="s">
        <v>2321</v>
      </c>
      <c r="I374" s="1" t="s">
        <v>50</v>
      </c>
      <c r="J374" s="1" t="s">
        <v>2320</v>
      </c>
      <c r="K374" s="1" t="s">
        <v>2312</v>
      </c>
      <c r="L374" s="1" t="s">
        <v>50</v>
      </c>
      <c r="M374" s="1" t="s">
        <v>75</v>
      </c>
      <c r="N374" s="1" t="s">
        <v>2314</v>
      </c>
      <c r="O374" s="1" t="s">
        <v>19</v>
      </c>
      <c r="P374" s="1" t="s">
        <v>18</v>
      </c>
      <c r="Q374" s="1" t="s">
        <v>20</v>
      </c>
      <c r="R374" s="1" t="s">
        <v>2319</v>
      </c>
      <c r="S374" s="1">
        <v>2</v>
      </c>
      <c r="T374" s="1" t="s">
        <v>2322</v>
      </c>
      <c r="W374" t="s">
        <v>3672</v>
      </c>
    </row>
    <row r="375" spans="1:23">
      <c r="A375" s="1" t="s">
        <v>2313</v>
      </c>
      <c r="B375" s="1" t="str" cm="1">
        <f t="array" ref="B375">IF(A375="","",_xlfn.IFS(COUNTIF($U:$U,A375)&gt;0,"All uploaded",COUNTIF($V:$V,A375)&gt;0,"Partly uploaded",COUNTIF($W:$X,A375)&gt;0,"Not uploaded",TRUE,"Not classified"))</f>
        <v>Partly uploaded</v>
      </c>
      <c r="C375" s="1" t="str" cm="1">
        <f t="array" ref="C375">_xlfn.SWITCH(TRIM(I375),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75" s="1" t="s">
        <v>1</v>
      </c>
      <c r="E375" s="1" t="s">
        <v>4</v>
      </c>
      <c r="F375" s="1" t="str" cm="1">
        <f t="array" ref="F375">_xlfn.LET(
_xlpm.status,UPPER(TRIM(B375&amp;"")),
_xlpm.risk,UPPER(TRIM(C375&amp;"")),
_xlpm.notify,UPPER(TRIM(D375&amp;"")),
_xlpm.form,UPPER(TRIM(E375&amp;"")),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75" s="1" t="str">
        <f t="shared" si="5"/>
        <v>NA</v>
      </c>
      <c r="H375" s="5" t="s">
        <v>2317</v>
      </c>
      <c r="I375" s="1" t="s">
        <v>50</v>
      </c>
      <c r="J375" s="1" t="s">
        <v>2316</v>
      </c>
      <c r="K375" s="1" t="s">
        <v>2312</v>
      </c>
      <c r="L375" s="1" t="s">
        <v>50</v>
      </c>
      <c r="M375" s="1" t="s">
        <v>75</v>
      </c>
      <c r="N375" s="1" t="s">
        <v>2314</v>
      </c>
      <c r="O375" s="1" t="s">
        <v>19</v>
      </c>
      <c r="P375" s="1" t="s">
        <v>18</v>
      </c>
      <c r="Q375" s="1" t="s">
        <v>20</v>
      </c>
      <c r="R375" s="1" t="s">
        <v>2315</v>
      </c>
      <c r="S375" s="1">
        <v>1</v>
      </c>
      <c r="T375" s="1" t="s">
        <v>2318</v>
      </c>
      <c r="W375" t="s">
        <v>3684</v>
      </c>
    </row>
    <row r="376" spans="1:23">
      <c r="A376" s="1" t="s">
        <v>2329</v>
      </c>
      <c r="B376" s="1" t="str" cm="1">
        <f t="array" ref="B376">IF(A376="","",_xlfn.IFS(COUNTIF($U:$U,A376)&gt;0,"All uploaded",COUNTIF($V:$V,A376)&gt;0,"Partly uploaded",COUNTIF($W:$X,A376)&gt;0,"Not uploaded",TRUE,"Not classified"))</f>
        <v>Partly uploaded</v>
      </c>
      <c r="C376" s="1" t="str" cm="1">
        <f t="array" ref="C376">_xlfn.SWITCH(TRIM(I376),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76" s="1" t="s">
        <v>1</v>
      </c>
      <c r="E376" s="1" t="s">
        <v>2</v>
      </c>
      <c r="F376" s="1" t="str" cm="1">
        <f t="array" ref="F376">_xlfn.LET(
_xlpm.status,UPPER(TRIM(B376&amp;"")),
_xlpm.risk,UPPER(TRIM(C376&amp;"")),
_xlpm.notify,UPPER(TRIM(D376&amp;"")),
_xlpm.form,UPPER(TRIM(E376&amp;"")),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76" s="1" t="str">
        <f t="shared" si="5"/>
        <v>NA</v>
      </c>
      <c r="H376" s="5" t="s">
        <v>2332</v>
      </c>
      <c r="I376" s="1" t="s">
        <v>22</v>
      </c>
      <c r="J376" s="1" t="s">
        <v>2331</v>
      </c>
      <c r="K376" s="1" t="s">
        <v>2328</v>
      </c>
      <c r="L376" s="1" t="s">
        <v>22</v>
      </c>
      <c r="M376" s="1" t="s">
        <v>77</v>
      </c>
      <c r="N376" s="1" t="s">
        <v>2330</v>
      </c>
      <c r="O376" s="1" t="s">
        <v>19</v>
      </c>
      <c r="P376" s="1" t="s">
        <v>18</v>
      </c>
      <c r="Q376" s="1" t="s">
        <v>20</v>
      </c>
      <c r="R376" s="1" t="s">
        <v>2319</v>
      </c>
      <c r="S376" s="1">
        <v>5</v>
      </c>
      <c r="T376" s="1" t="s">
        <v>2333</v>
      </c>
      <c r="W376" t="s">
        <v>3682</v>
      </c>
    </row>
    <row r="377" spans="1:23">
      <c r="A377" s="1" t="s">
        <v>2334</v>
      </c>
      <c r="B377" s="1" t="str" cm="1">
        <f t="array" ref="B377">IF(A377="","",_xlfn.IFS(COUNTIF($U:$U,A377)&gt;0,"All uploaded",COUNTIF($V:$V,A377)&gt;0,"Partly uploaded",COUNTIF($W:$X,A377)&gt;0,"Not uploaded",TRUE,"Not classified"))</f>
        <v>Partly uploaded</v>
      </c>
      <c r="C377" s="1" t="str" cm="1">
        <f t="array" ref="C377">_xlfn.SWITCH(TRIM(I377),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77" s="1" t="s">
        <v>0</v>
      </c>
      <c r="E377" s="1" t="s">
        <v>3</v>
      </c>
      <c r="F377" s="1" t="str" cm="1">
        <f t="array" ref="F377">_xlfn.LET(
_xlpm.status,UPPER(TRIM(B377&amp;"")),
_xlpm.risk,UPPER(TRIM(C377&amp;"")),
_xlpm.notify,UPPER(TRIM(D377&amp;"")),
_xlpm.form,UPPER(TRIM(E377&amp;"")),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77" s="1" t="str">
        <f t="shared" si="5"/>
        <v>NA</v>
      </c>
      <c r="H377" s="5" t="s">
        <v>2337</v>
      </c>
      <c r="I377" s="1" t="s">
        <v>27</v>
      </c>
      <c r="J377" s="1" t="s">
        <v>2336</v>
      </c>
      <c r="K377" s="1" t="s">
        <v>2328</v>
      </c>
      <c r="L377" s="1" t="s">
        <v>27</v>
      </c>
      <c r="M377" s="1" t="s">
        <v>28</v>
      </c>
      <c r="N377" s="1" t="s">
        <v>449</v>
      </c>
      <c r="O377" s="1" t="s">
        <v>19</v>
      </c>
      <c r="P377" s="1" t="s">
        <v>18</v>
      </c>
      <c r="Q377" s="1" t="s">
        <v>20</v>
      </c>
      <c r="R377" s="1" t="s">
        <v>2335</v>
      </c>
      <c r="S377" s="1">
        <v>2</v>
      </c>
      <c r="T377" s="1" t="s">
        <v>2338</v>
      </c>
      <c r="W377" t="s">
        <v>3687</v>
      </c>
    </row>
    <row r="378" spans="1:23">
      <c r="A378" s="1" t="s">
        <v>2357</v>
      </c>
      <c r="B378" s="1" t="str" cm="1">
        <f t="array" ref="B378">IF(A378="","",_xlfn.IFS(COUNTIF($U:$U,A378)&gt;0,"All uploaded",COUNTIF($V:$V,A378)&gt;0,"Partly uploaded",COUNTIF($W:$X,A378)&gt;0,"Not uploaded",TRUE,"Not classified"))</f>
        <v>Partly uploaded</v>
      </c>
      <c r="C378" s="1" t="str" cm="1">
        <f t="array" ref="C378">_xlfn.SWITCH(TRIM(I378),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78" s="1" t="s">
        <v>1</v>
      </c>
      <c r="E378" s="1" t="s">
        <v>2</v>
      </c>
      <c r="F378" s="1" t="str" cm="1">
        <f t="array" ref="F378">_xlfn.LET(
_xlpm.status,UPPER(TRIM(B378&amp;"")),
_xlpm.risk,UPPER(TRIM(C378&amp;"")),
_xlpm.notify,UPPER(TRIM(D378&amp;"")),
_xlpm.form,UPPER(TRIM(E378&amp;"")),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78" s="1" t="str">
        <f t="shared" si="5"/>
        <v>NA</v>
      </c>
      <c r="H378" s="5" t="s">
        <v>2359</v>
      </c>
      <c r="I378" s="1" t="s">
        <v>50</v>
      </c>
      <c r="J378" s="1" t="s">
        <v>2358</v>
      </c>
      <c r="K378" s="1" t="s">
        <v>2356</v>
      </c>
      <c r="L378" s="1" t="s">
        <v>50</v>
      </c>
      <c r="M378" s="1" t="s">
        <v>75</v>
      </c>
      <c r="N378" s="1" t="s">
        <v>2314</v>
      </c>
      <c r="O378" s="1" t="s">
        <v>19</v>
      </c>
      <c r="P378" s="1" t="s">
        <v>18</v>
      </c>
      <c r="Q378" s="1" t="s">
        <v>20</v>
      </c>
      <c r="R378" s="1" t="s">
        <v>2319</v>
      </c>
      <c r="S378" s="1">
        <v>3</v>
      </c>
      <c r="T378" s="1" t="s">
        <v>2360</v>
      </c>
      <c r="W378" t="s">
        <v>3695</v>
      </c>
    </row>
    <row r="379" spans="1:23">
      <c r="A379" s="1" t="s">
        <v>2357</v>
      </c>
      <c r="B379" s="1" t="str" cm="1">
        <f t="array" ref="B379">IF(A379="","",_xlfn.IFS(COUNTIF($U:$U,A379)&gt;0,"All uploaded",COUNTIF($V:$V,A379)&gt;0,"Partly uploaded",COUNTIF($W:$X,A379)&gt;0,"Not uploaded",TRUE,"Not classified"))</f>
        <v>Partly uploaded</v>
      </c>
      <c r="C379" s="1" t="str" cm="1">
        <f t="array" ref="C379">_xlfn.SWITCH(TRIM(I379),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79" s="1" t="s">
        <v>1</v>
      </c>
      <c r="E379" s="1" t="s">
        <v>4</v>
      </c>
      <c r="F379" s="1" t="str" cm="1">
        <f t="array" ref="F379">_xlfn.LET(
_xlpm.status,UPPER(TRIM(B379&amp;"")),
_xlpm.risk,UPPER(TRIM(C379&amp;"")),
_xlpm.notify,UPPER(TRIM(D379&amp;"")),
_xlpm.form,UPPER(TRIM(E379&amp;"")),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79" s="1" t="str">
        <f t="shared" si="5"/>
        <v>NA</v>
      </c>
      <c r="H379" s="5" t="s">
        <v>2362</v>
      </c>
      <c r="I379" s="1" t="s">
        <v>50</v>
      </c>
      <c r="J379" s="1" t="s">
        <v>2361</v>
      </c>
      <c r="K379" s="1" t="s">
        <v>2356</v>
      </c>
      <c r="L379" s="1" t="s">
        <v>50</v>
      </c>
      <c r="M379" s="1" t="s">
        <v>75</v>
      </c>
      <c r="N379" s="1" t="s">
        <v>2314</v>
      </c>
      <c r="O379" s="1" t="s">
        <v>19</v>
      </c>
      <c r="P379" s="1" t="s">
        <v>18</v>
      </c>
      <c r="Q379" s="1" t="s">
        <v>20</v>
      </c>
      <c r="R379" s="1" t="s">
        <v>1390</v>
      </c>
      <c r="S379" s="1">
        <v>2</v>
      </c>
      <c r="T379" s="1" t="s">
        <v>144</v>
      </c>
      <c r="W379" t="s">
        <v>3742</v>
      </c>
    </row>
    <row r="380" spans="1:23">
      <c r="A380" s="1" t="s">
        <v>2403</v>
      </c>
      <c r="B380" s="1" t="str" cm="1">
        <f t="array" ref="B380">IF(A380="","",_xlfn.IFS(COUNTIF($U:$U,A380)&gt;0,"All uploaded",COUNTIF($V:$V,A380)&gt;0,"Partly uploaded",COUNTIF($W:$X,A380)&gt;0,"Not uploaded",TRUE,"Not classified"))</f>
        <v>Partly uploaded</v>
      </c>
      <c r="C380" s="1" t="str" cm="1">
        <f t="array" ref="C380">_xlfn.SWITCH(TRIM(I380),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80" s="1" t="s">
        <v>0</v>
      </c>
      <c r="E380" s="1" t="s">
        <v>3</v>
      </c>
      <c r="F380" s="1" t="str" cm="1">
        <f t="array" ref="F380">_xlfn.LET(
_xlpm.status,UPPER(TRIM(B380&amp;"")),
_xlpm.risk,UPPER(TRIM(C380&amp;"")),
_xlpm.notify,UPPER(TRIM(D380&amp;"")),
_xlpm.form,UPPER(TRIM(E380&amp;"")),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80" s="1" t="str">
        <f t="shared" si="5"/>
        <v>NA</v>
      </c>
      <c r="H380" s="5" t="s">
        <v>2406</v>
      </c>
      <c r="I380" s="1" t="s">
        <v>22</v>
      </c>
      <c r="J380" s="1" t="s">
        <v>2405</v>
      </c>
      <c r="K380" s="1" t="s">
        <v>2402</v>
      </c>
      <c r="L380" s="1" t="s">
        <v>22</v>
      </c>
      <c r="M380" s="1" t="s">
        <v>77</v>
      </c>
      <c r="N380" s="1" t="s">
        <v>2404</v>
      </c>
      <c r="O380" s="1" t="s">
        <v>19</v>
      </c>
      <c r="P380" s="1" t="s">
        <v>18</v>
      </c>
      <c r="Q380" s="1" t="s">
        <v>20</v>
      </c>
      <c r="R380" s="1" t="s">
        <v>1611</v>
      </c>
      <c r="S380" s="1">
        <v>3</v>
      </c>
      <c r="T380" s="1" t="s">
        <v>2407</v>
      </c>
      <c r="W380" t="s">
        <v>3698</v>
      </c>
    </row>
    <row r="381" spans="1:23">
      <c r="A381" s="1" t="s">
        <v>2368</v>
      </c>
      <c r="B381" s="1" t="str" cm="1">
        <f t="array" ref="B381">IF(A381="","",_xlfn.IFS(COUNTIF($U:$U,A381)&gt;0,"All uploaded",COUNTIF($V:$V,A381)&gt;0,"Partly uploaded",COUNTIF($W:$X,A381)&gt;0,"Not uploaded",TRUE,"Not classified"))</f>
        <v>Partly uploaded</v>
      </c>
      <c r="C381" s="1" t="str" cm="1">
        <f t="array" ref="C381">_xlfn.SWITCH(TRIM(I381),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81" s="1" t="s">
        <v>1</v>
      </c>
      <c r="E381" s="1" t="s">
        <v>4</v>
      </c>
      <c r="F381" s="1" t="str" cm="1">
        <f t="array" ref="F381">_xlfn.LET(
_xlpm.status,UPPER(TRIM(B381&amp;"")),
_xlpm.risk,UPPER(TRIM(C381&amp;"")),
_xlpm.notify,UPPER(TRIM(D381&amp;"")),
_xlpm.form,UPPER(TRIM(E381&amp;"")),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81" s="1" t="str">
        <f t="shared" si="5"/>
        <v>NA</v>
      </c>
      <c r="H381" s="5" t="s">
        <v>2372</v>
      </c>
      <c r="I381" s="1" t="s">
        <v>48</v>
      </c>
      <c r="J381" s="1" t="s">
        <v>2371</v>
      </c>
      <c r="K381" s="1" t="s">
        <v>2367</v>
      </c>
      <c r="L381" s="1" t="s">
        <v>48</v>
      </c>
      <c r="M381" s="1" t="s">
        <v>28</v>
      </c>
      <c r="N381" s="1" t="s">
        <v>2369</v>
      </c>
      <c r="O381" s="1" t="s">
        <v>19</v>
      </c>
      <c r="P381" s="1" t="s">
        <v>18</v>
      </c>
      <c r="Q381" s="1" t="s">
        <v>20</v>
      </c>
      <c r="R381" s="1" t="s">
        <v>2370</v>
      </c>
      <c r="S381" s="1">
        <v>11</v>
      </c>
      <c r="T381" s="1" t="s">
        <v>2373</v>
      </c>
      <c r="W381" t="s">
        <v>3701</v>
      </c>
    </row>
    <row r="382" spans="1:23">
      <c r="A382" s="1" t="s">
        <v>2368</v>
      </c>
      <c r="B382" s="1" t="str" cm="1">
        <f t="array" ref="B382">IF(A382="","",_xlfn.IFS(COUNTIF($U:$U,A382)&gt;0,"All uploaded",COUNTIF($V:$V,A382)&gt;0,"Partly uploaded",COUNTIF($W:$X,A382)&gt;0,"Not uploaded",TRUE,"Not classified"))</f>
        <v>Partly uploaded</v>
      </c>
      <c r="C382" s="1" t="str" cm="1">
        <f t="array" ref="C382">_xlfn.SWITCH(TRIM(I382),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82" s="1" t="s">
        <v>1</v>
      </c>
      <c r="E382" s="1" t="s">
        <v>4</v>
      </c>
      <c r="F382" s="1" t="str" cm="1">
        <f t="array" ref="F382">_xlfn.LET(
_xlpm.status,UPPER(TRIM(B382&amp;"")),
_xlpm.risk,UPPER(TRIM(C382&amp;"")),
_xlpm.notify,UPPER(TRIM(D382&amp;"")),
_xlpm.form,UPPER(TRIM(E382&amp;"")),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82" s="1" t="str">
        <f t="shared" si="5"/>
        <v>NA</v>
      </c>
      <c r="H382" s="5" t="s">
        <v>2376</v>
      </c>
      <c r="I382" s="1" t="s">
        <v>48</v>
      </c>
      <c r="J382" s="1" t="s">
        <v>2375</v>
      </c>
      <c r="K382" s="1" t="s">
        <v>2367</v>
      </c>
      <c r="L382" s="1" t="s">
        <v>48</v>
      </c>
      <c r="M382" s="1" t="s">
        <v>28</v>
      </c>
      <c r="N382" s="1" t="s">
        <v>2369</v>
      </c>
      <c r="O382" s="1" t="s">
        <v>19</v>
      </c>
      <c r="P382" s="1" t="s">
        <v>18</v>
      </c>
      <c r="Q382" s="1" t="s">
        <v>20</v>
      </c>
      <c r="R382" s="1" t="s">
        <v>2374</v>
      </c>
      <c r="S382" s="1">
        <v>7</v>
      </c>
      <c r="T382" s="1" t="s">
        <v>2377</v>
      </c>
      <c r="W382" t="s">
        <v>3704</v>
      </c>
    </row>
    <row r="383" spans="1:23">
      <c r="A383" s="1" t="s">
        <v>2379</v>
      </c>
      <c r="B383" s="1" t="str" cm="1">
        <f t="array" ref="B383">IF(A383="","",_xlfn.IFS(COUNTIF($U:$U,A383)&gt;0,"All uploaded",COUNTIF($V:$V,A383)&gt;0,"Partly uploaded",COUNTIF($W:$X,A383)&gt;0,"Not uploaded",TRUE,"Not classified"))</f>
        <v>All uploaded</v>
      </c>
      <c r="C383" s="1" t="str" cm="1">
        <f t="array" ref="C383">_xlfn.SWITCH(TRIM(I383),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83" s="1" t="s">
        <v>0</v>
      </c>
      <c r="E383" s="1" t="s">
        <v>4</v>
      </c>
      <c r="F383" s="1" t="str" cm="1">
        <f t="array" ref="F383">_xlfn.LET(
_xlpm.status,UPPER(TRIM(B383&amp;"")),
_xlpm.risk,UPPER(TRIM(C383&amp;"")),
_xlpm.notify,UPPER(TRIM(D383&amp;"")),
_xlpm.form,UPPER(TRIM(E383&amp;"")),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83" s="1" t="str">
        <f t="shared" si="5"/>
        <v>Required</v>
      </c>
      <c r="H383" s="5" t="s">
        <v>2383</v>
      </c>
      <c r="I383" s="1" t="s">
        <v>27</v>
      </c>
      <c r="J383" s="1" t="s">
        <v>2382</v>
      </c>
      <c r="K383" s="1" t="s">
        <v>2378</v>
      </c>
      <c r="L383" s="1" t="s">
        <v>27</v>
      </c>
      <c r="M383" s="1" t="s">
        <v>28</v>
      </c>
      <c r="N383" s="1" t="s">
        <v>2380</v>
      </c>
      <c r="O383" s="1" t="s">
        <v>19</v>
      </c>
      <c r="P383" s="1" t="s">
        <v>18</v>
      </c>
      <c r="Q383" s="1" t="s">
        <v>20</v>
      </c>
      <c r="R383" s="1" t="s">
        <v>2381</v>
      </c>
      <c r="S383" s="1">
        <v>1</v>
      </c>
      <c r="T383" s="1" t="s">
        <v>2384</v>
      </c>
      <c r="W383" t="s">
        <v>3706</v>
      </c>
    </row>
    <row r="384" spans="1:23">
      <c r="A384" s="1" t="s">
        <v>2390</v>
      </c>
      <c r="B384" s="1" t="str" cm="1">
        <f t="array" ref="B384">IF(A384="","",_xlfn.IFS(COUNTIF($U:$U,A384)&gt;0,"All uploaded",COUNTIF($V:$V,A384)&gt;0,"Partly uploaded",COUNTIF($W:$X,A384)&gt;0,"Not uploaded",TRUE,"Not classified"))</f>
        <v>Partly uploaded</v>
      </c>
      <c r="C384" s="1" t="str" cm="1">
        <f t="array" ref="C384">_xlfn.SWITCH(TRIM(I384),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84" s="1" t="s">
        <v>0</v>
      </c>
      <c r="E384" s="1" t="s">
        <v>3</v>
      </c>
      <c r="F384" s="1" t="str" cm="1">
        <f t="array" ref="F384">_xlfn.LET(
_xlpm.status,UPPER(TRIM(B384&amp;"")),
_xlpm.risk,UPPER(TRIM(C384&amp;"")),
_xlpm.notify,UPPER(TRIM(D384&amp;"")),
_xlpm.form,UPPER(TRIM(E384&amp;"")),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84" s="1" t="str">
        <f t="shared" si="5"/>
        <v>NA</v>
      </c>
      <c r="H384" s="5" t="s">
        <v>2393</v>
      </c>
      <c r="I384" s="1" t="s">
        <v>22</v>
      </c>
      <c r="J384" s="1" t="s">
        <v>2392</v>
      </c>
      <c r="K384" s="1" t="s">
        <v>2385</v>
      </c>
      <c r="L384" s="1" t="s">
        <v>22</v>
      </c>
      <c r="M384" s="1" t="s">
        <v>77</v>
      </c>
      <c r="N384" s="1" t="s">
        <v>2391</v>
      </c>
      <c r="O384" s="1" t="s">
        <v>19</v>
      </c>
      <c r="P384" s="1" t="s">
        <v>18</v>
      </c>
      <c r="Q384" s="1" t="s">
        <v>20</v>
      </c>
      <c r="R384" s="1" t="s">
        <v>1611</v>
      </c>
      <c r="S384" s="1">
        <v>2</v>
      </c>
      <c r="T384" s="1" t="s">
        <v>2394</v>
      </c>
      <c r="W384" t="s">
        <v>3708</v>
      </c>
    </row>
    <row r="385" spans="1:23">
      <c r="A385" s="1" t="s">
        <v>2386</v>
      </c>
      <c r="B385" s="1" t="str" cm="1">
        <f t="array" ref="B385">IF(A385="","",_xlfn.IFS(COUNTIF($U:$U,A385)&gt;0,"All uploaded",COUNTIF($V:$V,A385)&gt;0,"Partly uploaded",COUNTIF($W:$X,A385)&gt;0,"Not uploaded",TRUE,"Not classified"))</f>
        <v>Partly uploaded</v>
      </c>
      <c r="C385" s="1" t="str" cm="1">
        <f t="array" ref="C385">_xlfn.SWITCH(TRIM(I385),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85" s="1" t="s">
        <v>0</v>
      </c>
      <c r="E385" s="1" t="s">
        <v>3</v>
      </c>
      <c r="F385" s="1" t="str" cm="1">
        <f t="array" ref="F385">_xlfn.LET(
_xlpm.status,UPPER(TRIM(B385&amp;"")),
_xlpm.risk,UPPER(TRIM(C385&amp;"")),
_xlpm.notify,UPPER(TRIM(D385&amp;"")),
_xlpm.form,UPPER(TRIM(E385&amp;"")),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85" s="1" t="str">
        <f t="shared" si="5"/>
        <v>NA</v>
      </c>
      <c r="H385" s="5" t="s">
        <v>2396</v>
      </c>
      <c r="I385" s="1" t="s">
        <v>22</v>
      </c>
      <c r="J385" s="1" t="s">
        <v>2395</v>
      </c>
      <c r="K385" s="1" t="s">
        <v>2385</v>
      </c>
      <c r="L385" s="1" t="s">
        <v>22</v>
      </c>
      <c r="M385" s="1" t="s">
        <v>77</v>
      </c>
      <c r="N385" s="1" t="s">
        <v>2387</v>
      </c>
      <c r="O385" s="1" t="s">
        <v>19</v>
      </c>
      <c r="P385" s="1" t="s">
        <v>18</v>
      </c>
      <c r="Q385" s="1" t="s">
        <v>20</v>
      </c>
      <c r="R385" s="1" t="s">
        <v>1611</v>
      </c>
      <c r="S385" s="1">
        <v>1</v>
      </c>
      <c r="T385" s="1" t="s">
        <v>2397</v>
      </c>
      <c r="W385" t="s">
        <v>3710</v>
      </c>
    </row>
    <row r="386" spans="1:23">
      <c r="A386" s="1" t="s">
        <v>2414</v>
      </c>
      <c r="B386" s="1" t="str" cm="1">
        <f t="array" ref="B386">IF(A386="","",_xlfn.IFS(COUNTIF($U:$U,A386)&gt;0,"All uploaded",COUNTIF($V:$V,A386)&gt;0,"Partly uploaded",COUNTIF($W:$X,A386)&gt;0,"Not uploaded",TRUE,"Not classified"))</f>
        <v>Partly uploaded</v>
      </c>
      <c r="C386" s="1" t="str" cm="1">
        <f t="array" ref="C386">_xlfn.SWITCH(TRIM(I386),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86" s="1" t="s">
        <v>0</v>
      </c>
      <c r="E386" s="1" t="s">
        <v>4</v>
      </c>
      <c r="F386" s="1" t="str" cm="1">
        <f t="array" ref="F386">_xlfn.LET(
_xlpm.status,UPPER(TRIM(B386&amp;"")),
_xlpm.risk,UPPER(TRIM(C386&amp;"")),
_xlpm.notify,UPPER(TRIM(D386&amp;"")),
_xlpm.form,UPPER(TRIM(E386&amp;"")),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86" s="1" t="str">
        <f t="shared" si="5"/>
        <v>Required</v>
      </c>
      <c r="H386" s="5" t="s">
        <v>2417</v>
      </c>
      <c r="I386" s="1" t="s">
        <v>27</v>
      </c>
      <c r="J386" s="1" t="s">
        <v>2416</v>
      </c>
      <c r="K386" s="1" t="s">
        <v>2413</v>
      </c>
      <c r="L386" s="1" t="s">
        <v>27</v>
      </c>
      <c r="M386" s="1" t="s">
        <v>28</v>
      </c>
      <c r="N386" s="1" t="s">
        <v>2341</v>
      </c>
      <c r="O386" s="1" t="s">
        <v>19</v>
      </c>
      <c r="P386" s="1" t="s">
        <v>18</v>
      </c>
      <c r="Q386" s="1" t="s">
        <v>20</v>
      </c>
      <c r="R386" s="1" t="s">
        <v>2415</v>
      </c>
      <c r="S386" s="1">
        <v>5</v>
      </c>
      <c r="T386" s="1" t="s">
        <v>2418</v>
      </c>
      <c r="W386" t="s">
        <v>3715</v>
      </c>
    </row>
    <row r="387" spans="1:23">
      <c r="A387" s="1" t="s">
        <v>2419</v>
      </c>
      <c r="B387" s="1" t="str" cm="1">
        <f t="array" ref="B387">IF(A387="","",_xlfn.IFS(COUNTIF($U:$U,A387)&gt;0,"All uploaded",COUNTIF($V:$V,A387)&gt;0,"Partly uploaded",COUNTIF($W:$X,A387)&gt;0,"Not uploaded",TRUE,"Not classified"))</f>
        <v>Partly uploaded</v>
      </c>
      <c r="C387" s="1" t="str" cm="1">
        <f t="array" ref="C387">_xlfn.SWITCH(TRIM(I387),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87" s="1" t="s">
        <v>1</v>
      </c>
      <c r="E387" s="1" t="s">
        <v>4</v>
      </c>
      <c r="F387" s="1" t="str" cm="1">
        <f t="array" ref="F387">_xlfn.LET(
_xlpm.status,UPPER(TRIM(B387&amp;"")),
_xlpm.risk,UPPER(TRIM(C387&amp;"")),
_xlpm.notify,UPPER(TRIM(D387&amp;"")),
_xlpm.form,UPPER(TRIM(E387&amp;"")),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87" s="1" t="str">
        <f t="shared" ref="G387:G450" si="6">IF(AND(UPPER(TRIM(C387&amp;""))="MAJOR",OR(TRIM(D387&amp;"")="",UPPER(TRIM(E387&amp;""))="REJECT")),"Required","NA")</f>
        <v>NA</v>
      </c>
      <c r="H387" s="5" t="s">
        <v>2422</v>
      </c>
      <c r="I387" s="1" t="s">
        <v>23</v>
      </c>
      <c r="J387" s="1" t="s">
        <v>2421</v>
      </c>
      <c r="K387" s="1" t="s">
        <v>2413</v>
      </c>
      <c r="L387" s="1" t="s">
        <v>23</v>
      </c>
      <c r="M387" s="1" t="s">
        <v>28</v>
      </c>
      <c r="N387" s="1" t="s">
        <v>2420</v>
      </c>
      <c r="O387" s="1" t="s">
        <v>19</v>
      </c>
      <c r="P387" s="1" t="s">
        <v>18</v>
      </c>
      <c r="Q387" s="1" t="s">
        <v>20</v>
      </c>
      <c r="R387" s="1" t="s">
        <v>2370</v>
      </c>
      <c r="S387" s="1">
        <v>8</v>
      </c>
      <c r="T387" s="1" t="s">
        <v>2423</v>
      </c>
      <c r="W387" t="s">
        <v>3713</v>
      </c>
    </row>
    <row r="388" spans="1:23">
      <c r="A388" s="1" t="s">
        <v>2431</v>
      </c>
      <c r="B388" s="1" t="str" cm="1">
        <f t="array" ref="B388">IF(A388="","",_xlfn.IFS(COUNTIF($U:$U,A388)&gt;0,"All uploaded",COUNTIF($V:$V,A388)&gt;0,"Partly uploaded",COUNTIF($W:$X,A388)&gt;0,"Not uploaded",TRUE,"Not classified"))</f>
        <v>Partly uploaded</v>
      </c>
      <c r="C388" s="1" t="str" cm="1">
        <f t="array" ref="C388">_xlfn.SWITCH(TRIM(I388),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88" s="1" t="s">
        <v>0</v>
      </c>
      <c r="E388" s="1" t="s">
        <v>4</v>
      </c>
      <c r="F388" s="1" t="str" cm="1">
        <f t="array" ref="F388">_xlfn.LET(
_xlpm.status,UPPER(TRIM(B388&amp;"")),
_xlpm.risk,UPPER(TRIM(C388&amp;"")),
_xlpm.notify,UPPER(TRIM(D388&amp;"")),
_xlpm.form,UPPER(TRIM(E388&amp;"")),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88" s="1" t="str">
        <f t="shared" si="6"/>
        <v>Required</v>
      </c>
      <c r="H388" s="5" t="s">
        <v>2434</v>
      </c>
      <c r="I388" s="1" t="s">
        <v>27</v>
      </c>
      <c r="J388" s="1" t="s">
        <v>2433</v>
      </c>
      <c r="K388" s="1" t="s">
        <v>2424</v>
      </c>
      <c r="L388" s="1" t="s">
        <v>27</v>
      </c>
      <c r="M388" s="1" t="s">
        <v>28</v>
      </c>
      <c r="N388" s="1" t="s">
        <v>2432</v>
      </c>
      <c r="O388" s="1" t="s">
        <v>19</v>
      </c>
      <c r="P388" s="1" t="s">
        <v>18</v>
      </c>
      <c r="Q388" s="1" t="s">
        <v>20</v>
      </c>
      <c r="R388" s="1" t="s">
        <v>2415</v>
      </c>
      <c r="S388" s="1">
        <v>2</v>
      </c>
      <c r="T388" s="1" t="s">
        <v>2435</v>
      </c>
      <c r="W388" t="s">
        <v>3717</v>
      </c>
    </row>
    <row r="389" spans="1:23">
      <c r="A389" s="1" t="s">
        <v>2425</v>
      </c>
      <c r="B389" s="1" t="str" cm="1">
        <f t="array" ref="B389">IF(A389="","",_xlfn.IFS(COUNTIF($U:$U,A389)&gt;0,"All uploaded",COUNTIF($V:$V,A389)&gt;0,"Partly uploaded",COUNTIF($W:$X,A389)&gt;0,"Not uploaded",TRUE,"Not classified"))</f>
        <v>Partly uploaded</v>
      </c>
      <c r="C389" s="1" t="str" cm="1">
        <f t="array" ref="C389">_xlfn.SWITCH(TRIM(I389),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89" s="1" t="s">
        <v>1</v>
      </c>
      <c r="E389" s="1" t="s">
        <v>3</v>
      </c>
      <c r="F389" s="1" t="str" cm="1">
        <f t="array" ref="F389">_xlfn.LET(
_xlpm.status,UPPER(TRIM(B389&amp;"")),
_xlpm.risk,UPPER(TRIM(C389&amp;"")),
_xlpm.notify,UPPER(TRIM(D389&amp;"")),
_xlpm.form,UPPER(TRIM(E389&amp;"")),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389" s="1" t="str">
        <f t="shared" si="6"/>
        <v>NA</v>
      </c>
      <c r="H389" s="5" t="s">
        <v>2429</v>
      </c>
      <c r="I389" s="1" t="s">
        <v>10</v>
      </c>
      <c r="J389" s="1" t="s">
        <v>2428</v>
      </c>
      <c r="K389" s="1" t="s">
        <v>2424</v>
      </c>
      <c r="L389" s="1" t="s">
        <v>10</v>
      </c>
      <c r="M389" s="1" t="s">
        <v>75</v>
      </c>
      <c r="N389" s="1" t="s">
        <v>2426</v>
      </c>
      <c r="O389" s="1" t="s">
        <v>19</v>
      </c>
      <c r="P389" s="1" t="s">
        <v>18</v>
      </c>
      <c r="Q389" s="1" t="s">
        <v>20</v>
      </c>
      <c r="R389" s="1" t="s">
        <v>2427</v>
      </c>
      <c r="S389" s="1">
        <v>2</v>
      </c>
      <c r="T389" s="1" t="s">
        <v>2430</v>
      </c>
      <c r="W389" t="s">
        <v>3720</v>
      </c>
    </row>
    <row r="390" spans="1:23">
      <c r="A390" s="1" t="s">
        <v>2442</v>
      </c>
      <c r="B390" s="1" t="str" cm="1">
        <f t="array" ref="B390">IF(A390="","",_xlfn.IFS(COUNTIF($U:$U,A390)&gt;0,"All uploaded",COUNTIF($V:$V,A390)&gt;0,"Partly uploaded",COUNTIF($W:$X,A390)&gt;0,"Not uploaded",TRUE,"Not classified"))</f>
        <v>All uploaded</v>
      </c>
      <c r="C390" s="1" t="str" cm="1">
        <f t="array" ref="C390">_xlfn.SWITCH(TRIM(I390),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390" s="1" t="s">
        <v>0</v>
      </c>
      <c r="E390" s="1" t="s">
        <v>4</v>
      </c>
      <c r="F390" s="1" t="str" cm="1">
        <f t="array" ref="F390">_xlfn.LET(
_xlpm.status,UPPER(TRIM(B390&amp;"")),
_xlpm.risk,UPPER(TRIM(C390&amp;"")),
_xlpm.notify,UPPER(TRIM(D390&amp;"")),
_xlpm.form,UPPER(TRIM(E390&amp;"")),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90" s="1" t="str">
        <f t="shared" si="6"/>
        <v>Required</v>
      </c>
      <c r="H390" s="5" t="s">
        <v>2445</v>
      </c>
      <c r="I390" s="1" t="s">
        <v>27</v>
      </c>
      <c r="J390" s="1" t="s">
        <v>2444</v>
      </c>
      <c r="K390" s="1" t="s">
        <v>2439</v>
      </c>
      <c r="L390" s="1" t="s">
        <v>27</v>
      </c>
      <c r="M390" s="1" t="s">
        <v>28</v>
      </c>
      <c r="N390" s="1" t="s">
        <v>2443</v>
      </c>
      <c r="O390" s="1" t="s">
        <v>19</v>
      </c>
      <c r="P390" s="1" t="s">
        <v>18</v>
      </c>
      <c r="Q390" s="1" t="s">
        <v>20</v>
      </c>
      <c r="R390" s="1" t="s">
        <v>2415</v>
      </c>
      <c r="S390" s="1">
        <v>1</v>
      </c>
      <c r="T390" s="1" t="s">
        <v>2446</v>
      </c>
      <c r="W390" t="s">
        <v>3722</v>
      </c>
    </row>
    <row r="391" spans="1:23">
      <c r="A391" s="1" t="s">
        <v>2448</v>
      </c>
      <c r="B391" s="1" t="str" cm="1">
        <f t="array" ref="B391">IF(A391="","",_xlfn.IFS(COUNTIF($U:$U,A391)&gt;0,"All uploaded",COUNTIF($V:$V,A391)&gt;0,"Partly uploaded",COUNTIF($W:$X,A391)&gt;0,"Not uploaded",TRUE,"Not classified"))</f>
        <v>All uploaded</v>
      </c>
      <c r="C391" s="1" t="str" cm="1">
        <f t="array" ref="C391">_xlfn.SWITCH(TRIM(I391),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91" s="1" t="s">
        <v>1</v>
      </c>
      <c r="E391" s="1" t="s">
        <v>2</v>
      </c>
      <c r="F391" s="1" t="str" cm="1">
        <f t="array" ref="F391">_xlfn.LET(
_xlpm.status,UPPER(TRIM(B391&amp;"")),
_xlpm.risk,UPPER(TRIM(C391&amp;"")),
_xlpm.notify,UPPER(TRIM(D391&amp;"")),
_xlpm.form,UPPER(TRIM(E391&amp;"")),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391" s="1" t="str">
        <f t="shared" si="6"/>
        <v>NA</v>
      </c>
      <c r="H391" s="5" t="s">
        <v>2451</v>
      </c>
      <c r="I391" s="1" t="s">
        <v>35</v>
      </c>
      <c r="J391" s="1" t="s">
        <v>2450</v>
      </c>
      <c r="K391" s="1" t="s">
        <v>2447</v>
      </c>
      <c r="L391" s="1" t="s">
        <v>35</v>
      </c>
      <c r="M391" s="1" t="s">
        <v>75</v>
      </c>
      <c r="N391" s="1" t="s">
        <v>36</v>
      </c>
      <c r="O391" s="1" t="s">
        <v>19</v>
      </c>
      <c r="P391" s="1" t="s">
        <v>18</v>
      </c>
      <c r="Q391" s="1" t="s">
        <v>20</v>
      </c>
      <c r="R391" s="1" t="s">
        <v>2449</v>
      </c>
      <c r="S391" s="1">
        <v>1</v>
      </c>
      <c r="T391" s="1" t="s">
        <v>2452</v>
      </c>
      <c r="W391" t="s">
        <v>3725</v>
      </c>
    </row>
    <row r="392" spans="1:23">
      <c r="A392" s="1" t="s">
        <v>2513</v>
      </c>
      <c r="B392" s="1" t="str" cm="1">
        <f t="array" ref="B392">IF(A392="","",_xlfn.IFS(COUNTIF($U:$U,A392)&gt;0,"All uploaded",COUNTIF($V:$V,A392)&gt;0,"Partly uploaded",COUNTIF($W:$X,A392)&gt;0,"Not uploaded",TRUE,"Not classified"))</f>
        <v>All uploaded</v>
      </c>
      <c r="C392" s="1" t="str" cm="1">
        <f t="array" ref="C392">_xlfn.SWITCH(TRIM(I392),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92" s="1" t="s">
        <v>0</v>
      </c>
      <c r="E392" s="1" t="s">
        <v>3</v>
      </c>
      <c r="F392" s="1" t="str" cm="1">
        <f t="array" ref="F392">_xlfn.LET(
_xlpm.status,UPPER(TRIM(B392&amp;"")),
_xlpm.risk,UPPER(TRIM(C392&amp;"")),
_xlpm.notify,UPPER(TRIM(D392&amp;"")),
_xlpm.form,UPPER(TRIM(E392&amp;"")),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92" s="1" t="str">
        <f t="shared" si="6"/>
        <v>NA</v>
      </c>
      <c r="H392" s="5" t="s">
        <v>2516</v>
      </c>
      <c r="I392" s="1" t="s">
        <v>22</v>
      </c>
      <c r="J392" s="1" t="s">
        <v>2515</v>
      </c>
      <c r="K392" s="1" t="s">
        <v>2503</v>
      </c>
      <c r="L392" s="1" t="s">
        <v>22</v>
      </c>
      <c r="M392" s="1" t="s">
        <v>77</v>
      </c>
      <c r="N392" s="1" t="s">
        <v>2514</v>
      </c>
      <c r="O392" s="1" t="s">
        <v>19</v>
      </c>
      <c r="P392" s="1" t="s">
        <v>18</v>
      </c>
      <c r="Q392" s="1" t="s">
        <v>20</v>
      </c>
      <c r="R392" s="1" t="s">
        <v>2456</v>
      </c>
      <c r="S392" s="1">
        <v>3</v>
      </c>
      <c r="T392" s="1" t="s">
        <v>2517</v>
      </c>
      <c r="W392" t="s">
        <v>3740</v>
      </c>
    </row>
    <row r="393" spans="1:23">
      <c r="A393" s="1" t="s">
        <v>2454</v>
      </c>
      <c r="B393" s="1" t="str" cm="1">
        <f t="array" ref="B393">IF(A393="","",_xlfn.IFS(COUNTIF($U:$U,A393)&gt;0,"All uploaded",COUNTIF($V:$V,A393)&gt;0,"Partly uploaded",COUNTIF($W:$X,A393)&gt;0,"Not uploaded",TRUE,"Not classified"))</f>
        <v>Partly uploaded</v>
      </c>
      <c r="C393" s="1" t="str" cm="1">
        <f t="array" ref="C393">_xlfn.SWITCH(TRIM(I393),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93" s="1" t="s">
        <v>0</v>
      </c>
      <c r="E393" s="1" t="s">
        <v>3</v>
      </c>
      <c r="F393" s="1" t="str" cm="1">
        <f t="array" ref="F393">_xlfn.LET(
_xlpm.status,UPPER(TRIM(B393&amp;"")),
_xlpm.risk,UPPER(TRIM(C393&amp;"")),
_xlpm.notify,UPPER(TRIM(D393&amp;"")),
_xlpm.form,UPPER(TRIM(E393&amp;"")),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93" s="1" t="str">
        <f t="shared" si="6"/>
        <v>NA</v>
      </c>
      <c r="H393" s="5" t="s">
        <v>2458</v>
      </c>
      <c r="I393" s="1" t="s">
        <v>22</v>
      </c>
      <c r="J393" s="1" t="s">
        <v>2457</v>
      </c>
      <c r="K393" s="1" t="s">
        <v>2453</v>
      </c>
      <c r="L393" s="1" t="s">
        <v>22</v>
      </c>
      <c r="M393" s="1" t="s">
        <v>77</v>
      </c>
      <c r="N393" s="1" t="s">
        <v>2455</v>
      </c>
      <c r="O393" s="1" t="s">
        <v>19</v>
      </c>
      <c r="P393" s="1" t="s">
        <v>18</v>
      </c>
      <c r="Q393" s="1" t="s">
        <v>20</v>
      </c>
      <c r="R393" s="1" t="s">
        <v>2456</v>
      </c>
      <c r="S393" s="1">
        <v>1</v>
      </c>
      <c r="T393" s="1" t="s">
        <v>2067</v>
      </c>
      <c r="W393" t="s">
        <v>3758</v>
      </c>
    </row>
    <row r="394" spans="1:23">
      <c r="A394" s="1" t="s">
        <v>2518</v>
      </c>
      <c r="B394" s="1" t="str" cm="1">
        <f t="array" ref="B394">IF(A394="","",_xlfn.IFS(COUNTIF($U:$U,A394)&gt;0,"All uploaded",COUNTIF($V:$V,A394)&gt;0,"Partly uploaded",COUNTIF($W:$X,A394)&gt;0,"Not uploaded",TRUE,"Not classified"))</f>
        <v>All uploaded</v>
      </c>
      <c r="C394" s="1" t="str" cm="1">
        <f t="array" ref="C394">_xlfn.SWITCH(TRIM(I394),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94" s="1" t="s">
        <v>0</v>
      </c>
      <c r="E394" s="1" t="s">
        <v>3</v>
      </c>
      <c r="F394" s="1" t="str" cm="1">
        <f t="array" ref="F394">_xlfn.LET(
_xlpm.status,UPPER(TRIM(B394&amp;"")),
_xlpm.risk,UPPER(TRIM(C394&amp;"")),
_xlpm.notify,UPPER(TRIM(D394&amp;"")),
_xlpm.form,UPPER(TRIM(E394&amp;"")),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94" s="1" t="str">
        <f t="shared" si="6"/>
        <v>NA</v>
      </c>
      <c r="H394" s="5" t="s">
        <v>2521</v>
      </c>
      <c r="I394" s="1" t="s">
        <v>22</v>
      </c>
      <c r="J394" s="1" t="s">
        <v>2520</v>
      </c>
      <c r="K394" s="1" t="s">
        <v>2503</v>
      </c>
      <c r="L394" s="1" t="s">
        <v>22</v>
      </c>
      <c r="M394" s="1" t="s">
        <v>77</v>
      </c>
      <c r="N394" s="1" t="s">
        <v>2519</v>
      </c>
      <c r="O394" s="1" t="s">
        <v>19</v>
      </c>
      <c r="P394" s="1" t="s">
        <v>18</v>
      </c>
      <c r="Q394" s="1" t="s">
        <v>20</v>
      </c>
      <c r="R394" s="1" t="s">
        <v>2456</v>
      </c>
      <c r="S394" s="1">
        <v>1</v>
      </c>
      <c r="T394" s="1" t="s">
        <v>2522</v>
      </c>
      <c r="W394" t="s">
        <v>3745</v>
      </c>
    </row>
    <row r="395" spans="1:23">
      <c r="A395" s="1" t="s">
        <v>2504</v>
      </c>
      <c r="B395" s="1" t="str" cm="1">
        <f t="array" ref="B395">IF(A395="","",_xlfn.IFS(COUNTIF($U:$U,A395)&gt;0,"All uploaded",COUNTIF($V:$V,A395)&gt;0,"Partly uploaded",COUNTIF($W:$X,A395)&gt;0,"Not uploaded",TRUE,"Not classified"))</f>
        <v>Partly uploaded</v>
      </c>
      <c r="C395" s="1" t="str" cm="1">
        <f t="array" ref="C395">_xlfn.SWITCH(TRIM(I395),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95" s="1" t="s">
        <v>0</v>
      </c>
      <c r="E395" s="1" t="s">
        <v>4</v>
      </c>
      <c r="F395" s="1" t="str" cm="1">
        <f t="array" ref="F395">_xlfn.LET(
_xlpm.status,UPPER(TRIM(B395&amp;"")),
_xlpm.risk,UPPER(TRIM(C395&amp;"")),
_xlpm.notify,UPPER(TRIM(D395&amp;"")),
_xlpm.form,UPPER(TRIM(E395&amp;"")),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95" s="1" t="str">
        <f t="shared" si="6"/>
        <v>NA</v>
      </c>
      <c r="H395" s="5" t="s">
        <v>2511</v>
      </c>
      <c r="I395" s="1" t="s">
        <v>22</v>
      </c>
      <c r="J395" s="1" t="s">
        <v>2510</v>
      </c>
      <c r="K395" s="1" t="s">
        <v>2503</v>
      </c>
      <c r="L395" s="1" t="s">
        <v>22</v>
      </c>
      <c r="M395" s="1" t="s">
        <v>77</v>
      </c>
      <c r="N395" s="1" t="s">
        <v>2505</v>
      </c>
      <c r="O395" s="1" t="s">
        <v>19</v>
      </c>
      <c r="P395" s="1" t="s">
        <v>18</v>
      </c>
      <c r="Q395" s="1" t="s">
        <v>20</v>
      </c>
      <c r="R395" s="1" t="s">
        <v>2456</v>
      </c>
      <c r="S395" s="1">
        <v>3</v>
      </c>
      <c r="T395" s="1" t="s">
        <v>2512</v>
      </c>
      <c r="W395" t="s">
        <v>3747</v>
      </c>
    </row>
    <row r="396" spans="1:23">
      <c r="A396" s="1" t="s">
        <v>2499</v>
      </c>
      <c r="B396" s="1" t="str" cm="1">
        <f t="array" ref="B396">IF(A396="","",_xlfn.IFS(COUNTIF($U:$U,A396)&gt;0,"All uploaded",COUNTIF($V:$V,A396)&gt;0,"Partly uploaded",COUNTIF($W:$X,A396)&gt;0,"Not uploaded",TRUE,"Not classified"))</f>
        <v>All uploaded</v>
      </c>
      <c r="C396" s="1" t="str" cm="1">
        <f t="array" ref="C396">_xlfn.SWITCH(TRIM(I396),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96" s="1" t="s">
        <v>0</v>
      </c>
      <c r="E396" s="1" t="s">
        <v>4</v>
      </c>
      <c r="F396" s="1" t="str" cm="1">
        <f t="array" ref="F396">_xlfn.LET(
_xlpm.status,UPPER(TRIM(B396&amp;"")),
_xlpm.risk,UPPER(TRIM(C396&amp;"")),
_xlpm.notify,UPPER(TRIM(D396&amp;"")),
_xlpm.form,UPPER(TRIM(E396&amp;"")),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396" s="1" t="str">
        <f t="shared" si="6"/>
        <v>NA</v>
      </c>
      <c r="H396" s="5" t="s">
        <v>2502</v>
      </c>
      <c r="I396" s="1" t="s">
        <v>22</v>
      </c>
      <c r="J396" s="1" t="s">
        <v>2501</v>
      </c>
      <c r="K396" s="1" t="s">
        <v>2482</v>
      </c>
      <c r="L396" s="1" t="s">
        <v>22</v>
      </c>
      <c r="M396" s="1" t="s">
        <v>77</v>
      </c>
      <c r="N396" s="1" t="s">
        <v>2500</v>
      </c>
      <c r="O396" s="1" t="s">
        <v>19</v>
      </c>
      <c r="P396" s="1" t="s">
        <v>18</v>
      </c>
      <c r="Q396" s="1" t="s">
        <v>20</v>
      </c>
      <c r="R396" s="1" t="s">
        <v>2456</v>
      </c>
      <c r="S396" s="1">
        <v>1</v>
      </c>
      <c r="T396" s="1" t="s">
        <v>924</v>
      </c>
      <c r="W396" t="s">
        <v>3752</v>
      </c>
    </row>
    <row r="397" spans="1:23">
      <c r="A397" s="1" t="s">
        <v>2494</v>
      </c>
      <c r="B397" s="1" t="str" cm="1">
        <f t="array" ref="B397">IF(A397="","",_xlfn.IFS(COUNTIF($U:$U,A397)&gt;0,"All uploaded",COUNTIF($V:$V,A397)&gt;0,"Partly uploaded",COUNTIF($W:$X,A397)&gt;0,"Not uploaded",TRUE,"Not classified"))</f>
        <v>All uploaded</v>
      </c>
      <c r="C397" s="1" t="str" cm="1">
        <f t="array" ref="C397">_xlfn.SWITCH(TRIM(I397),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97" s="1" t="s">
        <v>0</v>
      </c>
      <c r="E397" s="1" t="s">
        <v>3</v>
      </c>
      <c r="F397" s="1" t="str" cm="1">
        <f t="array" ref="F397">_xlfn.LET(
_xlpm.status,UPPER(TRIM(B397&amp;"")),
_xlpm.risk,UPPER(TRIM(C397&amp;"")),
_xlpm.notify,UPPER(TRIM(D397&amp;"")),
_xlpm.form,UPPER(TRIM(E397&amp;"")),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97" s="1" t="str">
        <f t="shared" si="6"/>
        <v>NA</v>
      </c>
      <c r="H397" s="5" t="s">
        <v>2497</v>
      </c>
      <c r="I397" s="1" t="s">
        <v>22</v>
      </c>
      <c r="J397" s="1" t="s">
        <v>2496</v>
      </c>
      <c r="K397" s="1" t="s">
        <v>2482</v>
      </c>
      <c r="L397" s="1" t="s">
        <v>22</v>
      </c>
      <c r="M397" s="1" t="s">
        <v>77</v>
      </c>
      <c r="N397" s="1" t="s">
        <v>2495</v>
      </c>
      <c r="O397" s="1" t="s">
        <v>19</v>
      </c>
      <c r="P397" s="1" t="s">
        <v>18</v>
      </c>
      <c r="Q397" s="1" t="s">
        <v>20</v>
      </c>
      <c r="R397" s="1" t="s">
        <v>2174</v>
      </c>
      <c r="S397" s="1">
        <v>1</v>
      </c>
      <c r="T397" s="1" t="s">
        <v>2498</v>
      </c>
      <c r="W397" t="s">
        <v>3750</v>
      </c>
    </row>
    <row r="398" spans="1:23">
      <c r="A398" s="1" t="s">
        <v>2483</v>
      </c>
      <c r="B398" s="1" t="str" cm="1">
        <f t="array" ref="B398">IF(A398="","",_xlfn.IFS(COUNTIF($U:$U,A398)&gt;0,"All uploaded",COUNTIF($V:$V,A398)&gt;0,"Partly uploaded",COUNTIF($W:$X,A398)&gt;0,"Not uploaded",TRUE,"Not classified"))</f>
        <v>Partly uploaded</v>
      </c>
      <c r="C398" s="1" t="str" cm="1">
        <f t="array" ref="C398">_xlfn.SWITCH(TRIM(I398),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98" s="1" t="s">
        <v>0</v>
      </c>
      <c r="E398" s="1" t="s">
        <v>3</v>
      </c>
      <c r="F398" s="1" t="str" cm="1">
        <f t="array" ref="F398">_xlfn.LET(
_xlpm.status,UPPER(TRIM(B398&amp;"")),
_xlpm.risk,UPPER(TRIM(C398&amp;"")),
_xlpm.notify,UPPER(TRIM(D398&amp;"")),
_xlpm.form,UPPER(TRIM(E398&amp;"")),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98" s="1" t="str">
        <f t="shared" si="6"/>
        <v>NA</v>
      </c>
      <c r="H398" s="5" t="s">
        <v>2486</v>
      </c>
      <c r="I398" s="1" t="s">
        <v>22</v>
      </c>
      <c r="J398" s="1" t="s">
        <v>2485</v>
      </c>
      <c r="K398" s="1" t="s">
        <v>2482</v>
      </c>
      <c r="L398" s="1" t="s">
        <v>22</v>
      </c>
      <c r="M398" s="1" t="s">
        <v>77</v>
      </c>
      <c r="N398" s="1" t="s">
        <v>2484</v>
      </c>
      <c r="O398" s="1" t="s">
        <v>19</v>
      </c>
      <c r="P398" s="1" t="s">
        <v>18</v>
      </c>
      <c r="Q398" s="1" t="s">
        <v>20</v>
      </c>
      <c r="R398" s="1" t="s">
        <v>2456</v>
      </c>
      <c r="S398" s="1">
        <v>14</v>
      </c>
      <c r="T398" s="1" t="s">
        <v>2487</v>
      </c>
      <c r="W398" t="s">
        <v>3767</v>
      </c>
    </row>
    <row r="399" spans="1:23">
      <c r="A399" s="1" t="s">
        <v>2460</v>
      </c>
      <c r="B399" s="1" t="str" cm="1">
        <f t="array" ref="B399">IF(A399="","",_xlfn.IFS(COUNTIF($U:$U,A399)&gt;0,"All uploaded",COUNTIF($V:$V,A399)&gt;0,"Partly uploaded",COUNTIF($W:$X,A399)&gt;0,"Not uploaded",TRUE,"Not classified"))</f>
        <v>Partly uploaded</v>
      </c>
      <c r="C399" s="1" t="str" cm="1">
        <f t="array" ref="C399">_xlfn.SWITCH(TRIM(I399),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399" s="1" t="s">
        <v>1</v>
      </c>
      <c r="E399" s="1" t="s">
        <v>3</v>
      </c>
      <c r="F399" s="1" t="str" cm="1">
        <f t="array" ref="F399">_xlfn.LET(
_xlpm.status,UPPER(TRIM(B399&amp;"")),
_xlpm.risk,UPPER(TRIM(C399&amp;"")),
_xlpm.notify,UPPER(TRIM(D399&amp;"")),
_xlpm.form,UPPER(TRIM(E399&amp;"")),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399" s="1" t="str">
        <f t="shared" si="6"/>
        <v>NA</v>
      </c>
      <c r="H399" s="5" t="s">
        <v>2460</v>
      </c>
      <c r="I399" s="1" t="s">
        <v>22</v>
      </c>
      <c r="J399" s="1" t="s">
        <v>2466</v>
      </c>
      <c r="K399" s="1" t="s">
        <v>2459</v>
      </c>
      <c r="L399" s="1" t="s">
        <v>22</v>
      </c>
      <c r="M399" s="1" t="s">
        <v>77</v>
      </c>
      <c r="N399" s="1" t="s">
        <v>2461</v>
      </c>
      <c r="O399" s="1" t="s">
        <v>19</v>
      </c>
      <c r="P399" s="1" t="s">
        <v>18</v>
      </c>
      <c r="Q399" s="1" t="s">
        <v>20</v>
      </c>
      <c r="R399" s="1" t="s">
        <v>2462</v>
      </c>
      <c r="S399" s="1">
        <v>3</v>
      </c>
      <c r="T399" s="1" t="s">
        <v>2467</v>
      </c>
      <c r="W399" t="s">
        <v>3755</v>
      </c>
    </row>
    <row r="400" spans="1:23">
      <c r="A400" s="1" t="s">
        <v>2460</v>
      </c>
      <c r="B400" s="1" t="str" cm="1">
        <f t="array" ref="B400">IF(A400="","",_xlfn.IFS(COUNTIF($U:$U,A400)&gt;0,"All uploaded",COUNTIF($V:$V,A400)&gt;0,"Partly uploaded",COUNTIF($W:$X,A400)&gt;0,"Not uploaded",TRUE,"Not classified"))</f>
        <v>Partly uploaded</v>
      </c>
      <c r="C400" s="1" t="str" cm="1">
        <f t="array" ref="C400">_xlfn.SWITCH(TRIM(I400),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00" s="1" t="s">
        <v>1</v>
      </c>
      <c r="E400" s="1" t="s">
        <v>3</v>
      </c>
      <c r="F400" s="1" t="str" cm="1">
        <f t="array" ref="F400">_xlfn.LET(
_xlpm.status,UPPER(TRIM(B400&amp;"")),
_xlpm.risk,UPPER(TRIM(C400&amp;"")),
_xlpm.notify,UPPER(TRIM(D400&amp;"")),
_xlpm.form,UPPER(TRIM(E400&amp;"")),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00" s="1" t="str">
        <f t="shared" si="6"/>
        <v>NA</v>
      </c>
      <c r="H400" s="5" t="s">
        <v>2464</v>
      </c>
      <c r="I400" s="1" t="s">
        <v>22</v>
      </c>
      <c r="J400" s="1" t="s">
        <v>2463</v>
      </c>
      <c r="K400" s="1" t="s">
        <v>2459</v>
      </c>
      <c r="L400" s="1" t="s">
        <v>22</v>
      </c>
      <c r="M400" s="1" t="s">
        <v>77</v>
      </c>
      <c r="N400" s="1" t="s">
        <v>2461</v>
      </c>
      <c r="O400" s="1" t="s">
        <v>19</v>
      </c>
      <c r="P400" s="1" t="s">
        <v>18</v>
      </c>
      <c r="Q400" s="1" t="s">
        <v>20</v>
      </c>
      <c r="R400" s="1" t="s">
        <v>2462</v>
      </c>
      <c r="S400" s="1">
        <v>2</v>
      </c>
      <c r="T400" s="1" t="s">
        <v>2465</v>
      </c>
      <c r="W400" t="s">
        <v>3760</v>
      </c>
    </row>
    <row r="401" spans="1:23">
      <c r="A401" s="1" t="s">
        <v>2468</v>
      </c>
      <c r="B401" s="1" t="str" cm="1">
        <f t="array" ref="B401">IF(A401="","",_xlfn.IFS(COUNTIF($U:$U,A401)&gt;0,"All uploaded",COUNTIF($V:$V,A401)&gt;0,"Partly uploaded",COUNTIF($W:$X,A401)&gt;0,"Not uploaded",TRUE,"Not classified"))</f>
        <v>Partly uploaded</v>
      </c>
      <c r="C401" s="1" t="str" cm="1">
        <f t="array" ref="C401">_xlfn.SWITCH(TRIM(I401),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01" s="1" t="s">
        <v>0</v>
      </c>
      <c r="E401" s="1" t="s">
        <v>4</v>
      </c>
      <c r="F401" s="1" t="str" cm="1">
        <f t="array" ref="F401">_xlfn.LET(
_xlpm.status,UPPER(TRIM(B401&amp;"")),
_xlpm.risk,UPPER(TRIM(C401&amp;"")),
_xlpm.notify,UPPER(TRIM(D401&amp;"")),
_xlpm.form,UPPER(TRIM(E401&amp;"")),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01" s="1" t="str">
        <f t="shared" si="6"/>
        <v>Required</v>
      </c>
      <c r="H401" s="5" t="s">
        <v>2946</v>
      </c>
      <c r="I401" s="1" t="s">
        <v>27</v>
      </c>
      <c r="J401" s="1" t="s">
        <v>2945</v>
      </c>
      <c r="K401" s="1" t="s">
        <v>2943</v>
      </c>
      <c r="L401" s="1" t="s">
        <v>27</v>
      </c>
      <c r="M401" s="1" t="s">
        <v>28</v>
      </c>
      <c r="N401" s="1" t="s">
        <v>2469</v>
      </c>
      <c r="O401" s="1" t="s">
        <v>19</v>
      </c>
      <c r="P401" s="1" t="s">
        <v>18</v>
      </c>
      <c r="Q401" s="1" t="s">
        <v>20</v>
      </c>
      <c r="R401" s="1" t="s">
        <v>2944</v>
      </c>
      <c r="S401" s="1">
        <v>1</v>
      </c>
      <c r="T401" s="1" t="s">
        <v>1535</v>
      </c>
      <c r="W401" t="s">
        <v>3779</v>
      </c>
    </row>
    <row r="402" spans="1:23">
      <c r="A402" s="1" t="s">
        <v>2476</v>
      </c>
      <c r="B402" s="1" t="str" cm="1">
        <f t="array" ref="B402">IF(A402="","",_xlfn.IFS(COUNTIF($U:$U,A402)&gt;0,"All uploaded",COUNTIF($V:$V,A402)&gt;0,"Partly uploaded",COUNTIF($W:$X,A402)&gt;0,"Not uploaded",TRUE,"Not classified"))</f>
        <v>Partly uploaded</v>
      </c>
      <c r="C402" s="1" t="str" cm="1">
        <f t="array" ref="C402">_xlfn.SWITCH(TRIM(I402),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02" s="1" t="s">
        <v>1</v>
      </c>
      <c r="E402" s="1" t="s">
        <v>3</v>
      </c>
      <c r="F402" s="1" t="str" cm="1">
        <f t="array" ref="F402">_xlfn.LET(
_xlpm.status,UPPER(TRIM(B402&amp;"")),
_xlpm.risk,UPPER(TRIM(C402&amp;"")),
_xlpm.notify,UPPER(TRIM(D402&amp;"")),
_xlpm.form,UPPER(TRIM(E402&amp;"")),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02" s="1" t="str">
        <f t="shared" si="6"/>
        <v>NA</v>
      </c>
      <c r="H402" s="5" t="s">
        <v>2480</v>
      </c>
      <c r="I402" s="1" t="s">
        <v>22</v>
      </c>
      <c r="J402" s="1" t="s">
        <v>2479</v>
      </c>
      <c r="K402" s="1" t="s">
        <v>2473</v>
      </c>
      <c r="L402" s="1" t="s">
        <v>22</v>
      </c>
      <c r="M402" s="1" t="s">
        <v>77</v>
      </c>
      <c r="N402" s="1" t="s">
        <v>2477</v>
      </c>
      <c r="O402" s="1" t="s">
        <v>19</v>
      </c>
      <c r="P402" s="1" t="s">
        <v>18</v>
      </c>
      <c r="Q402" s="1" t="s">
        <v>20</v>
      </c>
      <c r="R402" s="1" t="s">
        <v>2478</v>
      </c>
      <c r="S402" s="1">
        <v>2</v>
      </c>
      <c r="T402" s="1" t="s">
        <v>2481</v>
      </c>
      <c r="W402" t="s">
        <v>3771</v>
      </c>
    </row>
    <row r="403" spans="1:23">
      <c r="A403" s="1" t="s">
        <v>2488</v>
      </c>
      <c r="B403" s="1" t="str" cm="1">
        <f t="array" ref="B403">IF(A403="","",_xlfn.IFS(COUNTIF($U:$U,A403)&gt;0,"All uploaded",COUNTIF($V:$V,A403)&gt;0,"Partly uploaded",COUNTIF($W:$X,A403)&gt;0,"Not uploaded",TRUE,"Not classified"))</f>
        <v>Partly uploaded</v>
      </c>
      <c r="C403" s="1" t="str" cm="1">
        <f t="array" ref="C403">_xlfn.SWITCH(TRIM(I403),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03" s="1" t="s">
        <v>1</v>
      </c>
      <c r="E403" s="1" t="s">
        <v>3</v>
      </c>
      <c r="F403" s="1" t="str" cm="1">
        <f t="array" ref="F403">_xlfn.LET(
_xlpm.status,UPPER(TRIM(B403&amp;"")),
_xlpm.risk,UPPER(TRIM(C403&amp;"")),
_xlpm.notify,UPPER(TRIM(D403&amp;"")),
_xlpm.form,UPPER(TRIM(E403&amp;"")),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403" s="1" t="str">
        <f t="shared" si="6"/>
        <v>NA</v>
      </c>
      <c r="H403" s="5" t="s">
        <v>2492</v>
      </c>
      <c r="I403" s="1" t="s">
        <v>10</v>
      </c>
      <c r="J403" s="1" t="s">
        <v>2491</v>
      </c>
      <c r="K403" s="1" t="s">
        <v>2482</v>
      </c>
      <c r="L403" s="1" t="s">
        <v>10</v>
      </c>
      <c r="M403" s="1" t="s">
        <v>75</v>
      </c>
      <c r="N403" s="1" t="s">
        <v>2489</v>
      </c>
      <c r="O403" s="1" t="s">
        <v>19</v>
      </c>
      <c r="P403" s="1" t="s">
        <v>18</v>
      </c>
      <c r="Q403" s="1" t="s">
        <v>20</v>
      </c>
      <c r="R403" s="1" t="s">
        <v>2490</v>
      </c>
      <c r="S403" s="1">
        <v>5</v>
      </c>
      <c r="T403" s="1" t="s">
        <v>2493</v>
      </c>
      <c r="W403" t="s">
        <v>3783</v>
      </c>
    </row>
    <row r="404" spans="1:23">
      <c r="A404" s="1" t="s">
        <v>2574</v>
      </c>
      <c r="B404" s="1" t="str" cm="1">
        <f t="array" ref="B404">IF(A404="","",_xlfn.IFS(COUNTIF($U:$U,A404)&gt;0,"All uploaded",COUNTIF($V:$V,A404)&gt;0,"Partly uploaded",COUNTIF($W:$X,A404)&gt;0,"Not uploaded",TRUE,"Not classified"))</f>
        <v>Partly uploaded</v>
      </c>
      <c r="C404" s="1" t="str" cm="1">
        <f t="array" ref="C404">_xlfn.SWITCH(TRIM(I404),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04" s="1" t="s">
        <v>0</v>
      </c>
      <c r="E404" s="1" t="s">
        <v>4</v>
      </c>
      <c r="F404" s="1" t="str" cm="1">
        <f t="array" ref="F404">_xlfn.LET(
_xlpm.status,UPPER(TRIM(B404&amp;"")),
_xlpm.risk,UPPER(TRIM(C404&amp;"")),
_xlpm.notify,UPPER(TRIM(D404&amp;"")),
_xlpm.form,UPPER(TRIM(E404&amp;"")),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04" s="1" t="str">
        <f t="shared" si="6"/>
        <v>NA</v>
      </c>
      <c r="H404" s="5" t="s">
        <v>2577</v>
      </c>
      <c r="I404" s="1" t="s">
        <v>22</v>
      </c>
      <c r="J404" s="1" t="s">
        <v>2576</v>
      </c>
      <c r="K404" s="1" t="s">
        <v>2571</v>
      </c>
      <c r="L404" s="1" t="s">
        <v>22</v>
      </c>
      <c r="M404" s="1" t="s">
        <v>77</v>
      </c>
      <c r="N404" s="1" t="s">
        <v>2575</v>
      </c>
      <c r="O404" s="1" t="s">
        <v>19</v>
      </c>
      <c r="P404" s="1" t="s">
        <v>18</v>
      </c>
      <c r="Q404" s="1" t="s">
        <v>20</v>
      </c>
      <c r="R404" s="1" t="s">
        <v>1947</v>
      </c>
      <c r="S404" s="1">
        <v>3</v>
      </c>
      <c r="T404" s="1" t="s">
        <v>1754</v>
      </c>
      <c r="W404" t="s">
        <v>3792</v>
      </c>
    </row>
    <row r="405" spans="1:23">
      <c r="A405" s="1" t="s">
        <v>2574</v>
      </c>
      <c r="B405" s="1" t="str" cm="1">
        <f t="array" ref="B405">IF(A405="","",_xlfn.IFS(COUNTIF($U:$U,A405)&gt;0,"All uploaded",COUNTIF($V:$V,A405)&gt;0,"Partly uploaded",COUNTIF($W:$X,A405)&gt;0,"Not uploaded",TRUE,"Not classified"))</f>
        <v>Partly uploaded</v>
      </c>
      <c r="C405" s="1" t="str" cm="1">
        <f t="array" ref="C405">_xlfn.SWITCH(TRIM(I405),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05" s="1" t="s">
        <v>0</v>
      </c>
      <c r="E405" s="1" t="s">
        <v>3</v>
      </c>
      <c r="F405" s="1" t="str" cm="1">
        <f t="array" ref="F405">_xlfn.LET(
_xlpm.status,UPPER(TRIM(B405&amp;"")),
_xlpm.risk,UPPER(TRIM(C405&amp;"")),
_xlpm.notify,UPPER(TRIM(D405&amp;"")),
_xlpm.form,UPPER(TRIM(E405&amp;"")),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05" s="1" t="str">
        <f t="shared" si="6"/>
        <v>NA</v>
      </c>
      <c r="H405" s="5" t="s">
        <v>2580</v>
      </c>
      <c r="I405" s="1" t="s">
        <v>22</v>
      </c>
      <c r="J405" s="1" t="s">
        <v>2579</v>
      </c>
      <c r="K405" s="1" t="s">
        <v>2571</v>
      </c>
      <c r="L405" s="1" t="s">
        <v>22</v>
      </c>
      <c r="M405" s="1" t="s">
        <v>77</v>
      </c>
      <c r="N405" s="1" t="s">
        <v>2575</v>
      </c>
      <c r="O405" s="1" t="s">
        <v>19</v>
      </c>
      <c r="P405" s="1" t="s">
        <v>18</v>
      </c>
      <c r="Q405" s="1" t="s">
        <v>20</v>
      </c>
      <c r="R405" s="1" t="s">
        <v>2578</v>
      </c>
      <c r="S405" s="1">
        <v>3</v>
      </c>
      <c r="T405" s="1" t="s">
        <v>1754</v>
      </c>
      <c r="W405" t="s">
        <v>3794</v>
      </c>
    </row>
    <row r="406" spans="1:23">
      <c r="A406" s="1" t="s">
        <v>2551</v>
      </c>
      <c r="B406" s="1" t="str" cm="1">
        <f t="array" ref="B406">IF(A406="","",_xlfn.IFS(COUNTIF($U:$U,A406)&gt;0,"All uploaded",COUNTIF($V:$V,A406)&gt;0,"Partly uploaded",COUNTIF($W:$X,A406)&gt;0,"Not uploaded",TRUE,"Not classified"))</f>
        <v>Partly uploaded</v>
      </c>
      <c r="C406" s="1" t="str" cm="1">
        <f t="array" ref="C406">_xlfn.SWITCH(TRIM(I406),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06" s="1" t="s">
        <v>0</v>
      </c>
      <c r="E406" s="1" t="s">
        <v>3</v>
      </c>
      <c r="F406" s="1" t="str" cm="1">
        <f t="array" ref="F406">_xlfn.LET(
_xlpm.status,UPPER(TRIM(B406&amp;"")),
_xlpm.risk,UPPER(TRIM(C406&amp;"")),
_xlpm.notify,UPPER(TRIM(D406&amp;"")),
_xlpm.form,UPPER(TRIM(E406&amp;"")),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06" s="1" t="str">
        <f t="shared" si="6"/>
        <v>NA</v>
      </c>
      <c r="H406" s="5" t="s">
        <v>2553</v>
      </c>
      <c r="I406" s="1" t="s">
        <v>22</v>
      </c>
      <c r="J406" s="1" t="s">
        <v>2552</v>
      </c>
      <c r="K406" s="1" t="s">
        <v>2548</v>
      </c>
      <c r="L406" s="1" t="s">
        <v>22</v>
      </c>
      <c r="M406" s="1" t="s">
        <v>77</v>
      </c>
      <c r="N406" s="1" t="s">
        <v>89</v>
      </c>
      <c r="O406" s="1" t="s">
        <v>19</v>
      </c>
      <c r="P406" s="1" t="s">
        <v>18</v>
      </c>
      <c r="Q406" s="1" t="s">
        <v>20</v>
      </c>
      <c r="R406" s="1" t="s">
        <v>2449</v>
      </c>
      <c r="S406" s="1">
        <v>2</v>
      </c>
      <c r="T406" s="1" t="s">
        <v>1887</v>
      </c>
      <c r="W406" t="s">
        <v>3814</v>
      </c>
    </row>
    <row r="407" spans="1:23">
      <c r="A407" s="1" t="s">
        <v>2529</v>
      </c>
      <c r="B407" s="1" t="str" cm="1">
        <f t="array" ref="B407">IF(A407="","",_xlfn.IFS(COUNTIF($U:$U,A407)&gt;0,"All uploaded",COUNTIF($V:$V,A407)&gt;0,"Partly uploaded",COUNTIF($W:$X,A407)&gt;0,"Not uploaded",TRUE,"Not classified"))</f>
        <v>Partly uploaded</v>
      </c>
      <c r="C407" s="1" t="str" cm="1">
        <f t="array" ref="C407">_xlfn.SWITCH(TRIM(I407),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07" s="1" t="s">
        <v>0</v>
      </c>
      <c r="E407" s="1" t="s">
        <v>3</v>
      </c>
      <c r="F407" s="1" t="str" cm="1">
        <f t="array" ref="F407">_xlfn.LET(
_xlpm.status,UPPER(TRIM(B407&amp;"")),
_xlpm.risk,UPPER(TRIM(C407&amp;"")),
_xlpm.notify,UPPER(TRIM(D407&amp;"")),
_xlpm.form,UPPER(TRIM(E407&amp;"")),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07" s="1" t="str">
        <f t="shared" si="6"/>
        <v>NA</v>
      </c>
      <c r="H407" s="5" t="s">
        <v>2532</v>
      </c>
      <c r="I407" s="1" t="s">
        <v>27</v>
      </c>
      <c r="J407" s="1" t="s">
        <v>2531</v>
      </c>
      <c r="K407" s="1" t="s">
        <v>2523</v>
      </c>
      <c r="L407" s="1" t="s">
        <v>27</v>
      </c>
      <c r="M407" s="1" t="s">
        <v>28</v>
      </c>
      <c r="N407" s="1" t="s">
        <v>1114</v>
      </c>
      <c r="O407" s="1" t="s">
        <v>19</v>
      </c>
      <c r="P407" s="1" t="s">
        <v>18</v>
      </c>
      <c r="Q407" s="1" t="s">
        <v>20</v>
      </c>
      <c r="R407" s="1" t="s">
        <v>2530</v>
      </c>
      <c r="S407" s="1">
        <v>1</v>
      </c>
      <c r="T407" s="1" t="s">
        <v>2533</v>
      </c>
      <c r="W407" t="s">
        <v>3797</v>
      </c>
    </row>
    <row r="408" spans="1:23">
      <c r="A408" s="1" t="s">
        <v>2524</v>
      </c>
      <c r="B408" s="1" t="str" cm="1">
        <f t="array" ref="B408">IF(A408="","",_xlfn.IFS(COUNTIF($U:$U,A408)&gt;0,"All uploaded",COUNTIF($V:$V,A408)&gt;0,"Partly uploaded",COUNTIF($W:$X,A408)&gt;0,"Not uploaded",TRUE,"Not classified"))</f>
        <v>All uploaded</v>
      </c>
      <c r="C408" s="1" t="str" cm="1">
        <f t="array" ref="C408">_xlfn.SWITCH(TRIM(I408),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08" s="1" t="s">
        <v>0</v>
      </c>
      <c r="E408" s="1" t="s">
        <v>4</v>
      </c>
      <c r="F408" s="1" t="str" cm="1">
        <f t="array" ref="F408">_xlfn.LET(
_xlpm.status,UPPER(TRIM(B408&amp;"")),
_xlpm.risk,UPPER(TRIM(C408&amp;"")),
_xlpm.notify,UPPER(TRIM(D408&amp;"")),
_xlpm.form,UPPER(TRIM(E408&amp;"")),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08" s="1" t="str">
        <f t="shared" si="6"/>
        <v>Required</v>
      </c>
      <c r="H408" s="5" t="s">
        <v>2527</v>
      </c>
      <c r="I408" s="1" t="s">
        <v>27</v>
      </c>
      <c r="J408" s="1" t="s">
        <v>2526</v>
      </c>
      <c r="K408" s="1" t="s">
        <v>2523</v>
      </c>
      <c r="L408" s="1" t="s">
        <v>27</v>
      </c>
      <c r="M408" s="1" t="s">
        <v>28</v>
      </c>
      <c r="N408" s="1" t="s">
        <v>2525</v>
      </c>
      <c r="O408" s="1" t="s">
        <v>19</v>
      </c>
      <c r="P408" s="1" t="s">
        <v>18</v>
      </c>
      <c r="Q408" s="1" t="s">
        <v>20</v>
      </c>
      <c r="R408" s="1" t="s">
        <v>2370</v>
      </c>
      <c r="S408" s="1">
        <v>1</v>
      </c>
      <c r="T408" s="1" t="s">
        <v>2528</v>
      </c>
      <c r="W408" t="s">
        <v>3817</v>
      </c>
    </row>
    <row r="409" spans="1:23">
      <c r="A409" s="1" t="s">
        <v>2538</v>
      </c>
      <c r="B409" s="1" t="str" cm="1">
        <f t="array" ref="B409">IF(A409="","",_xlfn.IFS(COUNTIF($U:$U,A409)&gt;0,"All uploaded",COUNTIF($V:$V,A409)&gt;0,"Partly uploaded",COUNTIF($W:$X,A409)&gt;0,"Not uploaded",TRUE,"Not classified"))</f>
        <v>Partly uploaded</v>
      </c>
      <c r="C409" s="1" t="str" cm="1">
        <f t="array" ref="C409">_xlfn.SWITCH(TRIM(I409),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09" s="1" t="s">
        <v>0</v>
      </c>
      <c r="E409" s="1" t="s">
        <v>4</v>
      </c>
      <c r="F409" s="1" t="str" cm="1">
        <f t="array" ref="F409">_xlfn.LET(
_xlpm.status,UPPER(TRIM(B409&amp;"")),
_xlpm.risk,UPPER(TRIM(C409&amp;"")),
_xlpm.notify,UPPER(TRIM(D409&amp;"")),
_xlpm.form,UPPER(TRIM(E409&amp;"")),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09" s="1" t="str">
        <f t="shared" si="6"/>
        <v>Required</v>
      </c>
      <c r="H409" s="5" t="s">
        <v>2546</v>
      </c>
      <c r="I409" s="1" t="s">
        <v>27</v>
      </c>
      <c r="J409" s="1" t="s">
        <v>2545</v>
      </c>
      <c r="K409" s="1" t="s">
        <v>2537</v>
      </c>
      <c r="L409" s="1" t="s">
        <v>27</v>
      </c>
      <c r="M409" s="1" t="s">
        <v>28</v>
      </c>
      <c r="N409" s="1" t="s">
        <v>2539</v>
      </c>
      <c r="O409" s="1" t="s">
        <v>19</v>
      </c>
      <c r="P409" s="1" t="s">
        <v>18</v>
      </c>
      <c r="Q409" s="1" t="s">
        <v>20</v>
      </c>
      <c r="R409" s="1" t="s">
        <v>2544</v>
      </c>
      <c r="S409" s="1">
        <v>2</v>
      </c>
      <c r="T409" s="1" t="s">
        <v>2547</v>
      </c>
      <c r="W409" t="s">
        <v>3812</v>
      </c>
    </row>
    <row r="410" spans="1:23">
      <c r="A410" s="1" t="s">
        <v>2540</v>
      </c>
      <c r="B410" s="1" t="str" cm="1">
        <f t="array" ref="B410">IF(A410="","",_xlfn.IFS(COUNTIF($U:$U,A410)&gt;0,"All uploaded",COUNTIF($V:$V,A410)&gt;0,"Partly uploaded",COUNTIF($W:$X,A410)&gt;0,"Not uploaded",TRUE,"Not classified"))</f>
        <v>Partly uploaded</v>
      </c>
      <c r="C410" s="1" t="str" cm="1">
        <f t="array" ref="C410">_xlfn.SWITCH(TRIM(I410),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10" s="1" t="s">
        <v>0</v>
      </c>
      <c r="E410" s="1" t="s">
        <v>3</v>
      </c>
      <c r="F410" s="1" t="str" cm="1">
        <f t="array" ref="F410">_xlfn.LET(
_xlpm.status,UPPER(TRIM(B410&amp;"")),
_xlpm.risk,UPPER(TRIM(C410&amp;"")),
_xlpm.notify,UPPER(TRIM(D410&amp;"")),
_xlpm.form,UPPER(TRIM(E410&amp;"")),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10" s="1" t="str">
        <f t="shared" si="6"/>
        <v>NA</v>
      </c>
      <c r="H410" s="5" t="s">
        <v>2543</v>
      </c>
      <c r="I410" s="1" t="s">
        <v>22</v>
      </c>
      <c r="J410" s="1" t="s">
        <v>2542</v>
      </c>
      <c r="K410" s="1" t="s">
        <v>2537</v>
      </c>
      <c r="L410" s="1" t="s">
        <v>22</v>
      </c>
      <c r="M410" s="1" t="s">
        <v>77</v>
      </c>
      <c r="N410" s="1" t="s">
        <v>2541</v>
      </c>
      <c r="O410" s="1" t="s">
        <v>19</v>
      </c>
      <c r="P410" s="1" t="s">
        <v>18</v>
      </c>
      <c r="Q410" s="1" t="s">
        <v>20</v>
      </c>
      <c r="R410" s="1" t="s">
        <v>2449</v>
      </c>
      <c r="S410" s="1">
        <v>1</v>
      </c>
      <c r="T410" s="1" t="s">
        <v>2522</v>
      </c>
      <c r="W410" t="s">
        <v>3828</v>
      </c>
    </row>
    <row r="411" spans="1:23">
      <c r="A411" s="1" t="s">
        <v>2557</v>
      </c>
      <c r="B411" s="1" t="str" cm="1">
        <f t="array" ref="B411">IF(A411="","",_xlfn.IFS(COUNTIF($U:$U,A411)&gt;0,"All uploaded",COUNTIF($V:$V,A411)&gt;0,"Partly uploaded",COUNTIF($W:$X,A411)&gt;0,"Not uploaded",TRUE,"Not classified"))</f>
        <v>Partly uploaded</v>
      </c>
      <c r="C411" s="1" t="str" cm="1">
        <f t="array" ref="C411">_xlfn.SWITCH(TRIM(I411),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11" s="1" t="s">
        <v>0</v>
      </c>
      <c r="E411" s="1" t="s">
        <v>3</v>
      </c>
      <c r="F411" s="1" t="str" cm="1">
        <f t="array" ref="F411">_xlfn.LET(
_xlpm.status,UPPER(TRIM(B411&amp;"")),
_xlpm.risk,UPPER(TRIM(C411&amp;"")),
_xlpm.notify,UPPER(TRIM(D411&amp;"")),
_xlpm.form,UPPER(TRIM(E411&amp;"")),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11" s="1" t="str">
        <f t="shared" si="6"/>
        <v>NA</v>
      </c>
      <c r="H411" s="5" t="s">
        <v>2560</v>
      </c>
      <c r="I411" s="1" t="s">
        <v>22</v>
      </c>
      <c r="J411" s="1" t="s">
        <v>2559</v>
      </c>
      <c r="K411" s="1" t="s">
        <v>2554</v>
      </c>
      <c r="L411" s="1" t="s">
        <v>22</v>
      </c>
      <c r="M411" s="1" t="s">
        <v>77</v>
      </c>
      <c r="N411" s="1" t="s">
        <v>2558</v>
      </c>
      <c r="O411" s="1" t="s">
        <v>19</v>
      </c>
      <c r="P411" s="1" t="s">
        <v>18</v>
      </c>
      <c r="Q411" s="1" t="s">
        <v>20</v>
      </c>
      <c r="R411" s="1" t="s">
        <v>2449</v>
      </c>
      <c r="S411" s="1">
        <v>1</v>
      </c>
      <c r="T411" s="1" t="s">
        <v>2561</v>
      </c>
      <c r="W411" t="s">
        <v>3820</v>
      </c>
    </row>
    <row r="412" spans="1:23">
      <c r="A412" s="1" t="s">
        <v>2566</v>
      </c>
      <c r="B412" s="1" t="str" cm="1">
        <f t="array" ref="B412">IF(A412="","",_xlfn.IFS(COUNTIF($U:$U,A412)&gt;0,"All uploaded",COUNTIF($V:$V,A412)&gt;0,"Partly uploaded",COUNTIF($W:$X,A412)&gt;0,"Not uploaded",TRUE,"Not classified"))</f>
        <v>Partly uploaded</v>
      </c>
      <c r="C412" s="1" t="str" cm="1">
        <f t="array" ref="C412">_xlfn.SWITCH(TRIM(I412),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12" s="1" t="s">
        <v>1</v>
      </c>
      <c r="E412" s="1" t="s">
        <v>2</v>
      </c>
      <c r="F412" s="1" t="str" cm="1">
        <f t="array" ref="F412">_xlfn.LET(
_xlpm.status,UPPER(TRIM(B412&amp;"")),
_xlpm.risk,UPPER(TRIM(C412&amp;"")),
_xlpm.notify,UPPER(TRIM(D412&amp;"")),
_xlpm.form,UPPER(TRIM(E412&amp;"")),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412" s="1" t="str">
        <f t="shared" si="6"/>
        <v>NA</v>
      </c>
      <c r="H412" s="5" t="s">
        <v>2569</v>
      </c>
      <c r="I412" s="1" t="s">
        <v>2567</v>
      </c>
      <c r="J412" s="1" t="s">
        <v>2568</v>
      </c>
      <c r="K412" s="1" t="s">
        <v>2565</v>
      </c>
      <c r="L412" s="1" t="s">
        <v>2567</v>
      </c>
      <c r="M412" s="1" t="s">
        <v>77</v>
      </c>
      <c r="N412" s="1" t="s">
        <v>2330</v>
      </c>
      <c r="O412" s="1" t="s">
        <v>19</v>
      </c>
      <c r="P412" s="1" t="s">
        <v>18</v>
      </c>
      <c r="Q412" s="1" t="s">
        <v>20</v>
      </c>
      <c r="R412" s="1" t="s">
        <v>2449</v>
      </c>
      <c r="S412" s="1">
        <v>1</v>
      </c>
      <c r="T412" s="1" t="s">
        <v>2570</v>
      </c>
      <c r="W412" t="s">
        <v>3831</v>
      </c>
    </row>
    <row r="413" spans="1:23">
      <c r="A413" s="1" t="s">
        <v>2726</v>
      </c>
      <c r="B413" s="1" t="str" cm="1">
        <f t="array" ref="B413">IF(A413="","",_xlfn.IFS(COUNTIF($U:$U,A413)&gt;0,"All uploaded",COUNTIF($V:$V,A413)&gt;0,"Partly uploaded",COUNTIF($W:$X,A413)&gt;0,"Not uploaded",TRUE,"Not classified"))</f>
        <v>Partly uploaded</v>
      </c>
      <c r="C413" s="1" t="str" cm="1">
        <f t="array" ref="C413">_xlfn.SWITCH(TRIM(I413),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13" s="1" t="s">
        <v>0</v>
      </c>
      <c r="E413" s="1" t="s">
        <v>4</v>
      </c>
      <c r="F413" s="1" t="str" cm="1">
        <f t="array" ref="F413">_xlfn.LET(
_xlpm.status,UPPER(TRIM(B413&amp;"")),
_xlpm.risk,UPPER(TRIM(C413&amp;"")),
_xlpm.notify,UPPER(TRIM(D413&amp;"")),
_xlpm.form,UPPER(TRIM(E413&amp;"")),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13" s="1" t="str">
        <f t="shared" si="6"/>
        <v>Required</v>
      </c>
      <c r="H413" s="5" t="s">
        <v>2729</v>
      </c>
      <c r="I413" s="1" t="s">
        <v>25</v>
      </c>
      <c r="J413" s="1" t="s">
        <v>2728</v>
      </c>
      <c r="K413" s="1" t="s">
        <v>2725</v>
      </c>
      <c r="L413" s="1" t="s">
        <v>25</v>
      </c>
      <c r="M413" s="1" t="s">
        <v>28</v>
      </c>
      <c r="N413" s="1" t="s">
        <v>2181</v>
      </c>
      <c r="O413" s="1" t="s">
        <v>19</v>
      </c>
      <c r="P413" s="1" t="s">
        <v>18</v>
      </c>
      <c r="Q413" s="1" t="s">
        <v>20</v>
      </c>
      <c r="R413" s="1" t="s">
        <v>2727</v>
      </c>
      <c r="S413" s="1">
        <v>5</v>
      </c>
      <c r="T413" s="1" t="s">
        <v>2730</v>
      </c>
      <c r="W413" t="s">
        <v>3842</v>
      </c>
    </row>
    <row r="414" spans="1:23">
      <c r="A414" s="1" t="s">
        <v>2816</v>
      </c>
      <c r="B414" s="1" t="str" cm="1">
        <f t="array" ref="B414">IF(A414="","",_xlfn.IFS(COUNTIF($U:$U,A414)&gt;0,"All uploaded",COUNTIF($V:$V,A414)&gt;0,"Partly uploaded",COUNTIF($W:$X,A414)&gt;0,"Not uploaded",TRUE,"Not classified"))</f>
        <v>Partly uploaded</v>
      </c>
      <c r="C414" s="1" t="str" cm="1">
        <f t="array" ref="C414">_xlfn.SWITCH(TRIM(I414),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14" s="1" t="s">
        <v>0</v>
      </c>
      <c r="E414" s="1" t="s">
        <v>4</v>
      </c>
      <c r="F414" s="1" t="str" cm="1">
        <f t="array" ref="F414">_xlfn.LET(
_xlpm.status,UPPER(TRIM(B414&amp;"")),
_xlpm.risk,UPPER(TRIM(C414&amp;"")),
_xlpm.notify,UPPER(TRIM(D414&amp;"")),
_xlpm.form,UPPER(TRIM(E414&amp;"")),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14" s="1" t="str">
        <f t="shared" si="6"/>
        <v>Required</v>
      </c>
      <c r="H414" s="5" t="s">
        <v>2818</v>
      </c>
      <c r="I414" s="1" t="s">
        <v>27</v>
      </c>
      <c r="J414" s="1" t="s">
        <v>2817</v>
      </c>
      <c r="K414" s="1" t="s">
        <v>2815</v>
      </c>
      <c r="L414" s="1" t="s">
        <v>27</v>
      </c>
      <c r="M414" s="1" t="s">
        <v>28</v>
      </c>
      <c r="N414" s="1" t="s">
        <v>1782</v>
      </c>
      <c r="O414" s="1" t="s">
        <v>19</v>
      </c>
      <c r="P414" s="1" t="s">
        <v>18</v>
      </c>
      <c r="Q414" s="1" t="s">
        <v>20</v>
      </c>
      <c r="R414" s="1" t="s">
        <v>1539</v>
      </c>
      <c r="S414" s="1">
        <v>5</v>
      </c>
      <c r="T414" s="1" t="s">
        <v>2819</v>
      </c>
      <c r="W414" t="s">
        <v>3823</v>
      </c>
    </row>
    <row r="415" spans="1:23">
      <c r="A415" s="1" t="s">
        <v>2582</v>
      </c>
      <c r="B415" s="1" t="str" cm="1">
        <f t="array" ref="B415">IF(A415="","",_xlfn.IFS(COUNTIF($U:$U,A415)&gt;0,"All uploaded",COUNTIF($V:$V,A415)&gt;0,"Partly uploaded",COUNTIF($W:$X,A415)&gt;0,"Not uploaded",TRUE,"Not classified"))</f>
        <v>Partly uploaded</v>
      </c>
      <c r="C415" s="1" t="str" cm="1">
        <f t="array" ref="C415">_xlfn.SWITCH(TRIM(I415),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15" s="1" t="s">
        <v>1</v>
      </c>
      <c r="E415" s="1" t="s">
        <v>2</v>
      </c>
      <c r="F415" s="1" t="str" cm="1">
        <f t="array" ref="F415">_xlfn.LET(
_xlpm.status,UPPER(TRIM(B415&amp;"")),
_xlpm.risk,UPPER(TRIM(C415&amp;"")),
_xlpm.notify,UPPER(TRIM(D415&amp;"")),
_xlpm.form,UPPER(TRIM(E415&amp;"")),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415" s="1" t="str">
        <f t="shared" si="6"/>
        <v>NA</v>
      </c>
      <c r="H415" s="5" t="s">
        <v>2586</v>
      </c>
      <c r="I415" s="1" t="s">
        <v>23</v>
      </c>
      <c r="J415" s="1" t="s">
        <v>2585</v>
      </c>
      <c r="K415" s="1" t="s">
        <v>2581</v>
      </c>
      <c r="L415" s="1" t="s">
        <v>23</v>
      </c>
      <c r="M415" s="1" t="s">
        <v>28</v>
      </c>
      <c r="N415" s="1" t="s">
        <v>2583</v>
      </c>
      <c r="O415" s="1" t="s">
        <v>19</v>
      </c>
      <c r="P415" s="1" t="s">
        <v>18</v>
      </c>
      <c r="Q415" s="1" t="s">
        <v>20</v>
      </c>
      <c r="R415" s="1" t="s">
        <v>2584</v>
      </c>
      <c r="S415" s="1">
        <v>1</v>
      </c>
      <c r="T415" s="1" t="s">
        <v>2587</v>
      </c>
      <c r="W415" t="s">
        <v>3824</v>
      </c>
    </row>
    <row r="416" spans="1:23">
      <c r="A416" s="1" t="s">
        <v>2590</v>
      </c>
      <c r="B416" s="1" t="str" cm="1">
        <f t="array" ref="B416">IF(A416="","",_xlfn.IFS(COUNTIF($U:$U,A416)&gt;0,"All uploaded",COUNTIF($V:$V,A416)&gt;0,"Partly uploaded",COUNTIF($W:$X,A416)&gt;0,"Not uploaded",TRUE,"Not classified"))</f>
        <v>Partly uploaded</v>
      </c>
      <c r="C416" s="1" t="str" cm="1">
        <f t="array" ref="C416">_xlfn.SWITCH(TRIM(I416),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16" s="1" t="s">
        <v>1</v>
      </c>
      <c r="E416" s="1" t="s">
        <v>4</v>
      </c>
      <c r="F416" s="1" t="str" cm="1">
        <f t="array" ref="F416">_xlfn.LET(
_xlpm.status,UPPER(TRIM(B416&amp;"")),
_xlpm.risk,UPPER(TRIM(C416&amp;"")),
_xlpm.notify,UPPER(TRIM(D416&amp;"")),
_xlpm.form,UPPER(TRIM(E416&amp;"")),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416" s="1" t="str">
        <f t="shared" si="6"/>
        <v>Required</v>
      </c>
      <c r="H416" s="5" t="s">
        <v>2593</v>
      </c>
      <c r="I416" s="1" t="s">
        <v>10</v>
      </c>
      <c r="J416" s="1" t="s">
        <v>2592</v>
      </c>
      <c r="K416" s="1" t="s">
        <v>2589</v>
      </c>
      <c r="L416" s="1" t="s">
        <v>10</v>
      </c>
      <c r="M416" s="1" t="s">
        <v>75</v>
      </c>
      <c r="N416" s="1" t="s">
        <v>2314</v>
      </c>
      <c r="O416" s="1" t="s">
        <v>19</v>
      </c>
      <c r="P416" s="1" t="s">
        <v>18</v>
      </c>
      <c r="Q416" s="1" t="s">
        <v>20</v>
      </c>
      <c r="R416" s="1" t="s">
        <v>2591</v>
      </c>
      <c r="S416" s="1">
        <v>4</v>
      </c>
      <c r="T416" s="1" t="s">
        <v>2594</v>
      </c>
      <c r="W416" t="s">
        <v>3826</v>
      </c>
    </row>
    <row r="417" spans="1:23">
      <c r="A417" s="1" t="s">
        <v>2600</v>
      </c>
      <c r="B417" s="1" t="str" cm="1">
        <f t="array" ref="B417">IF(A417="","",_xlfn.IFS(COUNTIF($U:$U,A417)&gt;0,"All uploaded",COUNTIF($V:$V,A417)&gt;0,"Partly uploaded",COUNTIF($W:$X,A417)&gt;0,"Not uploaded",TRUE,"Not classified"))</f>
        <v>Partly uploaded</v>
      </c>
      <c r="C417" s="1" t="str" cm="1">
        <f t="array" ref="C417">_xlfn.SWITCH(TRIM(I417),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17" s="1" t="s">
        <v>0</v>
      </c>
      <c r="E417" s="1" t="s">
        <v>4</v>
      </c>
      <c r="F417" s="1" t="str" cm="1">
        <f t="array" ref="F417">_xlfn.LET(
_xlpm.status,UPPER(TRIM(B417&amp;"")),
_xlpm.risk,UPPER(TRIM(C417&amp;"")),
_xlpm.notify,UPPER(TRIM(D417&amp;"")),
_xlpm.form,UPPER(TRIM(E417&amp;"")),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17" s="1" t="str">
        <f t="shared" si="6"/>
        <v>Required</v>
      </c>
      <c r="H417" s="5" t="s">
        <v>2604</v>
      </c>
      <c r="I417" s="1" t="s">
        <v>27</v>
      </c>
      <c r="J417" s="1" t="s">
        <v>2603</v>
      </c>
      <c r="K417" s="1" t="s">
        <v>2595</v>
      </c>
      <c r="L417" s="1" t="s">
        <v>27</v>
      </c>
      <c r="M417" s="1" t="s">
        <v>28</v>
      </c>
      <c r="N417" s="1" t="s">
        <v>2601</v>
      </c>
      <c r="O417" s="1" t="s">
        <v>19</v>
      </c>
      <c r="P417" s="1" t="s">
        <v>18</v>
      </c>
      <c r="Q417" s="1" t="s">
        <v>20</v>
      </c>
      <c r="R417" s="1" t="s">
        <v>2602</v>
      </c>
      <c r="S417" s="1">
        <v>2</v>
      </c>
      <c r="T417" s="1" t="s">
        <v>2605</v>
      </c>
      <c r="W417" t="s">
        <v>3835</v>
      </c>
    </row>
    <row r="418" spans="1:23">
      <c r="A418" s="1" t="s">
        <v>2598</v>
      </c>
      <c r="B418" s="1" t="str" cm="1">
        <f t="array" ref="B418">IF(A418="","",_xlfn.IFS(COUNTIF($U:$U,A418)&gt;0,"All uploaded",COUNTIF($V:$V,A418)&gt;0,"Partly uploaded",COUNTIF($W:$X,A418)&gt;0,"Not uploaded",TRUE,"Not classified"))</f>
        <v>Partly uploaded</v>
      </c>
      <c r="C418" s="1" t="str" cm="1">
        <f t="array" ref="C418">_xlfn.SWITCH(TRIM(I418),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18" s="1" t="s">
        <v>0</v>
      </c>
      <c r="E418" s="1" t="s">
        <v>3</v>
      </c>
      <c r="F418" s="1" t="str" cm="1">
        <f t="array" ref="F418">_xlfn.LET(
_xlpm.status,UPPER(TRIM(B418&amp;"")),
_xlpm.risk,UPPER(TRIM(C418&amp;"")),
_xlpm.notify,UPPER(TRIM(D418&amp;"")),
_xlpm.form,UPPER(TRIM(E418&amp;"")),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18" s="1" t="str">
        <f t="shared" si="6"/>
        <v>NA</v>
      </c>
      <c r="H418" s="5" t="s">
        <v>2607</v>
      </c>
      <c r="I418" s="1" t="s">
        <v>27</v>
      </c>
      <c r="J418" s="1" t="s">
        <v>2606</v>
      </c>
      <c r="K418" s="1" t="s">
        <v>2595</v>
      </c>
      <c r="L418" s="1" t="s">
        <v>27</v>
      </c>
      <c r="M418" s="1" t="s">
        <v>28</v>
      </c>
      <c r="N418" s="1" t="s">
        <v>2599</v>
      </c>
      <c r="O418" s="1" t="s">
        <v>19</v>
      </c>
      <c r="P418" s="1" t="s">
        <v>18</v>
      </c>
      <c r="Q418" s="1" t="s">
        <v>20</v>
      </c>
      <c r="R418" s="1" t="s">
        <v>2602</v>
      </c>
      <c r="S418" s="1">
        <v>2</v>
      </c>
      <c r="T418" s="1" t="s">
        <v>2608</v>
      </c>
      <c r="W418" t="s">
        <v>3833</v>
      </c>
    </row>
    <row r="419" spans="1:23">
      <c r="A419" s="1" t="s">
        <v>2615</v>
      </c>
      <c r="B419" s="1" t="str" cm="1">
        <f t="array" ref="B419">IF(A419="","",_xlfn.IFS(COUNTIF($U:$U,A419)&gt;0,"All uploaded",COUNTIF($V:$V,A419)&gt;0,"Partly uploaded",COUNTIF($W:$X,A419)&gt;0,"Not uploaded",TRUE,"Not classified"))</f>
        <v>Partly uploaded</v>
      </c>
      <c r="C419" s="1" t="str" cm="1">
        <f t="array" ref="C419">_xlfn.SWITCH(TRIM(I419),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19" s="1" t="s">
        <v>0</v>
      </c>
      <c r="E419" s="1" t="s">
        <v>4</v>
      </c>
      <c r="F419" s="1" t="str" cm="1">
        <f t="array" ref="F419">_xlfn.LET(
_xlpm.status,UPPER(TRIM(B419&amp;"")),
_xlpm.risk,UPPER(TRIM(C419&amp;"")),
_xlpm.notify,UPPER(TRIM(D419&amp;"")),
_xlpm.form,UPPER(TRIM(E419&amp;"")),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19" s="1" t="str">
        <f t="shared" si="6"/>
        <v>NA</v>
      </c>
      <c r="H419" s="5" t="s">
        <v>2618</v>
      </c>
      <c r="I419" s="1" t="s">
        <v>22</v>
      </c>
      <c r="J419" s="1" t="s">
        <v>2617</v>
      </c>
      <c r="K419" s="1" t="s">
        <v>2614</v>
      </c>
      <c r="L419" s="1" t="s">
        <v>22</v>
      </c>
      <c r="M419" s="1" t="s">
        <v>77</v>
      </c>
      <c r="N419" s="1" t="s">
        <v>2616</v>
      </c>
      <c r="O419" s="1" t="s">
        <v>19</v>
      </c>
      <c r="P419" s="1" t="s">
        <v>18</v>
      </c>
      <c r="Q419" s="1" t="s">
        <v>20</v>
      </c>
      <c r="R419" s="1" t="s">
        <v>2174</v>
      </c>
      <c r="S419" s="1">
        <v>11</v>
      </c>
      <c r="T419" s="1" t="s">
        <v>2619</v>
      </c>
    </row>
    <row r="420" spans="1:23">
      <c r="A420" s="1" t="s">
        <v>2610</v>
      </c>
      <c r="B420" s="1" t="str" cm="1">
        <f t="array" ref="B420">IF(A420="","",_xlfn.IFS(COUNTIF($U:$U,A420)&gt;0,"All uploaded",COUNTIF($V:$V,A420)&gt;0,"Partly uploaded",COUNTIF($W:$X,A420)&gt;0,"Not uploaded",TRUE,"Not classified"))</f>
        <v>Partly uploaded</v>
      </c>
      <c r="C420" s="1" t="str" cm="1">
        <f t="array" ref="C420">_xlfn.SWITCH(TRIM(I420),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20" s="1" t="s">
        <v>1</v>
      </c>
      <c r="E420" s="1" t="s">
        <v>4</v>
      </c>
      <c r="F420" s="1" t="str" cm="1">
        <f t="array" ref="F420">_xlfn.LET(
_xlpm.status,UPPER(TRIM(B420&amp;"")),
_xlpm.risk,UPPER(TRIM(C420&amp;"")),
_xlpm.notify,UPPER(TRIM(D420&amp;"")),
_xlpm.form,UPPER(TRIM(E420&amp;"")),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20" s="1" t="str">
        <f t="shared" si="6"/>
        <v>NA</v>
      </c>
      <c r="H420" s="5" t="s">
        <v>2613</v>
      </c>
      <c r="I420" s="1" t="s">
        <v>22</v>
      </c>
      <c r="J420" s="1" t="s">
        <v>2612</v>
      </c>
      <c r="K420" s="1" t="s">
        <v>2609</v>
      </c>
      <c r="L420" s="1" t="s">
        <v>22</v>
      </c>
      <c r="M420" s="1" t="s">
        <v>77</v>
      </c>
      <c r="N420" s="1" t="s">
        <v>2611</v>
      </c>
      <c r="O420" s="1" t="s">
        <v>19</v>
      </c>
      <c r="P420" s="1" t="s">
        <v>18</v>
      </c>
      <c r="Q420" s="1" t="s">
        <v>20</v>
      </c>
      <c r="R420" s="1" t="s">
        <v>2584</v>
      </c>
      <c r="S420" s="1">
        <v>5</v>
      </c>
      <c r="T420" s="1" t="s">
        <v>1893</v>
      </c>
    </row>
    <row r="421" spans="1:23">
      <c r="A421" s="1" t="s">
        <v>2620</v>
      </c>
      <c r="B421" s="1" t="str" cm="1">
        <f t="array" ref="B421">IF(A421="","",_xlfn.IFS(COUNTIF($U:$U,A421)&gt;0,"All uploaded",COUNTIF($V:$V,A421)&gt;0,"Partly uploaded",COUNTIF($W:$X,A421)&gt;0,"Not uploaded",TRUE,"Not classified"))</f>
        <v>Partly uploaded</v>
      </c>
      <c r="C421" s="1" t="str" cm="1">
        <f t="array" ref="C421">_xlfn.SWITCH(TRIM(I421),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21" s="1" t="s">
        <v>0</v>
      </c>
      <c r="E421" s="1" t="s">
        <v>2</v>
      </c>
      <c r="F421" s="1" t="str" cm="1">
        <f t="array" ref="F421">_xlfn.LET(
_xlpm.status,UPPER(TRIM(B421&amp;"")),
_xlpm.risk,UPPER(TRIM(C421&amp;"")),
_xlpm.notify,UPPER(TRIM(D421&amp;"")),
_xlpm.form,UPPER(TRIM(E421&amp;"")),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421" s="1" t="str">
        <f t="shared" si="6"/>
        <v>NA</v>
      </c>
      <c r="H421" s="5" t="s">
        <v>2624</v>
      </c>
      <c r="I421" s="1" t="s">
        <v>48</v>
      </c>
      <c r="J421" s="1" t="s">
        <v>2623</v>
      </c>
      <c r="K421" s="1" t="s">
        <v>2614</v>
      </c>
      <c r="L421" s="1" t="s">
        <v>48</v>
      </c>
      <c r="M421" s="1" t="s">
        <v>28</v>
      </c>
      <c r="N421" s="1" t="s">
        <v>2621</v>
      </c>
      <c r="O421" s="1" t="s">
        <v>19</v>
      </c>
      <c r="P421" s="1" t="s">
        <v>18</v>
      </c>
      <c r="Q421" s="1" t="s">
        <v>20</v>
      </c>
      <c r="R421" s="1" t="s">
        <v>2622</v>
      </c>
      <c r="S421" s="1">
        <v>2</v>
      </c>
      <c r="T421" s="1" t="s">
        <v>2625</v>
      </c>
    </row>
    <row r="422" spans="1:23">
      <c r="A422" s="1" t="s">
        <v>2649</v>
      </c>
      <c r="B422" s="1" t="str" cm="1">
        <f t="array" ref="B422">IF(A422="","",_xlfn.IFS(COUNTIF($U:$U,A422)&gt;0,"All uploaded",COUNTIF($V:$V,A422)&gt;0,"Partly uploaded",COUNTIF($W:$X,A422)&gt;0,"Not uploaded",TRUE,"Not classified"))</f>
        <v>Partly uploaded</v>
      </c>
      <c r="C422" s="1" t="str" cm="1">
        <f t="array" ref="C422">_xlfn.SWITCH(TRIM(I422),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22" s="1" t="s">
        <v>1</v>
      </c>
      <c r="E422" s="1" t="s">
        <v>4</v>
      </c>
      <c r="F422" s="1" t="str" cm="1">
        <f t="array" ref="F422">_xlfn.LET(
_xlpm.status,UPPER(TRIM(B422&amp;"")),
_xlpm.risk,UPPER(TRIM(C422&amp;"")),
_xlpm.notify,UPPER(TRIM(D422&amp;"")),
_xlpm.form,UPPER(TRIM(E422&amp;"")),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22" s="1" t="str">
        <f t="shared" si="6"/>
        <v>NA</v>
      </c>
      <c r="H422" s="5" t="s">
        <v>2652</v>
      </c>
      <c r="I422" s="1" t="s">
        <v>22</v>
      </c>
      <c r="J422" s="1" t="s">
        <v>2651</v>
      </c>
      <c r="K422" s="1" t="s">
        <v>2648</v>
      </c>
      <c r="L422" s="1" t="s">
        <v>22</v>
      </c>
      <c r="M422" s="1" t="s">
        <v>77</v>
      </c>
      <c r="N422" s="1" t="s">
        <v>2611</v>
      </c>
      <c r="O422" s="1" t="s">
        <v>19</v>
      </c>
      <c r="P422" s="1" t="s">
        <v>18</v>
      </c>
      <c r="Q422" s="1" t="s">
        <v>20</v>
      </c>
      <c r="R422" s="1" t="s">
        <v>2650</v>
      </c>
      <c r="S422" s="1">
        <v>12</v>
      </c>
      <c r="T422" s="1" t="s">
        <v>2653</v>
      </c>
    </row>
    <row r="423" spans="1:23">
      <c r="A423" s="1" t="s">
        <v>2649</v>
      </c>
      <c r="B423" s="1" t="str" cm="1">
        <f t="array" ref="B423">IF(A423="","",_xlfn.IFS(COUNTIF($U:$U,A423)&gt;0,"All uploaded",COUNTIF($V:$V,A423)&gt;0,"Partly uploaded",COUNTIF($W:$X,A423)&gt;0,"Not uploaded",TRUE,"Not classified"))</f>
        <v>Partly uploaded</v>
      </c>
      <c r="C423" s="1" t="str" cm="1">
        <f t="array" ref="C423">_xlfn.SWITCH(TRIM(I423),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23" s="1" t="s">
        <v>1</v>
      </c>
      <c r="E423" s="1" t="s">
        <v>2</v>
      </c>
      <c r="F423" s="1" t="str" cm="1">
        <f t="array" ref="F423">_xlfn.LET(
_xlpm.status,UPPER(TRIM(B423&amp;"")),
_xlpm.risk,UPPER(TRIM(C423&amp;"")),
_xlpm.notify,UPPER(TRIM(D423&amp;"")),
_xlpm.form,UPPER(TRIM(E423&amp;"")),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423" s="1" t="str">
        <f t="shared" si="6"/>
        <v>NA</v>
      </c>
      <c r="H423" s="5" t="s">
        <v>2652</v>
      </c>
      <c r="I423" s="1" t="s">
        <v>22</v>
      </c>
      <c r="J423" s="1" t="s">
        <v>2654</v>
      </c>
      <c r="K423" s="1" t="s">
        <v>2648</v>
      </c>
      <c r="L423" s="1" t="s">
        <v>22</v>
      </c>
      <c r="M423" s="1" t="s">
        <v>77</v>
      </c>
      <c r="N423" s="1" t="s">
        <v>2611</v>
      </c>
      <c r="O423" s="1" t="s">
        <v>19</v>
      </c>
      <c r="P423" s="1" t="s">
        <v>18</v>
      </c>
      <c r="Q423" s="1" t="s">
        <v>20</v>
      </c>
      <c r="R423" s="1" t="s">
        <v>2140</v>
      </c>
      <c r="S423" s="1">
        <v>12</v>
      </c>
      <c r="T423" s="1" t="s">
        <v>2653</v>
      </c>
    </row>
    <row r="424" spans="1:23">
      <c r="A424" s="1" t="s">
        <v>2630</v>
      </c>
      <c r="B424" s="1" t="str" cm="1">
        <f t="array" ref="B424">IF(A424="","",_xlfn.IFS(COUNTIF($U:$U,A424)&gt;0,"All uploaded",COUNTIF($V:$V,A424)&gt;0,"Partly uploaded",COUNTIF($W:$X,A424)&gt;0,"Not uploaded",TRUE,"Not classified"))</f>
        <v>Partly uploaded</v>
      </c>
      <c r="C424" s="1" t="str" cm="1">
        <f t="array" ref="C424">_xlfn.SWITCH(TRIM(I424),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24" s="1" t="s">
        <v>0</v>
      </c>
      <c r="E424" s="1" t="s">
        <v>3</v>
      </c>
      <c r="F424" s="1" t="str" cm="1">
        <f t="array" ref="F424">_xlfn.LET(
_xlpm.status,UPPER(TRIM(B424&amp;"")),
_xlpm.risk,UPPER(TRIM(C424&amp;"")),
_xlpm.notify,UPPER(TRIM(D424&amp;"")),
_xlpm.form,UPPER(TRIM(E424&amp;"")),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24" s="1" t="str">
        <f t="shared" si="6"/>
        <v>NA</v>
      </c>
      <c r="H424" s="5" t="s">
        <v>2636</v>
      </c>
      <c r="I424" s="1" t="s">
        <v>25</v>
      </c>
      <c r="J424" s="1" t="s">
        <v>2635</v>
      </c>
      <c r="K424" s="1" t="s">
        <v>2629</v>
      </c>
      <c r="L424" s="1" t="s">
        <v>25</v>
      </c>
      <c r="M424" s="1" t="s">
        <v>28</v>
      </c>
      <c r="N424" s="1" t="s">
        <v>104</v>
      </c>
      <c r="O424" s="1" t="s">
        <v>19</v>
      </c>
      <c r="P424" s="1" t="s">
        <v>18</v>
      </c>
      <c r="Q424" s="1" t="s">
        <v>20</v>
      </c>
      <c r="R424" s="1" t="s">
        <v>2634</v>
      </c>
      <c r="S424" s="1">
        <v>4</v>
      </c>
      <c r="T424" s="1" t="s">
        <v>2637</v>
      </c>
    </row>
    <row r="425" spans="1:23">
      <c r="A425" s="1" t="s">
        <v>2630</v>
      </c>
      <c r="B425" s="1" t="str" cm="1">
        <f t="array" ref="B425">IF(A425="","",_xlfn.IFS(COUNTIF($U:$U,A425)&gt;0,"All uploaded",COUNTIF($V:$V,A425)&gt;0,"Partly uploaded",COUNTIF($W:$X,A425)&gt;0,"Not uploaded",TRUE,"Not classified"))</f>
        <v>Partly uploaded</v>
      </c>
      <c r="C425" s="1" t="str" cm="1">
        <f t="array" ref="C425">_xlfn.SWITCH(TRIM(I425),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25" s="1" t="s">
        <v>0</v>
      </c>
      <c r="E425" s="1" t="s">
        <v>4</v>
      </c>
      <c r="F425" s="1" t="str" cm="1">
        <f t="array" ref="F425">_xlfn.LET(
_xlpm.status,UPPER(TRIM(B425&amp;"")),
_xlpm.risk,UPPER(TRIM(C425&amp;"")),
_xlpm.notify,UPPER(TRIM(D425&amp;"")),
_xlpm.form,UPPER(TRIM(E425&amp;"")),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25" s="1" t="str">
        <f t="shared" si="6"/>
        <v>Required</v>
      </c>
      <c r="H425" s="5" t="s">
        <v>2632</v>
      </c>
      <c r="I425" s="1" t="s">
        <v>25</v>
      </c>
      <c r="J425" s="1" t="s">
        <v>2631</v>
      </c>
      <c r="K425" s="1" t="s">
        <v>2629</v>
      </c>
      <c r="L425" s="1" t="s">
        <v>25</v>
      </c>
      <c r="M425" s="1" t="s">
        <v>28</v>
      </c>
      <c r="N425" s="1" t="s">
        <v>104</v>
      </c>
      <c r="O425" s="1" t="s">
        <v>19</v>
      </c>
      <c r="P425" s="1" t="s">
        <v>18</v>
      </c>
      <c r="Q425" s="1" t="s">
        <v>20</v>
      </c>
      <c r="R425" s="1" t="s">
        <v>2622</v>
      </c>
      <c r="S425" s="1">
        <v>4</v>
      </c>
      <c r="T425" s="1" t="s">
        <v>2633</v>
      </c>
    </row>
    <row r="426" spans="1:23">
      <c r="A426" s="1" t="s">
        <v>2639</v>
      </c>
      <c r="B426" s="1" t="str" cm="1">
        <f t="array" ref="B426">IF(A426="","",_xlfn.IFS(COUNTIF($U:$U,A426)&gt;0,"All uploaded",COUNTIF($V:$V,A426)&gt;0,"Partly uploaded",COUNTIF($W:$X,A426)&gt;0,"Not uploaded",TRUE,"Not classified"))</f>
        <v>Partly uploaded</v>
      </c>
      <c r="C426" s="1" t="str" cm="1">
        <f t="array" ref="C426">_xlfn.SWITCH(TRIM(I426),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26" s="1" t="s">
        <v>0</v>
      </c>
      <c r="E426" s="1" t="s">
        <v>3</v>
      </c>
      <c r="F426" s="1" t="str" cm="1">
        <f t="array" ref="F426">_xlfn.LET(
_xlpm.status,UPPER(TRIM(B426&amp;"")),
_xlpm.risk,UPPER(TRIM(C426&amp;"")),
_xlpm.notify,UPPER(TRIM(D426&amp;"")),
_xlpm.form,UPPER(TRIM(E426&amp;"")),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26" s="1" t="str">
        <f t="shared" si="6"/>
        <v>NA</v>
      </c>
      <c r="H426" s="5" t="s">
        <v>2642</v>
      </c>
      <c r="I426" s="1" t="s">
        <v>22</v>
      </c>
      <c r="J426" s="1" t="s">
        <v>2641</v>
      </c>
      <c r="K426" s="1" t="s">
        <v>2638</v>
      </c>
      <c r="L426" s="1" t="s">
        <v>22</v>
      </c>
      <c r="M426" s="1" t="s">
        <v>77</v>
      </c>
      <c r="N426" s="1" t="s">
        <v>2640</v>
      </c>
      <c r="O426" s="1" t="s">
        <v>19</v>
      </c>
      <c r="P426" s="1" t="s">
        <v>18</v>
      </c>
      <c r="Q426" s="1" t="s">
        <v>20</v>
      </c>
      <c r="R426" s="1" t="s">
        <v>895</v>
      </c>
      <c r="S426" s="1">
        <v>5</v>
      </c>
      <c r="T426" s="1" t="s">
        <v>2643</v>
      </c>
    </row>
    <row r="427" spans="1:23">
      <c r="A427" s="1" t="s">
        <v>2644</v>
      </c>
      <c r="B427" s="1" t="str" cm="1">
        <f t="array" ref="B427">IF(A427="","",_xlfn.IFS(COUNTIF($U:$U,A427)&gt;0,"All uploaded",COUNTIF($V:$V,A427)&gt;0,"Partly uploaded",COUNTIF($W:$X,A427)&gt;0,"Not uploaded",TRUE,"Not classified"))</f>
        <v>Partly uploaded</v>
      </c>
      <c r="C427" s="1" t="str" cm="1">
        <f t="array" ref="C427">_xlfn.SWITCH(TRIM(I427),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27" s="1" t="s">
        <v>0</v>
      </c>
      <c r="E427" s="1" t="s">
        <v>3</v>
      </c>
      <c r="F427" s="1" t="str" cm="1">
        <f t="array" ref="F427">_xlfn.LET(
_xlpm.status,UPPER(TRIM(B427&amp;"")),
_xlpm.risk,UPPER(TRIM(C427&amp;"")),
_xlpm.notify,UPPER(TRIM(D427&amp;"")),
_xlpm.form,UPPER(TRIM(E427&amp;"")),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27" s="1" t="str">
        <f t="shared" si="6"/>
        <v>NA</v>
      </c>
      <c r="H427" s="5" t="s">
        <v>2647</v>
      </c>
      <c r="I427" s="1" t="s">
        <v>22</v>
      </c>
      <c r="J427" s="1" t="s">
        <v>2646</v>
      </c>
      <c r="K427" s="1" t="s">
        <v>2638</v>
      </c>
      <c r="L427" s="1" t="s">
        <v>22</v>
      </c>
      <c r="M427" s="1" t="s">
        <v>77</v>
      </c>
      <c r="N427" s="1" t="s">
        <v>2645</v>
      </c>
      <c r="O427" s="1" t="s">
        <v>19</v>
      </c>
      <c r="P427" s="1" t="s">
        <v>18</v>
      </c>
      <c r="Q427" s="1" t="s">
        <v>20</v>
      </c>
      <c r="R427" s="1" t="s">
        <v>895</v>
      </c>
      <c r="S427" s="1">
        <v>1</v>
      </c>
      <c r="T427" s="1" t="s">
        <v>1165</v>
      </c>
    </row>
    <row r="428" spans="1:23">
      <c r="A428" s="1" t="s">
        <v>2655</v>
      </c>
      <c r="B428" s="1" t="str" cm="1">
        <f t="array" ref="B428">IF(A428="","",_xlfn.IFS(COUNTIF($U:$U,A428)&gt;0,"All uploaded",COUNTIF($V:$V,A428)&gt;0,"Partly uploaded",COUNTIF($W:$X,A428)&gt;0,"Not uploaded",TRUE,"Not classified"))</f>
        <v>Partly uploaded</v>
      </c>
      <c r="C428" s="1" t="str" cm="1">
        <f t="array" ref="C428">_xlfn.SWITCH(TRIM(I428),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28" s="1" t="s">
        <v>1</v>
      </c>
      <c r="E428" s="1" t="s">
        <v>3</v>
      </c>
      <c r="F428" s="1" t="str" cm="1">
        <f t="array" ref="F428">_xlfn.LET(
_xlpm.status,UPPER(TRIM(B428&amp;"")),
_xlpm.risk,UPPER(TRIM(C428&amp;"")),
_xlpm.notify,UPPER(TRIM(D428&amp;"")),
_xlpm.form,UPPER(TRIM(E428&amp;"")),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28" s="1" t="str">
        <f t="shared" si="6"/>
        <v>NA</v>
      </c>
      <c r="H428" s="5" t="s">
        <v>2658</v>
      </c>
      <c r="I428" s="1" t="s">
        <v>23</v>
      </c>
      <c r="J428" s="1" t="s">
        <v>2657</v>
      </c>
      <c r="K428" s="1" t="s">
        <v>2648</v>
      </c>
      <c r="L428" s="1" t="s">
        <v>23</v>
      </c>
      <c r="M428" s="1" t="s">
        <v>28</v>
      </c>
      <c r="N428" s="1" t="s">
        <v>2656</v>
      </c>
      <c r="O428" s="1" t="s">
        <v>19</v>
      </c>
      <c r="P428" s="1" t="s">
        <v>18</v>
      </c>
      <c r="Q428" s="1" t="s">
        <v>20</v>
      </c>
      <c r="R428" s="1" t="s">
        <v>2650</v>
      </c>
      <c r="S428" s="1">
        <v>4</v>
      </c>
      <c r="T428" s="1" t="s">
        <v>2659</v>
      </c>
    </row>
    <row r="429" spans="1:23">
      <c r="A429" s="1" t="s">
        <v>2661</v>
      </c>
      <c r="B429" s="1" t="str" cm="1">
        <f t="array" ref="B429">IF(A429="","",_xlfn.IFS(COUNTIF($U:$U,A429)&gt;0,"All uploaded",COUNTIF($V:$V,A429)&gt;0,"Partly uploaded",COUNTIF($W:$X,A429)&gt;0,"Not uploaded",TRUE,"Not classified"))</f>
        <v>All uploaded</v>
      </c>
      <c r="C429" s="1" t="str" cm="1">
        <f t="array" ref="C429">_xlfn.SWITCH(TRIM(I429),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29" s="1" t="s">
        <v>1</v>
      </c>
      <c r="E429" s="1" t="s">
        <v>3</v>
      </c>
      <c r="F429" s="1" t="str" cm="1">
        <f t="array" ref="F429">_xlfn.LET(
_xlpm.status,UPPER(TRIM(B429&amp;"")),
_xlpm.risk,UPPER(TRIM(C429&amp;"")),
_xlpm.notify,UPPER(TRIM(D429&amp;"")),
_xlpm.form,UPPER(TRIM(E429&amp;"")),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29" s="1" t="str">
        <f t="shared" si="6"/>
        <v>NA</v>
      </c>
      <c r="H429" s="5" t="s">
        <v>2665</v>
      </c>
      <c r="I429" s="1" t="s">
        <v>23</v>
      </c>
      <c r="J429" s="1" t="s">
        <v>2664</v>
      </c>
      <c r="K429" s="1" t="s">
        <v>2660</v>
      </c>
      <c r="L429" s="1" t="s">
        <v>23</v>
      </c>
      <c r="M429" s="1" t="s">
        <v>28</v>
      </c>
      <c r="N429" s="1" t="s">
        <v>2662</v>
      </c>
      <c r="O429" s="1" t="s">
        <v>19</v>
      </c>
      <c r="P429" s="1" t="s">
        <v>18</v>
      </c>
      <c r="Q429" s="1" t="s">
        <v>20</v>
      </c>
      <c r="R429" s="1" t="s">
        <v>2663</v>
      </c>
      <c r="S429" s="1">
        <v>4</v>
      </c>
      <c r="T429" s="1" t="s">
        <v>2666</v>
      </c>
    </row>
    <row r="430" spans="1:23">
      <c r="A430" s="1" t="s">
        <v>2667</v>
      </c>
      <c r="B430" s="1" t="str" cm="1">
        <f t="array" ref="B430">IF(A430="","",_xlfn.IFS(COUNTIF($U:$U,A430)&gt;0,"All uploaded",COUNTIF($V:$V,A430)&gt;0,"Partly uploaded",COUNTIF($W:$X,A430)&gt;0,"Not uploaded",TRUE,"Not classified"))</f>
        <v>Partly uploaded</v>
      </c>
      <c r="C430" s="1" t="str" cm="1">
        <f t="array" ref="C430">_xlfn.SWITCH(TRIM(I430),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30" s="1" t="s">
        <v>1</v>
      </c>
      <c r="E430" s="1" t="s">
        <v>4</v>
      </c>
      <c r="F430" s="1" t="str" cm="1">
        <f t="array" ref="F430">_xlfn.LET(
_xlpm.status,UPPER(TRIM(B430&amp;"")),
_xlpm.risk,UPPER(TRIM(C430&amp;"")),
_xlpm.notify,UPPER(TRIM(D430&amp;"")),
_xlpm.form,UPPER(TRIM(E430&amp;"")),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30" s="1" t="str">
        <f t="shared" si="6"/>
        <v>NA</v>
      </c>
      <c r="H430" s="5" t="s">
        <v>2671</v>
      </c>
      <c r="I430" s="1" t="s">
        <v>23</v>
      </c>
      <c r="J430" s="1" t="s">
        <v>2670</v>
      </c>
      <c r="K430" s="1" t="s">
        <v>2660</v>
      </c>
      <c r="L430" s="1" t="s">
        <v>23</v>
      </c>
      <c r="M430" s="1" t="s">
        <v>28</v>
      </c>
      <c r="N430" s="1" t="s">
        <v>2668</v>
      </c>
      <c r="O430" s="1" t="s">
        <v>19</v>
      </c>
      <c r="P430" s="1" t="s">
        <v>18</v>
      </c>
      <c r="Q430" s="1" t="s">
        <v>20</v>
      </c>
      <c r="R430" s="1" t="s">
        <v>2669</v>
      </c>
      <c r="S430" s="1">
        <v>3</v>
      </c>
      <c r="T430" s="1" t="s">
        <v>2672</v>
      </c>
    </row>
    <row r="431" spans="1:23">
      <c r="A431" s="1" t="s">
        <v>2674</v>
      </c>
      <c r="B431" s="1" t="str" cm="1">
        <f t="array" ref="B431">IF(A431="","",_xlfn.IFS(COUNTIF($U:$U,A431)&gt;0,"All uploaded",COUNTIF($V:$V,A431)&gt;0,"Partly uploaded",COUNTIF($W:$X,A431)&gt;0,"Not uploaded",TRUE,"Not classified"))</f>
        <v>Partly uploaded</v>
      </c>
      <c r="C431" s="1" t="str" cm="1">
        <f t="array" ref="C431">_xlfn.SWITCH(TRIM(I431),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31" s="1" t="s">
        <v>1</v>
      </c>
      <c r="E431" s="1" t="s">
        <v>4</v>
      </c>
      <c r="F431" s="1" t="str" cm="1">
        <f t="array" ref="F431">_xlfn.LET(
_xlpm.status,UPPER(TRIM(B431&amp;"")),
_xlpm.risk,UPPER(TRIM(C431&amp;"")),
_xlpm.notify,UPPER(TRIM(D431&amp;"")),
_xlpm.form,UPPER(TRIM(E431&amp;"")),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31" s="1" t="str">
        <f t="shared" si="6"/>
        <v>NA</v>
      </c>
      <c r="H431" s="5" t="s">
        <v>2677</v>
      </c>
      <c r="I431" s="1" t="s">
        <v>48</v>
      </c>
      <c r="J431" s="1" t="s">
        <v>2676</v>
      </c>
      <c r="K431" s="1" t="s">
        <v>2673</v>
      </c>
      <c r="L431" s="1" t="s">
        <v>48</v>
      </c>
      <c r="M431" s="1" t="s">
        <v>28</v>
      </c>
      <c r="N431" s="1" t="s">
        <v>2675</v>
      </c>
      <c r="O431" s="1" t="s">
        <v>19</v>
      </c>
      <c r="P431" s="1" t="s">
        <v>18</v>
      </c>
      <c r="Q431" s="1" t="s">
        <v>20</v>
      </c>
      <c r="R431" s="1" t="s">
        <v>2591</v>
      </c>
      <c r="S431" s="1">
        <v>6</v>
      </c>
      <c r="T431" s="1" t="s">
        <v>2678</v>
      </c>
    </row>
    <row r="432" spans="1:23">
      <c r="A432" s="1" t="s">
        <v>2679</v>
      </c>
      <c r="B432" s="1" t="str" cm="1">
        <f t="array" ref="B432">IF(A432="","",_xlfn.IFS(COUNTIF($U:$U,A432)&gt;0,"All uploaded",COUNTIF($V:$V,A432)&gt;0,"Partly uploaded",COUNTIF($W:$X,A432)&gt;0,"Not uploaded",TRUE,"Not classified"))</f>
        <v>All uploaded</v>
      </c>
      <c r="C432" s="1" t="str" cm="1">
        <f t="array" ref="C432">_xlfn.SWITCH(TRIM(I432),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32" s="1" t="s">
        <v>1</v>
      </c>
      <c r="E432" s="1" t="s">
        <v>2</v>
      </c>
      <c r="F432" s="1" t="str" cm="1">
        <f t="array" ref="F432">_xlfn.LET(
_xlpm.status,UPPER(TRIM(B432&amp;"")),
_xlpm.risk,UPPER(TRIM(C432&amp;"")),
_xlpm.notify,UPPER(TRIM(D432&amp;"")),
_xlpm.form,UPPER(TRIM(E432&amp;"")),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432" s="1" t="str">
        <f t="shared" si="6"/>
        <v>NA</v>
      </c>
      <c r="H432" s="5" t="s">
        <v>2682</v>
      </c>
      <c r="I432" s="1" t="s">
        <v>23</v>
      </c>
      <c r="J432" s="1" t="s">
        <v>2681</v>
      </c>
      <c r="K432" s="1" t="s">
        <v>2673</v>
      </c>
      <c r="L432" s="1" t="s">
        <v>23</v>
      </c>
      <c r="M432" s="1" t="s">
        <v>28</v>
      </c>
      <c r="N432" s="1" t="s">
        <v>2680</v>
      </c>
      <c r="O432" s="1" t="s">
        <v>19</v>
      </c>
      <c r="P432" s="1" t="s">
        <v>18</v>
      </c>
      <c r="Q432" s="1" t="s">
        <v>20</v>
      </c>
      <c r="R432" s="1" t="s">
        <v>1526</v>
      </c>
      <c r="S432" s="1">
        <v>2</v>
      </c>
      <c r="T432" s="1" t="s">
        <v>2683</v>
      </c>
    </row>
    <row r="433" spans="1:20">
      <c r="A433" s="1" t="s">
        <v>2693</v>
      </c>
      <c r="B433" s="1" t="str" cm="1">
        <f t="array" ref="B433">IF(A433="","",_xlfn.IFS(COUNTIF($U:$U,A433)&gt;0,"All uploaded",COUNTIF($V:$V,A433)&gt;0,"Partly uploaded",COUNTIF($W:$X,A433)&gt;0,"Not uploaded",TRUE,"Not classified"))</f>
        <v>Partly uploaded</v>
      </c>
      <c r="C433" s="1" t="str" cm="1">
        <f t="array" ref="C433">_xlfn.SWITCH(TRIM(I433),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33" s="1" t="s">
        <v>1</v>
      </c>
      <c r="E433" s="1" t="s">
        <v>3</v>
      </c>
      <c r="F433" s="1" t="str" cm="1">
        <f t="array" ref="F433">_xlfn.LET(
_xlpm.status,UPPER(TRIM(B433&amp;"")),
_xlpm.risk,UPPER(TRIM(C433&amp;"")),
_xlpm.notify,UPPER(TRIM(D433&amp;"")),
_xlpm.form,UPPER(TRIM(E433&amp;"")),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33" s="1" t="str">
        <f t="shared" si="6"/>
        <v>NA</v>
      </c>
      <c r="H433" s="5" t="s">
        <v>2696</v>
      </c>
      <c r="I433" s="1" t="s">
        <v>23</v>
      </c>
      <c r="J433" s="1" t="s">
        <v>2695</v>
      </c>
      <c r="K433" s="1" t="s">
        <v>2692</v>
      </c>
      <c r="L433" s="1" t="s">
        <v>23</v>
      </c>
      <c r="M433" s="1" t="s">
        <v>28</v>
      </c>
      <c r="N433" s="1" t="s">
        <v>2694</v>
      </c>
      <c r="O433" s="1" t="s">
        <v>19</v>
      </c>
      <c r="P433" s="1" t="s">
        <v>18</v>
      </c>
      <c r="Q433" s="1" t="s">
        <v>20</v>
      </c>
      <c r="R433" s="1" t="s">
        <v>2184</v>
      </c>
      <c r="S433" s="1">
        <v>1</v>
      </c>
      <c r="T433" s="1" t="s">
        <v>2697</v>
      </c>
    </row>
    <row r="434" spans="1:20">
      <c r="A434" s="1" t="s">
        <v>2699</v>
      </c>
      <c r="B434" s="1" t="str" cm="1">
        <f t="array" ref="B434">IF(A434="","",_xlfn.IFS(COUNTIF($U:$U,A434)&gt;0,"All uploaded",COUNTIF($V:$V,A434)&gt;0,"Partly uploaded",COUNTIF($W:$X,A434)&gt;0,"Not uploaded",TRUE,"Not classified"))</f>
        <v>Partly uploaded</v>
      </c>
      <c r="C434" s="1" t="str" cm="1">
        <f t="array" ref="C434">_xlfn.SWITCH(TRIM(I434),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34" s="1" t="s">
        <v>1</v>
      </c>
      <c r="E434" s="1" t="s">
        <v>4</v>
      </c>
      <c r="F434" s="1" t="str" cm="1">
        <f t="array" ref="F434">_xlfn.LET(
_xlpm.status,UPPER(TRIM(B434&amp;"")),
_xlpm.risk,UPPER(TRIM(C434&amp;"")),
_xlpm.notify,UPPER(TRIM(D434&amp;"")),
_xlpm.form,UPPER(TRIM(E434&amp;"")),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34" s="1" t="str">
        <f t="shared" si="6"/>
        <v>NA</v>
      </c>
      <c r="H434" s="5" t="s">
        <v>2703</v>
      </c>
      <c r="I434" s="1" t="s">
        <v>23</v>
      </c>
      <c r="J434" s="1" t="s">
        <v>2702</v>
      </c>
      <c r="K434" s="1" t="s">
        <v>2698</v>
      </c>
      <c r="L434" s="1" t="s">
        <v>23</v>
      </c>
      <c r="M434" s="1" t="s">
        <v>28</v>
      </c>
      <c r="N434" s="1" t="s">
        <v>2700</v>
      </c>
      <c r="O434" s="1" t="s">
        <v>19</v>
      </c>
      <c r="P434" s="1" t="s">
        <v>18</v>
      </c>
      <c r="Q434" s="1" t="s">
        <v>20</v>
      </c>
      <c r="R434" s="1" t="s">
        <v>2701</v>
      </c>
      <c r="S434" s="1">
        <v>13</v>
      </c>
      <c r="T434" s="1" t="s">
        <v>2704</v>
      </c>
    </row>
    <row r="435" spans="1:20">
      <c r="A435" s="1" t="s">
        <v>2687</v>
      </c>
      <c r="B435" s="1" t="str" cm="1">
        <f t="array" ref="B435">IF(A435="","",_xlfn.IFS(COUNTIF($U:$U,A435)&gt;0,"All uploaded",COUNTIF($V:$V,A435)&gt;0,"Partly uploaded",COUNTIF($W:$X,A435)&gt;0,"Not uploaded",TRUE,"Not classified"))</f>
        <v>Partly uploaded</v>
      </c>
      <c r="C435" s="1" t="str" cm="1">
        <f t="array" ref="C435">_xlfn.SWITCH(TRIM(I435),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35" s="1" t="s">
        <v>1</v>
      </c>
      <c r="E435" s="1" t="s">
        <v>4</v>
      </c>
      <c r="F435" s="1" t="str" cm="1">
        <f t="array" ref="F435">_xlfn.LET(
_xlpm.status,UPPER(TRIM(B435&amp;"")),
_xlpm.risk,UPPER(TRIM(C435&amp;"")),
_xlpm.notify,UPPER(TRIM(D435&amp;"")),
_xlpm.form,UPPER(TRIM(E435&amp;"")),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35" s="1" t="str">
        <f t="shared" si="6"/>
        <v>NA</v>
      </c>
      <c r="H435" s="5" t="s">
        <v>2690</v>
      </c>
      <c r="I435" s="1" t="s">
        <v>48</v>
      </c>
      <c r="J435" s="1" t="s">
        <v>2689</v>
      </c>
      <c r="K435" s="1" t="s">
        <v>2686</v>
      </c>
      <c r="L435" s="1" t="s">
        <v>48</v>
      </c>
      <c r="M435" s="1" t="s">
        <v>28</v>
      </c>
      <c r="N435" s="1" t="s">
        <v>2688</v>
      </c>
      <c r="O435" s="1" t="s">
        <v>19</v>
      </c>
      <c r="P435" s="1" t="s">
        <v>18</v>
      </c>
      <c r="Q435" s="1" t="s">
        <v>20</v>
      </c>
      <c r="R435" s="1" t="s">
        <v>2669</v>
      </c>
      <c r="S435" s="1">
        <v>3</v>
      </c>
      <c r="T435" s="1" t="s">
        <v>2691</v>
      </c>
    </row>
    <row r="436" spans="1:20">
      <c r="A436" s="1" t="s">
        <v>2706</v>
      </c>
      <c r="B436" s="1" t="str" cm="1">
        <f t="array" ref="B436">IF(A436="","",_xlfn.IFS(COUNTIF($U:$U,A436)&gt;0,"All uploaded",COUNTIF($V:$V,A436)&gt;0,"Partly uploaded",COUNTIF($W:$X,A436)&gt;0,"Not uploaded",TRUE,"Not classified"))</f>
        <v>Partly uploaded</v>
      </c>
      <c r="C436" s="1" t="str" cm="1">
        <f t="array" ref="C436">_xlfn.SWITCH(TRIM(I436),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36" s="1" t="s">
        <v>1</v>
      </c>
      <c r="E436" s="1" t="s">
        <v>3</v>
      </c>
      <c r="F436" s="1" t="str" cm="1">
        <f t="array" ref="F436">_xlfn.LET(
_xlpm.status,UPPER(TRIM(B436&amp;"")),
_xlpm.risk,UPPER(TRIM(C436&amp;"")),
_xlpm.notify,UPPER(TRIM(D436&amp;"")),
_xlpm.form,UPPER(TRIM(E436&amp;"")),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436" s="1" t="str">
        <f t="shared" si="6"/>
        <v>NA</v>
      </c>
      <c r="H436" s="5" t="s">
        <v>2710</v>
      </c>
      <c r="I436" s="1" t="s">
        <v>10</v>
      </c>
      <c r="J436" s="1" t="s">
        <v>2709</v>
      </c>
      <c r="K436" s="1" t="s">
        <v>2705</v>
      </c>
      <c r="L436" s="1" t="s">
        <v>10</v>
      </c>
      <c r="M436" s="1" t="s">
        <v>75</v>
      </c>
      <c r="N436" s="1" t="s">
        <v>2707</v>
      </c>
      <c r="O436" s="1" t="s">
        <v>19</v>
      </c>
      <c r="P436" s="1" t="s">
        <v>18</v>
      </c>
      <c r="Q436" s="1" t="s">
        <v>20</v>
      </c>
      <c r="R436" s="1" t="s">
        <v>2708</v>
      </c>
      <c r="S436" s="1">
        <v>15</v>
      </c>
      <c r="T436" s="1" t="s">
        <v>2711</v>
      </c>
    </row>
    <row r="437" spans="1:20">
      <c r="A437" s="1" t="s">
        <v>2712</v>
      </c>
      <c r="B437" s="1" t="str" cm="1">
        <f t="array" ref="B437">IF(A437="","",_xlfn.IFS(COUNTIF($U:$U,A437)&gt;0,"All uploaded",COUNTIF($V:$V,A437)&gt;0,"Partly uploaded",COUNTIF($W:$X,A437)&gt;0,"Not uploaded",TRUE,"Not classified"))</f>
        <v>All uploaded</v>
      </c>
      <c r="C437" s="1" t="str" cm="1">
        <f t="array" ref="C437">_xlfn.SWITCH(TRIM(I437),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37" s="1" t="s">
        <v>0</v>
      </c>
      <c r="E437" s="1" t="s">
        <v>2</v>
      </c>
      <c r="F437" s="1" t="str" cm="1">
        <f t="array" ref="F437">_xlfn.LET(
_xlpm.status,UPPER(TRIM(B437&amp;"")),
_xlpm.risk,UPPER(TRIM(C437&amp;"")),
_xlpm.notify,UPPER(TRIM(D437&amp;"")),
_xlpm.form,UPPER(TRIM(E437&amp;"")),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437" s="1" t="str">
        <f t="shared" si="6"/>
        <v>NA</v>
      </c>
      <c r="H437" s="5" t="s">
        <v>2716</v>
      </c>
      <c r="I437" s="1" t="s">
        <v>25</v>
      </c>
      <c r="J437" s="1" t="s">
        <v>2715</v>
      </c>
      <c r="K437" s="1" t="s">
        <v>2705</v>
      </c>
      <c r="L437" s="1" t="s">
        <v>25</v>
      </c>
      <c r="M437" s="1" t="s">
        <v>28</v>
      </c>
      <c r="N437" s="1" t="s">
        <v>2713</v>
      </c>
      <c r="O437" s="1" t="s">
        <v>19</v>
      </c>
      <c r="P437" s="1" t="s">
        <v>18</v>
      </c>
      <c r="Q437" s="1" t="s">
        <v>20</v>
      </c>
      <c r="R437" s="1" t="s">
        <v>2714</v>
      </c>
      <c r="S437" s="1">
        <v>1</v>
      </c>
      <c r="T437" s="1" t="s">
        <v>2717</v>
      </c>
    </row>
    <row r="438" spans="1:20">
      <c r="A438" s="1" t="s">
        <v>2719</v>
      </c>
      <c r="B438" s="1" t="str" cm="1">
        <f t="array" ref="B438">IF(A438="","",_xlfn.IFS(COUNTIF($U:$U,A438)&gt;0,"All uploaded",COUNTIF($V:$V,A438)&gt;0,"Partly uploaded",COUNTIF($W:$X,A438)&gt;0,"Not uploaded",TRUE,"Not classified"))</f>
        <v>All uploaded</v>
      </c>
      <c r="C438" s="1" t="str" cm="1">
        <f t="array" ref="C438">_xlfn.SWITCH(TRIM(I438),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38" s="1" t="s">
        <v>1</v>
      </c>
      <c r="E438" s="1" t="s">
        <v>4</v>
      </c>
      <c r="F438" s="1" t="str" cm="1">
        <f t="array" ref="F438">_xlfn.LET(
_xlpm.status,UPPER(TRIM(B438&amp;"")),
_xlpm.risk,UPPER(TRIM(C438&amp;"")),
_xlpm.notify,UPPER(TRIM(D438&amp;"")),
_xlpm.form,UPPER(TRIM(E438&amp;"")),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38" s="1" t="str">
        <f t="shared" si="6"/>
        <v>NA</v>
      </c>
      <c r="H438" s="5" t="s">
        <v>2723</v>
      </c>
      <c r="I438" s="1" t="s">
        <v>22</v>
      </c>
      <c r="J438" s="1" t="s">
        <v>2722</v>
      </c>
      <c r="K438" s="1" t="s">
        <v>2718</v>
      </c>
      <c r="L438" s="1" t="s">
        <v>22</v>
      </c>
      <c r="M438" s="1" t="s">
        <v>77</v>
      </c>
      <c r="N438" s="1" t="s">
        <v>2720</v>
      </c>
      <c r="O438" s="1" t="s">
        <v>19</v>
      </c>
      <c r="P438" s="1" t="s">
        <v>18</v>
      </c>
      <c r="Q438" s="1" t="s">
        <v>20</v>
      </c>
      <c r="R438" s="1" t="s">
        <v>2721</v>
      </c>
      <c r="S438" s="1">
        <v>1</v>
      </c>
      <c r="T438" s="1" t="s">
        <v>2724</v>
      </c>
    </row>
    <row r="439" spans="1:20">
      <c r="A439" s="1" t="s">
        <v>2731</v>
      </c>
      <c r="B439" s="1" t="str" cm="1">
        <f t="array" ref="B439">IF(A439="","",_xlfn.IFS(COUNTIF($U:$U,A439)&gt;0,"All uploaded",COUNTIF($V:$V,A439)&gt;0,"Partly uploaded",COUNTIF($W:$X,A439)&gt;0,"Not uploaded",TRUE,"Not classified"))</f>
        <v>Partly uploaded</v>
      </c>
      <c r="C439" s="1" t="str" cm="1">
        <f t="array" ref="C439">_xlfn.SWITCH(TRIM(I439),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39" s="1" t="s">
        <v>0</v>
      </c>
      <c r="E439" s="1" t="s">
        <v>3</v>
      </c>
      <c r="F439" s="1" t="str" cm="1">
        <f t="array" ref="F439">_xlfn.LET(
_xlpm.status,UPPER(TRIM(B439&amp;"")),
_xlpm.risk,UPPER(TRIM(C439&amp;"")),
_xlpm.notify,UPPER(TRIM(D439&amp;"")),
_xlpm.form,UPPER(TRIM(E439&amp;"")),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39" s="1" t="str">
        <f t="shared" si="6"/>
        <v>NA</v>
      </c>
      <c r="H439" s="5" t="s">
        <v>2733</v>
      </c>
      <c r="I439" s="1" t="s">
        <v>27</v>
      </c>
      <c r="J439" s="1" t="s">
        <v>2732</v>
      </c>
      <c r="K439" s="1" t="s">
        <v>2725</v>
      </c>
      <c r="L439" s="1" t="s">
        <v>27</v>
      </c>
      <c r="M439" s="1" t="s">
        <v>28</v>
      </c>
      <c r="N439" s="1" t="s">
        <v>2599</v>
      </c>
      <c r="O439" s="1" t="s">
        <v>19</v>
      </c>
      <c r="P439" s="1" t="s">
        <v>18</v>
      </c>
      <c r="Q439" s="1" t="s">
        <v>20</v>
      </c>
      <c r="R439" s="1" t="s">
        <v>2602</v>
      </c>
      <c r="S439" s="1">
        <v>3</v>
      </c>
      <c r="T439" s="1" t="s">
        <v>2734</v>
      </c>
    </row>
    <row r="440" spans="1:20">
      <c r="A440" s="1" t="s">
        <v>2739</v>
      </c>
      <c r="B440" s="1" t="str" cm="1">
        <f t="array" ref="B440">IF(A440="","",_xlfn.IFS(COUNTIF($U:$U,A440)&gt;0,"All uploaded",COUNTIF($V:$V,A440)&gt;0,"Partly uploaded",COUNTIF($W:$X,A440)&gt;0,"Not uploaded",TRUE,"Not classified"))</f>
        <v>All uploaded</v>
      </c>
      <c r="C440" s="1" t="str" cm="1">
        <f t="array" ref="C440">_xlfn.SWITCH(TRIM(I440),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40" s="1" t="s">
        <v>1</v>
      </c>
      <c r="E440" s="1" t="s">
        <v>2</v>
      </c>
      <c r="F440" s="1" t="str" cm="1">
        <f t="array" ref="F440">_xlfn.LET(
_xlpm.status,UPPER(TRIM(B440&amp;"")),
_xlpm.risk,UPPER(TRIM(C440&amp;"")),
_xlpm.notify,UPPER(TRIM(D440&amp;"")),
_xlpm.form,UPPER(TRIM(E440&amp;"")),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440" s="1" t="str">
        <f t="shared" si="6"/>
        <v>NA</v>
      </c>
      <c r="H440" s="5" t="s">
        <v>2742</v>
      </c>
      <c r="I440" s="1" t="s">
        <v>22</v>
      </c>
      <c r="J440" s="1" t="s">
        <v>2741</v>
      </c>
      <c r="K440" s="1" t="s">
        <v>2738</v>
      </c>
      <c r="L440" s="1" t="s">
        <v>22</v>
      </c>
      <c r="M440" s="1" t="s">
        <v>77</v>
      </c>
      <c r="N440" s="1" t="s">
        <v>2495</v>
      </c>
      <c r="O440" s="1" t="s">
        <v>19</v>
      </c>
      <c r="P440" s="1" t="s">
        <v>18</v>
      </c>
      <c r="Q440" s="1" t="s">
        <v>20</v>
      </c>
      <c r="R440" s="1" t="s">
        <v>2740</v>
      </c>
      <c r="S440" s="1">
        <v>1</v>
      </c>
      <c r="T440" s="1" t="s">
        <v>2498</v>
      </c>
    </row>
    <row r="441" spans="1:20">
      <c r="A441" s="1" t="s">
        <v>2744</v>
      </c>
      <c r="B441" s="1" t="str" cm="1">
        <f t="array" ref="B441">IF(A441="","",_xlfn.IFS(COUNTIF($U:$U,A441)&gt;0,"All uploaded",COUNTIF($V:$V,A441)&gt;0,"Partly uploaded",COUNTIF($W:$X,A441)&gt;0,"Not uploaded",TRUE,"Not classified"))</f>
        <v>Partly uploaded</v>
      </c>
      <c r="C441" s="1" t="str" cm="1">
        <f t="array" ref="C441">_xlfn.SWITCH(TRIM(I441),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41" s="1" t="s">
        <v>0</v>
      </c>
      <c r="E441" s="1" t="s">
        <v>4</v>
      </c>
      <c r="F441" s="1" t="str" cm="1">
        <f t="array" ref="F441">_xlfn.LET(
_xlpm.status,UPPER(TRIM(B441&amp;"")),
_xlpm.risk,UPPER(TRIM(C441&amp;"")),
_xlpm.notify,UPPER(TRIM(D441&amp;"")),
_xlpm.form,UPPER(TRIM(E441&amp;"")),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41" s="1" t="str">
        <f t="shared" si="6"/>
        <v>NA</v>
      </c>
      <c r="H441" s="5" t="s">
        <v>2747</v>
      </c>
      <c r="I441" s="1" t="s">
        <v>23</v>
      </c>
      <c r="J441" s="1" t="s">
        <v>2746</v>
      </c>
      <c r="K441" s="1" t="s">
        <v>2743</v>
      </c>
      <c r="L441" s="1" t="s">
        <v>23</v>
      </c>
      <c r="M441" s="1" t="s">
        <v>28</v>
      </c>
      <c r="N441" s="1" t="s">
        <v>1920</v>
      </c>
      <c r="O441" s="1" t="s">
        <v>19</v>
      </c>
      <c r="P441" s="1" t="s">
        <v>18</v>
      </c>
      <c r="Q441" s="1" t="s">
        <v>20</v>
      </c>
      <c r="R441" s="1" t="s">
        <v>2745</v>
      </c>
      <c r="S441" s="1">
        <v>20</v>
      </c>
      <c r="T441" s="1" t="s">
        <v>2748</v>
      </c>
    </row>
    <row r="442" spans="1:20">
      <c r="A442" s="1" t="s">
        <v>2744</v>
      </c>
      <c r="B442" s="1" t="str" cm="1">
        <f t="array" ref="B442">IF(A442="","",_xlfn.IFS(COUNTIF($U:$U,A442)&gt;0,"All uploaded",COUNTIF($V:$V,A442)&gt;0,"Partly uploaded",COUNTIF($W:$X,A442)&gt;0,"Not uploaded",TRUE,"Not classified"))</f>
        <v>Partly uploaded</v>
      </c>
      <c r="C442" s="1" t="str" cm="1">
        <f t="array" ref="C442">_xlfn.SWITCH(TRIM(I442),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42" s="1" t="s">
        <v>1</v>
      </c>
      <c r="E442" s="1" t="s">
        <v>3</v>
      </c>
      <c r="F442" s="1" t="str" cm="1">
        <f t="array" ref="F442">_xlfn.LET(
_xlpm.status,UPPER(TRIM(B442&amp;"")),
_xlpm.risk,UPPER(TRIM(C442&amp;"")),
_xlpm.notify,UPPER(TRIM(D442&amp;"")),
_xlpm.form,UPPER(TRIM(E442&amp;"")),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42" s="1" t="str">
        <f t="shared" si="6"/>
        <v>NA</v>
      </c>
      <c r="H442" s="5" t="s">
        <v>2750</v>
      </c>
      <c r="I442" s="1" t="s">
        <v>23</v>
      </c>
      <c r="J442" s="1" t="s">
        <v>2749</v>
      </c>
      <c r="K442" s="1" t="s">
        <v>2743</v>
      </c>
      <c r="L442" s="1" t="s">
        <v>23</v>
      </c>
      <c r="M442" s="1" t="s">
        <v>28</v>
      </c>
      <c r="N442" s="1" t="s">
        <v>1920</v>
      </c>
      <c r="O442" s="1" t="s">
        <v>19</v>
      </c>
      <c r="P442" s="1" t="s">
        <v>18</v>
      </c>
      <c r="Q442" s="1" t="s">
        <v>20</v>
      </c>
      <c r="R442" s="1" t="s">
        <v>1539</v>
      </c>
      <c r="S442" s="1">
        <v>20</v>
      </c>
      <c r="T442" s="1" t="s">
        <v>2748</v>
      </c>
    </row>
    <row r="443" spans="1:20">
      <c r="A443" s="1" t="s">
        <v>2754</v>
      </c>
      <c r="B443" s="1" t="str" cm="1">
        <f t="array" ref="B443">IF(A443="","",_xlfn.IFS(COUNTIF($U:$U,A443)&gt;0,"All uploaded",COUNTIF($V:$V,A443)&gt;0,"Partly uploaded",COUNTIF($W:$X,A443)&gt;0,"Not uploaded",TRUE,"Not classified"))</f>
        <v>Partly uploaded</v>
      </c>
      <c r="C443" s="1" t="str" cm="1">
        <f t="array" ref="C443">_xlfn.SWITCH(TRIM(I443),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43" s="1" t="s">
        <v>0</v>
      </c>
      <c r="E443" s="1" t="s">
        <v>3</v>
      </c>
      <c r="F443" s="1" t="str" cm="1">
        <f t="array" ref="F443">_xlfn.LET(
_xlpm.status,UPPER(TRIM(B443&amp;"")),
_xlpm.risk,UPPER(TRIM(C443&amp;"")),
_xlpm.notify,UPPER(TRIM(D443&amp;"")),
_xlpm.form,UPPER(TRIM(E443&amp;"")),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43" s="1" t="str">
        <f t="shared" si="6"/>
        <v>NA</v>
      </c>
      <c r="H443" s="5" t="s">
        <v>2756</v>
      </c>
      <c r="I443" s="1" t="s">
        <v>27</v>
      </c>
      <c r="J443" s="1" t="s">
        <v>2755</v>
      </c>
      <c r="K443" s="1" t="s">
        <v>2751</v>
      </c>
      <c r="L443" s="1" t="s">
        <v>27</v>
      </c>
      <c r="M443" s="1" t="s">
        <v>28</v>
      </c>
      <c r="N443" s="1" t="s">
        <v>2341</v>
      </c>
      <c r="O443" s="1" t="s">
        <v>19</v>
      </c>
      <c r="P443" s="1" t="s">
        <v>18</v>
      </c>
      <c r="Q443" s="1" t="s">
        <v>20</v>
      </c>
      <c r="R443" s="1" t="s">
        <v>116</v>
      </c>
      <c r="S443" s="1">
        <v>3</v>
      </c>
      <c r="T443" s="1" t="s">
        <v>2757</v>
      </c>
    </row>
    <row r="444" spans="1:20">
      <c r="A444" s="1" t="s">
        <v>2752</v>
      </c>
      <c r="B444" s="1" t="str" cm="1">
        <f t="array" ref="B444">IF(A444="","",_xlfn.IFS(COUNTIF($U:$U,A444)&gt;0,"All uploaded",COUNTIF($V:$V,A444)&gt;0,"Partly uploaded",COUNTIF($W:$X,A444)&gt;0,"Not uploaded",TRUE,"Not classified"))</f>
        <v>Partly uploaded</v>
      </c>
      <c r="C444" s="1" t="str" cm="1">
        <f t="array" ref="C444">_xlfn.SWITCH(TRIM(I444),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44" s="1" t="s">
        <v>0</v>
      </c>
      <c r="E444" s="1" t="s">
        <v>3</v>
      </c>
      <c r="F444" s="1" t="str" cm="1">
        <f t="array" ref="F444">_xlfn.LET(
_xlpm.status,UPPER(TRIM(B444&amp;"")),
_xlpm.risk,UPPER(TRIM(C444&amp;"")),
_xlpm.notify,UPPER(TRIM(D444&amp;"")),
_xlpm.form,UPPER(TRIM(E444&amp;"")),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44" s="1" t="str">
        <f t="shared" si="6"/>
        <v>NA</v>
      </c>
      <c r="H444" s="5" t="s">
        <v>2760</v>
      </c>
      <c r="I444" s="1" t="s">
        <v>25</v>
      </c>
      <c r="J444" s="1" t="s">
        <v>2759</v>
      </c>
      <c r="K444" s="1" t="s">
        <v>2751</v>
      </c>
      <c r="L444" s="1" t="s">
        <v>25</v>
      </c>
      <c r="M444" s="1" t="s">
        <v>75</v>
      </c>
      <c r="N444" s="1" t="s">
        <v>2753</v>
      </c>
      <c r="O444" s="1" t="s">
        <v>19</v>
      </c>
      <c r="P444" s="1" t="s">
        <v>18</v>
      </c>
      <c r="Q444" s="1" t="s">
        <v>20</v>
      </c>
      <c r="R444" s="1" t="s">
        <v>2758</v>
      </c>
      <c r="S444" s="1">
        <v>1</v>
      </c>
      <c r="T444" s="1" t="s">
        <v>2761</v>
      </c>
    </row>
    <row r="445" spans="1:20">
      <c r="A445" s="1" t="s">
        <v>2763</v>
      </c>
      <c r="B445" s="1" t="str" cm="1">
        <f t="array" ref="B445">IF(A445="","",_xlfn.IFS(COUNTIF($U:$U,A445)&gt;0,"All uploaded",COUNTIF($V:$V,A445)&gt;0,"Partly uploaded",COUNTIF($W:$X,A445)&gt;0,"Not uploaded",TRUE,"Not classified"))</f>
        <v>Partly uploaded</v>
      </c>
      <c r="C445" s="1" t="str" cm="1">
        <f t="array" ref="C445">_xlfn.SWITCH(TRIM(I445),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45" s="1" t="s">
        <v>0</v>
      </c>
      <c r="E445" s="1" t="s">
        <v>4</v>
      </c>
      <c r="F445" s="1" t="str" cm="1">
        <f t="array" ref="F445">_xlfn.LET(
_xlpm.status,UPPER(TRIM(B445&amp;"")),
_xlpm.risk,UPPER(TRIM(C445&amp;"")),
_xlpm.notify,UPPER(TRIM(D445&amp;"")),
_xlpm.form,UPPER(TRIM(E445&amp;"")),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45" s="1" t="str">
        <f t="shared" si="6"/>
        <v>Required</v>
      </c>
      <c r="H445" s="5" t="s">
        <v>2767</v>
      </c>
      <c r="I445" s="1" t="s">
        <v>25</v>
      </c>
      <c r="J445" s="1" t="s">
        <v>2766</v>
      </c>
      <c r="K445" s="1" t="s">
        <v>2762</v>
      </c>
      <c r="L445" s="1" t="s">
        <v>25</v>
      </c>
      <c r="M445" s="1" t="s">
        <v>77</v>
      </c>
      <c r="N445" s="1" t="s">
        <v>2764</v>
      </c>
      <c r="O445" s="1" t="s">
        <v>19</v>
      </c>
      <c r="P445" s="1" t="s">
        <v>18</v>
      </c>
      <c r="Q445" s="1" t="s">
        <v>20</v>
      </c>
      <c r="R445" s="1" t="s">
        <v>2765</v>
      </c>
      <c r="S445" s="1">
        <v>3</v>
      </c>
      <c r="T445" s="1" t="s">
        <v>2768</v>
      </c>
    </row>
    <row r="446" spans="1:20">
      <c r="A446" s="1" t="s">
        <v>2772</v>
      </c>
      <c r="B446" s="1" t="str" cm="1">
        <f t="array" ref="B446">IF(A446="","",_xlfn.IFS(COUNTIF($U:$U,A446)&gt;0,"All uploaded",COUNTIF($V:$V,A446)&gt;0,"Partly uploaded",COUNTIF($W:$X,A446)&gt;0,"Not uploaded",TRUE,"Not classified"))</f>
        <v>Partly uploaded</v>
      </c>
      <c r="C446" s="1" t="str" cm="1">
        <f t="array" ref="C446">_xlfn.SWITCH(TRIM(I446),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46" s="1" t="s">
        <v>1</v>
      </c>
      <c r="E446" s="1" t="s">
        <v>3</v>
      </c>
      <c r="F446" s="1" t="str" cm="1">
        <f t="array" ref="F446">_xlfn.LET(
_xlpm.status,UPPER(TRIM(B446&amp;"")),
_xlpm.risk,UPPER(TRIM(C446&amp;"")),
_xlpm.notify,UPPER(TRIM(D446&amp;"")),
_xlpm.form,UPPER(TRIM(E446&amp;"")),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46" s="1" t="str">
        <f t="shared" si="6"/>
        <v>NA</v>
      </c>
      <c r="H446" s="5" t="s">
        <v>2776</v>
      </c>
      <c r="I446" s="1" t="s">
        <v>23</v>
      </c>
      <c r="J446" s="1" t="s">
        <v>2775</v>
      </c>
      <c r="K446" s="1" t="s">
        <v>2771</v>
      </c>
      <c r="L446" s="1" t="s">
        <v>23</v>
      </c>
      <c r="M446" s="1" t="s">
        <v>28</v>
      </c>
      <c r="N446" s="1" t="s">
        <v>2773</v>
      </c>
      <c r="O446" s="1" t="s">
        <v>19</v>
      </c>
      <c r="P446" s="1" t="s">
        <v>18</v>
      </c>
      <c r="Q446" s="1" t="s">
        <v>20</v>
      </c>
      <c r="R446" s="1" t="s">
        <v>2774</v>
      </c>
      <c r="S446" s="1">
        <v>5</v>
      </c>
      <c r="T446" s="1" t="s">
        <v>2777</v>
      </c>
    </row>
    <row r="447" spans="1:20">
      <c r="A447" s="1" t="s">
        <v>2778</v>
      </c>
      <c r="B447" s="1" t="str" cm="1">
        <f t="array" ref="B447">IF(A447="","",_xlfn.IFS(COUNTIF($U:$U,A447)&gt;0,"All uploaded",COUNTIF($V:$V,A447)&gt;0,"Partly uploaded",COUNTIF($W:$X,A447)&gt;0,"Not uploaded",TRUE,"Not classified"))</f>
        <v>Partly uploaded</v>
      </c>
      <c r="C447" s="1" t="str" cm="1">
        <f t="array" ref="C447">_xlfn.SWITCH(TRIM(I447),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47" s="1" t="s">
        <v>1</v>
      </c>
      <c r="E447" s="1" t="s">
        <v>3</v>
      </c>
      <c r="F447" s="1" t="str" cm="1">
        <f t="array" ref="F447">_xlfn.LET(
_xlpm.status,UPPER(TRIM(B447&amp;"")),
_xlpm.risk,UPPER(TRIM(C447&amp;"")),
_xlpm.notify,UPPER(TRIM(D447&amp;"")),
_xlpm.form,UPPER(TRIM(E447&amp;"")),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47" s="1" t="str">
        <f t="shared" si="6"/>
        <v>NA</v>
      </c>
      <c r="H447" s="5" t="s">
        <v>2781</v>
      </c>
      <c r="I447" s="1" t="s">
        <v>22</v>
      </c>
      <c r="J447" s="1" t="s">
        <v>2780</v>
      </c>
      <c r="K447" s="1" t="s">
        <v>2771</v>
      </c>
      <c r="L447" s="1" t="s">
        <v>22</v>
      </c>
      <c r="M447" s="1" t="s">
        <v>77</v>
      </c>
      <c r="N447" s="1" t="s">
        <v>2779</v>
      </c>
      <c r="O447" s="1" t="s">
        <v>19</v>
      </c>
      <c r="P447" s="1" t="s">
        <v>18</v>
      </c>
      <c r="Q447" s="1" t="s">
        <v>20</v>
      </c>
      <c r="R447" s="1" t="s">
        <v>2774</v>
      </c>
      <c r="S447" s="1">
        <v>2</v>
      </c>
      <c r="T447" s="1" t="s">
        <v>2782</v>
      </c>
    </row>
    <row r="448" spans="1:20">
      <c r="A448" s="1" t="s">
        <v>2786</v>
      </c>
      <c r="B448" s="1" t="str" cm="1">
        <f t="array" ref="B448">IF(A448="","",_xlfn.IFS(COUNTIF($U:$U,A448)&gt;0,"All uploaded",COUNTIF($V:$V,A448)&gt;0,"Partly uploaded",COUNTIF($W:$X,A448)&gt;0,"Not uploaded",TRUE,"Not classified"))</f>
        <v>Partly uploaded</v>
      </c>
      <c r="C448" s="1" t="str" cm="1">
        <f t="array" ref="C448">_xlfn.SWITCH(TRIM(I448),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48" s="1" t="s">
        <v>1</v>
      </c>
      <c r="E448" s="1" t="s">
        <v>3</v>
      </c>
      <c r="F448" s="1" t="str" cm="1">
        <f t="array" ref="F448">_xlfn.LET(
_xlpm.status,UPPER(TRIM(B448&amp;"")),
_xlpm.risk,UPPER(TRIM(C448&amp;"")),
_xlpm.notify,UPPER(TRIM(D448&amp;"")),
_xlpm.form,UPPER(TRIM(E448&amp;"")),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48" s="1" t="str">
        <f t="shared" si="6"/>
        <v>NA</v>
      </c>
      <c r="H448" s="5" t="s">
        <v>2788</v>
      </c>
      <c r="I448" s="1" t="s">
        <v>23</v>
      </c>
      <c r="J448" s="1" t="s">
        <v>2787</v>
      </c>
      <c r="K448" s="1" t="s">
        <v>2785</v>
      </c>
      <c r="L448" s="1" t="s">
        <v>23</v>
      </c>
      <c r="M448" s="1" t="s">
        <v>28</v>
      </c>
      <c r="N448" s="1" t="s">
        <v>2773</v>
      </c>
      <c r="O448" s="1" t="s">
        <v>19</v>
      </c>
      <c r="P448" s="1" t="s">
        <v>18</v>
      </c>
      <c r="Q448" s="1" t="s">
        <v>20</v>
      </c>
      <c r="R448" s="1" t="s">
        <v>116</v>
      </c>
      <c r="S448" s="1">
        <v>17</v>
      </c>
      <c r="T448" s="1" t="s">
        <v>2789</v>
      </c>
    </row>
    <row r="449" spans="1:20">
      <c r="A449" s="1" t="s">
        <v>2791</v>
      </c>
      <c r="B449" s="1" t="str" cm="1">
        <f t="array" ref="B449">IF(A449="","",_xlfn.IFS(COUNTIF($U:$U,A449)&gt;0,"All uploaded",COUNTIF($V:$V,A449)&gt;0,"Partly uploaded",COUNTIF($W:$X,A449)&gt;0,"Not uploaded",TRUE,"Not classified"))</f>
        <v>Partly uploaded</v>
      </c>
      <c r="C449" s="1" t="str" cm="1">
        <f t="array" ref="C449">_xlfn.SWITCH(TRIM(I449),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49" s="1" t="s">
        <v>0</v>
      </c>
      <c r="E449" s="1" t="s">
        <v>4</v>
      </c>
      <c r="F449" s="1" t="str" cm="1">
        <f t="array" ref="F449">_xlfn.LET(
_xlpm.status,UPPER(TRIM(B449&amp;"")),
_xlpm.risk,UPPER(TRIM(C449&amp;"")),
_xlpm.notify,UPPER(TRIM(D449&amp;"")),
_xlpm.form,UPPER(TRIM(E449&amp;"")),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49" s="1" t="str">
        <f t="shared" si="6"/>
        <v>Required</v>
      </c>
      <c r="H449" s="5" t="s">
        <v>2795</v>
      </c>
      <c r="I449" s="1" t="s">
        <v>27</v>
      </c>
      <c r="J449" s="1" t="s">
        <v>2794</v>
      </c>
      <c r="K449" s="1" t="s">
        <v>2790</v>
      </c>
      <c r="L449" s="1" t="s">
        <v>27</v>
      </c>
      <c r="M449" s="1" t="s">
        <v>28</v>
      </c>
      <c r="N449" s="1" t="s">
        <v>2792</v>
      </c>
      <c r="O449" s="1" t="s">
        <v>19</v>
      </c>
      <c r="P449" s="1" t="s">
        <v>18</v>
      </c>
      <c r="Q449" s="1" t="s">
        <v>20</v>
      </c>
      <c r="R449" s="1" t="s">
        <v>2793</v>
      </c>
      <c r="S449" s="1">
        <v>2</v>
      </c>
      <c r="T449" s="1" t="s">
        <v>2796</v>
      </c>
    </row>
    <row r="450" spans="1:20">
      <c r="A450" s="1" t="s">
        <v>2804</v>
      </c>
      <c r="B450" s="1" t="str" cm="1">
        <f t="array" ref="B450">IF(A450="","",_xlfn.IFS(COUNTIF($U:$U,A450)&gt;0,"All uploaded",COUNTIF($V:$V,A450)&gt;0,"Partly uploaded",COUNTIF($W:$X,A450)&gt;0,"Not uploaded",TRUE,"Not classified"))</f>
        <v>All uploaded</v>
      </c>
      <c r="C450" s="1" t="str" cm="1">
        <f t="array" ref="C450">_xlfn.SWITCH(TRIM(I450),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50" s="1" t="s">
        <v>0</v>
      </c>
      <c r="E450" s="1" t="s">
        <v>3</v>
      </c>
      <c r="F450" s="1" t="str" cm="1">
        <f t="array" ref="F450">_xlfn.LET(
_xlpm.status,UPPER(TRIM(B450&amp;"")),
_xlpm.risk,UPPER(TRIM(C450&amp;"")),
_xlpm.notify,UPPER(TRIM(D450&amp;"")),
_xlpm.form,UPPER(TRIM(E450&amp;"")),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50" s="1" t="str">
        <f t="shared" si="6"/>
        <v>NA</v>
      </c>
      <c r="H450" s="5" t="s">
        <v>2807</v>
      </c>
      <c r="I450" s="1" t="s">
        <v>22</v>
      </c>
      <c r="J450" s="1" t="s">
        <v>2806</v>
      </c>
      <c r="K450" s="1" t="s">
        <v>2803</v>
      </c>
      <c r="L450" s="1" t="s">
        <v>22</v>
      </c>
      <c r="M450" s="1" t="s">
        <v>77</v>
      </c>
      <c r="N450" s="1" t="s">
        <v>2805</v>
      </c>
      <c r="O450" s="1" t="s">
        <v>19</v>
      </c>
      <c r="P450" s="1" t="s">
        <v>18</v>
      </c>
      <c r="Q450" s="1" t="s">
        <v>20</v>
      </c>
      <c r="R450" s="1" t="s">
        <v>2799</v>
      </c>
      <c r="S450" s="1">
        <v>2</v>
      </c>
      <c r="T450" s="1" t="s">
        <v>2808</v>
      </c>
    </row>
    <row r="451" spans="1:20">
      <c r="A451" s="1" t="s">
        <v>2798</v>
      </c>
      <c r="B451" s="1" t="str" cm="1">
        <f t="array" ref="B451">IF(A451="","",_xlfn.IFS(COUNTIF($U:$U,A451)&gt;0,"All uploaded",COUNTIF($V:$V,A451)&gt;0,"Partly uploaded",COUNTIF($W:$X,A451)&gt;0,"Not uploaded",TRUE,"Not classified"))</f>
        <v>Partly uploaded</v>
      </c>
      <c r="C451" s="1" t="str" cm="1">
        <f t="array" ref="C451">_xlfn.SWITCH(TRIM(I451),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51" s="1" t="s">
        <v>1</v>
      </c>
      <c r="E451" s="1" t="s">
        <v>3</v>
      </c>
      <c r="F451" s="1" t="str" cm="1">
        <f t="array" ref="F451">_xlfn.LET(
_xlpm.status,UPPER(TRIM(B451&amp;"")),
_xlpm.risk,UPPER(TRIM(C451&amp;"")),
_xlpm.notify,UPPER(TRIM(D451&amp;"")),
_xlpm.form,UPPER(TRIM(E451&amp;"")),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451" s="1" t="str">
        <f t="shared" ref="G451:G514" si="7">IF(AND(UPPER(TRIM(C451&amp;""))="MAJOR",OR(TRIM(D451&amp;"")="",UPPER(TRIM(E451&amp;""))="REJECT")),"Required","NA")</f>
        <v>NA</v>
      </c>
      <c r="H451" s="5" t="s">
        <v>2801</v>
      </c>
      <c r="I451" s="1" t="s">
        <v>10</v>
      </c>
      <c r="J451" s="1" t="s">
        <v>2800</v>
      </c>
      <c r="K451" s="1" t="s">
        <v>2797</v>
      </c>
      <c r="L451" s="1" t="s">
        <v>10</v>
      </c>
      <c r="M451" s="1" t="s">
        <v>75</v>
      </c>
      <c r="N451" s="1" t="s">
        <v>364</v>
      </c>
      <c r="O451" s="1" t="s">
        <v>19</v>
      </c>
      <c r="P451" s="1" t="s">
        <v>18</v>
      </c>
      <c r="Q451" s="1" t="s">
        <v>20</v>
      </c>
      <c r="R451" s="1" t="s">
        <v>2799</v>
      </c>
      <c r="S451" s="1">
        <v>1</v>
      </c>
      <c r="T451" s="1" t="s">
        <v>2802</v>
      </c>
    </row>
    <row r="452" spans="1:20">
      <c r="A452" s="1" t="s">
        <v>2810</v>
      </c>
      <c r="B452" s="1" t="str" cm="1">
        <f t="array" ref="B452">IF(A452="","",_xlfn.IFS(COUNTIF($U:$U,A452)&gt;0,"All uploaded",COUNTIF($V:$V,A452)&gt;0,"Partly uploaded",COUNTIF($W:$X,A452)&gt;0,"Not uploaded",TRUE,"Not classified"))</f>
        <v>Partly uploaded</v>
      </c>
      <c r="C452" s="1" t="str" cm="1">
        <f t="array" ref="C452">_xlfn.SWITCH(TRIM(I452),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52" s="1" t="s">
        <v>0</v>
      </c>
      <c r="E452" s="1" t="s">
        <v>3</v>
      </c>
      <c r="F452" s="1" t="str" cm="1">
        <f t="array" ref="F452">_xlfn.LET(
_xlpm.status,UPPER(TRIM(B452&amp;"")),
_xlpm.risk,UPPER(TRIM(C452&amp;"")),
_xlpm.notify,UPPER(TRIM(D452&amp;"")),
_xlpm.form,UPPER(TRIM(E452&amp;"")),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52" s="1" t="str">
        <f t="shared" si="7"/>
        <v>NA</v>
      </c>
      <c r="H452" s="5" t="s">
        <v>2813</v>
      </c>
      <c r="I452" s="1" t="s">
        <v>27</v>
      </c>
      <c r="J452" s="1" t="s">
        <v>2812</v>
      </c>
      <c r="K452" s="1" t="s">
        <v>2809</v>
      </c>
      <c r="L452" s="1" t="s">
        <v>27</v>
      </c>
      <c r="M452" s="1" t="s">
        <v>28</v>
      </c>
      <c r="N452" s="1" t="s">
        <v>2811</v>
      </c>
      <c r="O452" s="1" t="s">
        <v>19</v>
      </c>
      <c r="P452" s="1" t="s">
        <v>18</v>
      </c>
      <c r="Q452" s="1" t="s">
        <v>20</v>
      </c>
      <c r="R452" s="1" t="s">
        <v>2793</v>
      </c>
      <c r="S452" s="1">
        <v>1</v>
      </c>
      <c r="T452" s="1" t="s">
        <v>2814</v>
      </c>
    </row>
    <row r="453" spans="1:20">
      <c r="A453" s="1" t="s">
        <v>2824</v>
      </c>
      <c r="B453" s="1" t="str" cm="1">
        <f t="array" ref="B453">IF(A453="","",_xlfn.IFS(COUNTIF($U:$U,A453)&gt;0,"All uploaded",COUNTIF($V:$V,A453)&gt;0,"Partly uploaded",COUNTIF($W:$X,A453)&gt;0,"Not uploaded",TRUE,"Not classified"))</f>
        <v>All uploaded</v>
      </c>
      <c r="C453" s="1" t="str" cm="1">
        <f t="array" ref="C453">_xlfn.SWITCH(TRIM(I453),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53" s="1" t="s">
        <v>1</v>
      </c>
      <c r="E453" s="1" t="s">
        <v>4</v>
      </c>
      <c r="F453" s="1" t="str" cm="1">
        <f t="array" ref="F453">_xlfn.LET(
_xlpm.status,UPPER(TRIM(B453&amp;"")),
_xlpm.risk,UPPER(TRIM(C453&amp;"")),
_xlpm.notify,UPPER(TRIM(D453&amp;"")),
_xlpm.form,UPPER(TRIM(E453&amp;"")),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53" s="1" t="str">
        <f t="shared" si="7"/>
        <v>NA</v>
      </c>
      <c r="H453" s="5" t="s">
        <v>2827</v>
      </c>
      <c r="I453" s="1" t="s">
        <v>23</v>
      </c>
      <c r="J453" s="1" t="s">
        <v>2826</v>
      </c>
      <c r="K453" s="1" t="s">
        <v>2821</v>
      </c>
      <c r="L453" s="1" t="s">
        <v>23</v>
      </c>
      <c r="M453" s="1" t="s">
        <v>28</v>
      </c>
      <c r="N453" s="1" t="s">
        <v>2825</v>
      </c>
      <c r="O453" s="1" t="s">
        <v>19</v>
      </c>
      <c r="P453" s="1" t="s">
        <v>18</v>
      </c>
      <c r="Q453" s="1" t="s">
        <v>20</v>
      </c>
      <c r="R453" s="1" t="s">
        <v>2591</v>
      </c>
      <c r="S453" s="1">
        <v>1</v>
      </c>
      <c r="T453" s="1" t="s">
        <v>2828</v>
      </c>
    </row>
    <row r="454" spans="1:20">
      <c r="A454" s="1" t="s">
        <v>2822</v>
      </c>
      <c r="B454" s="1" t="str" cm="1">
        <f t="array" ref="B454">IF(A454="","",_xlfn.IFS(COUNTIF($U:$U,A454)&gt;0,"All uploaded",COUNTIF($V:$V,A454)&gt;0,"Partly uploaded",COUNTIF($W:$X,A454)&gt;0,"Not uploaded",TRUE,"Not classified"))</f>
        <v>Partly uploaded</v>
      </c>
      <c r="C454" s="1" t="str" cm="1">
        <f t="array" ref="C454">_xlfn.SWITCH(TRIM(I454),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54" s="1" t="s">
        <v>1</v>
      </c>
      <c r="E454" s="1" t="s">
        <v>4</v>
      </c>
      <c r="F454" s="1" t="str" cm="1">
        <f t="array" ref="F454">_xlfn.LET(
_xlpm.status,UPPER(TRIM(B454&amp;"")),
_xlpm.risk,UPPER(TRIM(C454&amp;"")),
_xlpm.notify,UPPER(TRIM(D454&amp;"")),
_xlpm.form,UPPER(TRIM(E454&amp;"")),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54" s="1" t="str">
        <f t="shared" si="7"/>
        <v>NA</v>
      </c>
      <c r="H454" s="5" t="s">
        <v>2831</v>
      </c>
      <c r="I454" s="1" t="s">
        <v>23</v>
      </c>
      <c r="J454" s="1" t="s">
        <v>2830</v>
      </c>
      <c r="K454" s="1" t="s">
        <v>2821</v>
      </c>
      <c r="L454" s="1" t="s">
        <v>23</v>
      </c>
      <c r="M454" s="1" t="s">
        <v>28</v>
      </c>
      <c r="N454" s="1" t="s">
        <v>2823</v>
      </c>
      <c r="O454" s="1" t="s">
        <v>19</v>
      </c>
      <c r="P454" s="1" t="s">
        <v>18</v>
      </c>
      <c r="Q454" s="1" t="s">
        <v>20</v>
      </c>
      <c r="R454" s="1" t="s">
        <v>2829</v>
      </c>
      <c r="S454" s="1">
        <v>4</v>
      </c>
      <c r="T454" s="1" t="s">
        <v>2832</v>
      </c>
    </row>
    <row r="455" spans="1:20">
      <c r="A455" s="1" t="s">
        <v>2834</v>
      </c>
      <c r="B455" s="1" t="str" cm="1">
        <f t="array" ref="B455">IF(A455="","",_xlfn.IFS(COUNTIF($U:$U,A455)&gt;0,"All uploaded",COUNTIF($V:$V,A455)&gt;0,"Partly uploaded",COUNTIF($W:$X,A455)&gt;0,"Not uploaded",TRUE,"Not classified"))</f>
        <v>All uploaded</v>
      </c>
      <c r="C455" s="1" t="str" cm="1">
        <f t="array" ref="C455">_xlfn.SWITCH(TRIM(I455),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55" s="1" t="s">
        <v>1</v>
      </c>
      <c r="E455" s="1" t="s">
        <v>4</v>
      </c>
      <c r="F455" s="1" t="str" cm="1">
        <f t="array" ref="F455">_xlfn.LET(
_xlpm.status,UPPER(TRIM(B455&amp;"")),
_xlpm.risk,UPPER(TRIM(C455&amp;"")),
_xlpm.notify,UPPER(TRIM(D455&amp;"")),
_xlpm.form,UPPER(TRIM(E455&amp;"")),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55" s="1" t="str">
        <f t="shared" si="7"/>
        <v>NA</v>
      </c>
      <c r="H455" s="5" t="s">
        <v>2836</v>
      </c>
      <c r="I455" s="1" t="s">
        <v>23</v>
      </c>
      <c r="J455" s="1" t="s">
        <v>2835</v>
      </c>
      <c r="K455" s="1" t="s">
        <v>2821</v>
      </c>
      <c r="L455" s="1" t="s">
        <v>23</v>
      </c>
      <c r="M455" s="1" t="s">
        <v>28</v>
      </c>
      <c r="N455" s="1" t="s">
        <v>2825</v>
      </c>
      <c r="O455" s="1" t="s">
        <v>19</v>
      </c>
      <c r="P455" s="1" t="s">
        <v>18</v>
      </c>
      <c r="Q455" s="1" t="s">
        <v>20</v>
      </c>
      <c r="R455" s="1" t="s">
        <v>2829</v>
      </c>
      <c r="S455" s="1">
        <v>1</v>
      </c>
      <c r="T455" s="1" t="s">
        <v>2837</v>
      </c>
    </row>
    <row r="456" spans="1:20">
      <c r="A456" s="1" t="s">
        <v>2839</v>
      </c>
      <c r="B456" s="1" t="str" cm="1">
        <f t="array" ref="B456">IF(A456="","",_xlfn.IFS(COUNTIF($U:$U,A456)&gt;0,"All uploaded",COUNTIF($V:$V,A456)&gt;0,"Partly uploaded",COUNTIF($W:$X,A456)&gt;0,"Not uploaded",TRUE,"Not classified"))</f>
        <v>All uploaded</v>
      </c>
      <c r="C456" s="1" t="str" cm="1">
        <f t="array" ref="C456">_xlfn.SWITCH(TRIM(I456),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56" s="1" t="s">
        <v>0</v>
      </c>
      <c r="E456" s="1" t="s">
        <v>4</v>
      </c>
      <c r="F456" s="1" t="str" cm="1">
        <f t="array" ref="F456">_xlfn.LET(
_xlpm.status,UPPER(TRIM(B456&amp;"")),
_xlpm.risk,UPPER(TRIM(C456&amp;"")),
_xlpm.notify,UPPER(TRIM(D456&amp;"")),
_xlpm.form,UPPER(TRIM(E456&amp;"")),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56" s="1" t="str">
        <f t="shared" si="7"/>
        <v>NA</v>
      </c>
      <c r="H456" s="5" t="s">
        <v>2842</v>
      </c>
      <c r="I456" s="1" t="s">
        <v>23</v>
      </c>
      <c r="J456" s="1" t="s">
        <v>2841</v>
      </c>
      <c r="K456" s="1" t="s">
        <v>2838</v>
      </c>
      <c r="L456" s="1" t="s">
        <v>23</v>
      </c>
      <c r="M456" s="1" t="s">
        <v>28</v>
      </c>
      <c r="N456" s="1" t="s">
        <v>2840</v>
      </c>
      <c r="O456" s="1" t="s">
        <v>19</v>
      </c>
      <c r="P456" s="1" t="s">
        <v>18</v>
      </c>
      <c r="Q456" s="1" t="s">
        <v>20</v>
      </c>
      <c r="R456" s="1" t="s">
        <v>2765</v>
      </c>
      <c r="S456" s="1">
        <v>1</v>
      </c>
      <c r="T456" s="1" t="s">
        <v>2843</v>
      </c>
    </row>
    <row r="457" spans="1:20">
      <c r="A457" s="1" t="s">
        <v>2845</v>
      </c>
      <c r="B457" s="1" t="str" cm="1">
        <f t="array" ref="B457">IF(A457="","",_xlfn.IFS(COUNTIF($U:$U,A457)&gt;0,"All uploaded",COUNTIF($V:$V,A457)&gt;0,"Partly uploaded",COUNTIF($W:$X,A457)&gt;0,"Not uploaded",TRUE,"Not classified"))</f>
        <v>Partly uploaded</v>
      </c>
      <c r="C457" s="1" t="str" cm="1">
        <f t="array" ref="C457">_xlfn.SWITCH(TRIM(I457),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57" s="1" t="s">
        <v>0</v>
      </c>
      <c r="E457" s="1" t="s">
        <v>4</v>
      </c>
      <c r="F457" s="1" t="str" cm="1">
        <f t="array" ref="F457">_xlfn.LET(
_xlpm.status,UPPER(TRIM(B457&amp;"")),
_xlpm.risk,UPPER(TRIM(C457&amp;"")),
_xlpm.notify,UPPER(TRIM(D457&amp;"")),
_xlpm.form,UPPER(TRIM(E457&amp;"")),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57" s="1" t="str">
        <f t="shared" si="7"/>
        <v>Required</v>
      </c>
      <c r="H457" s="5" t="s">
        <v>2848</v>
      </c>
      <c r="I457" s="1" t="s">
        <v>27</v>
      </c>
      <c r="J457" s="1" t="s">
        <v>2847</v>
      </c>
      <c r="K457" s="1" t="s">
        <v>2844</v>
      </c>
      <c r="L457" s="1" t="s">
        <v>27</v>
      </c>
      <c r="M457" s="1" t="s">
        <v>77</v>
      </c>
      <c r="N457" s="1" t="s">
        <v>2846</v>
      </c>
      <c r="O457" s="1" t="s">
        <v>19</v>
      </c>
      <c r="P457" s="1" t="s">
        <v>18</v>
      </c>
      <c r="Q457" s="1" t="s">
        <v>20</v>
      </c>
      <c r="R457" s="1" t="s">
        <v>2765</v>
      </c>
      <c r="S457" s="1">
        <v>4</v>
      </c>
      <c r="T457" s="1" t="s">
        <v>2849</v>
      </c>
    </row>
    <row r="458" spans="1:20">
      <c r="A458" s="1" t="s">
        <v>2845</v>
      </c>
      <c r="B458" s="1" t="str" cm="1">
        <f t="array" ref="B458">IF(A458="","",_xlfn.IFS(COUNTIF($U:$U,A458)&gt;0,"All uploaded",COUNTIF($V:$V,A458)&gt;0,"Partly uploaded",COUNTIF($W:$X,A458)&gt;0,"Not uploaded",TRUE,"Not classified"))</f>
        <v>Partly uploaded</v>
      </c>
      <c r="C458" s="1" t="str" cm="1">
        <f t="array" ref="C458">_xlfn.SWITCH(TRIM(I458),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58" s="1" t="s">
        <v>0</v>
      </c>
      <c r="E458" s="1" t="s">
        <v>3</v>
      </c>
      <c r="F458" s="1" t="str" cm="1">
        <f t="array" ref="F458">_xlfn.LET(
_xlpm.status,UPPER(TRIM(B458&amp;"")),
_xlpm.risk,UPPER(TRIM(C458&amp;"")),
_xlpm.notify,UPPER(TRIM(D458&amp;"")),
_xlpm.form,UPPER(TRIM(E458&amp;"")),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58" s="1" t="str">
        <f t="shared" si="7"/>
        <v>NA</v>
      </c>
      <c r="H458" s="5" t="s">
        <v>2852</v>
      </c>
      <c r="I458" s="1" t="s">
        <v>27</v>
      </c>
      <c r="J458" s="1" t="s">
        <v>2851</v>
      </c>
      <c r="K458" s="1" t="s">
        <v>2844</v>
      </c>
      <c r="L458" s="1" t="s">
        <v>27</v>
      </c>
      <c r="M458" s="1" t="s">
        <v>77</v>
      </c>
      <c r="N458" s="1" t="s">
        <v>2846</v>
      </c>
      <c r="O458" s="1" t="s">
        <v>19</v>
      </c>
      <c r="P458" s="1" t="s">
        <v>18</v>
      </c>
      <c r="Q458" s="1" t="s">
        <v>20</v>
      </c>
      <c r="R458" s="1" t="s">
        <v>2850</v>
      </c>
      <c r="S458" s="1">
        <v>1</v>
      </c>
      <c r="T458" s="1" t="s">
        <v>2853</v>
      </c>
    </row>
    <row r="459" spans="1:20">
      <c r="A459" s="1" t="s">
        <v>2863</v>
      </c>
      <c r="B459" s="1" t="str" cm="1">
        <f t="array" ref="B459">IF(A459="","",_xlfn.IFS(COUNTIF($U:$U,A459)&gt;0,"All uploaded",COUNTIF($V:$V,A459)&gt;0,"Partly uploaded",COUNTIF($W:$X,A459)&gt;0,"Not uploaded",TRUE,"Not classified"))</f>
        <v>Partly uploaded</v>
      </c>
      <c r="C459" s="1" t="str" cm="1">
        <f t="array" ref="C459">_xlfn.SWITCH(TRIM(I459),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59" s="1" t="s">
        <v>0</v>
      </c>
      <c r="E459" s="1" t="s">
        <v>3</v>
      </c>
      <c r="F459" s="1" t="str" cm="1">
        <f t="array" ref="F459">_xlfn.LET(
_xlpm.status,UPPER(TRIM(B459&amp;"")),
_xlpm.risk,UPPER(TRIM(C459&amp;"")),
_xlpm.notify,UPPER(TRIM(D459&amp;"")),
_xlpm.form,UPPER(TRIM(E459&amp;"")),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59" s="1" t="str">
        <f t="shared" si="7"/>
        <v>NA</v>
      </c>
      <c r="H459" s="5" t="s">
        <v>2867</v>
      </c>
      <c r="I459" s="1" t="s">
        <v>25</v>
      </c>
      <c r="J459" s="1" t="s">
        <v>2866</v>
      </c>
      <c r="K459" s="1" t="s">
        <v>2860</v>
      </c>
      <c r="L459" s="1" t="s">
        <v>25</v>
      </c>
      <c r="M459" s="1" t="s">
        <v>28</v>
      </c>
      <c r="N459" s="1" t="s">
        <v>2864</v>
      </c>
      <c r="O459" s="1" t="s">
        <v>19</v>
      </c>
      <c r="P459" s="1" t="s">
        <v>18</v>
      </c>
      <c r="Q459" s="1" t="s">
        <v>20</v>
      </c>
      <c r="R459" s="1" t="s">
        <v>2865</v>
      </c>
      <c r="S459" s="1">
        <v>1</v>
      </c>
      <c r="T459" s="1" t="s">
        <v>2868</v>
      </c>
    </row>
    <row r="460" spans="1:20">
      <c r="A460" s="1" t="s">
        <v>2881</v>
      </c>
      <c r="B460" s="1" t="str" cm="1">
        <f t="array" ref="B460">IF(A460="","",_xlfn.IFS(COUNTIF($U:$U,A460)&gt;0,"All uploaded",COUNTIF($V:$V,A460)&gt;0,"Partly uploaded",COUNTIF($W:$X,A460)&gt;0,"Not uploaded",TRUE,"Not classified"))</f>
        <v>All uploaded</v>
      </c>
      <c r="C460" s="1" t="str" cm="1">
        <f t="array" ref="C460">_xlfn.SWITCH(TRIM(I460),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60" s="1" t="s">
        <v>1</v>
      </c>
      <c r="E460" s="1" t="s">
        <v>3</v>
      </c>
      <c r="F460" s="1" t="str" cm="1">
        <f t="array" ref="F460">_xlfn.LET(
_xlpm.status,UPPER(TRIM(B460&amp;"")),
_xlpm.risk,UPPER(TRIM(C460&amp;"")),
_xlpm.notify,UPPER(TRIM(D460&amp;"")),
_xlpm.form,UPPER(TRIM(E460&amp;"")),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60" s="1" t="str">
        <f t="shared" si="7"/>
        <v>NA</v>
      </c>
      <c r="H460" s="5" t="s">
        <v>2885</v>
      </c>
      <c r="I460" s="1" t="s">
        <v>23</v>
      </c>
      <c r="J460" s="1" t="s">
        <v>2884</v>
      </c>
      <c r="K460" s="1" t="s">
        <v>2880</v>
      </c>
      <c r="L460" s="1" t="s">
        <v>23</v>
      </c>
      <c r="M460" s="1" t="s">
        <v>28</v>
      </c>
      <c r="N460" s="1" t="s">
        <v>2882</v>
      </c>
      <c r="O460" s="1" t="s">
        <v>19</v>
      </c>
      <c r="P460" s="1" t="s">
        <v>18</v>
      </c>
      <c r="Q460" s="1" t="s">
        <v>20</v>
      </c>
      <c r="R460" s="1" t="s">
        <v>2883</v>
      </c>
      <c r="S460" s="1">
        <v>1</v>
      </c>
      <c r="T460" s="1" t="s">
        <v>2724</v>
      </c>
    </row>
    <row r="461" spans="1:20">
      <c r="A461" s="1" t="s">
        <v>2887</v>
      </c>
      <c r="B461" s="1" t="str" cm="1">
        <f t="array" ref="B461">IF(A461="","",_xlfn.IFS(COUNTIF($U:$U,A461)&gt;0,"All uploaded",COUNTIF($V:$V,A461)&gt;0,"Partly uploaded",COUNTIF($W:$X,A461)&gt;0,"Not uploaded",TRUE,"Not classified"))</f>
        <v>Partly uploaded</v>
      </c>
      <c r="C461" s="1" t="str" cm="1">
        <f t="array" ref="C461">_xlfn.SWITCH(TRIM(I461),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61" s="1" t="s">
        <v>1</v>
      </c>
      <c r="E461" s="1" t="s">
        <v>2</v>
      </c>
      <c r="F461" s="1" t="str" cm="1">
        <f t="array" ref="F461">_xlfn.LET(
_xlpm.status,UPPER(TRIM(B461&amp;"")),
_xlpm.risk,UPPER(TRIM(C461&amp;"")),
_xlpm.notify,UPPER(TRIM(D461&amp;"")),
_xlpm.form,UPPER(TRIM(E461&amp;"")),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461" s="1" t="str">
        <f t="shared" si="7"/>
        <v>NA</v>
      </c>
      <c r="H461" s="5" t="s">
        <v>2889</v>
      </c>
      <c r="I461" s="1" t="s">
        <v>22</v>
      </c>
      <c r="J461" s="1" t="s">
        <v>2888</v>
      </c>
      <c r="K461" s="1" t="s">
        <v>2886</v>
      </c>
      <c r="L461" s="1" t="s">
        <v>22</v>
      </c>
      <c r="M461" s="1" t="s">
        <v>75</v>
      </c>
      <c r="N461" s="1" t="s">
        <v>51</v>
      </c>
      <c r="O461" s="1" t="s">
        <v>19</v>
      </c>
      <c r="P461" s="1" t="s">
        <v>18</v>
      </c>
      <c r="Q461" s="1" t="s">
        <v>20</v>
      </c>
      <c r="R461" s="1" t="s">
        <v>2291</v>
      </c>
      <c r="S461" s="1">
        <v>2</v>
      </c>
      <c r="T461" s="1" t="s">
        <v>2890</v>
      </c>
    </row>
    <row r="462" spans="1:20">
      <c r="A462" s="1" t="s">
        <v>2892</v>
      </c>
      <c r="B462" s="1" t="str" cm="1">
        <f t="array" ref="B462">IF(A462="","",_xlfn.IFS(COUNTIF($U:$U,A462)&gt;0,"All uploaded",COUNTIF($V:$V,A462)&gt;0,"Partly uploaded",COUNTIF($W:$X,A462)&gt;0,"Not uploaded",TRUE,"Not classified"))</f>
        <v>Partly uploaded</v>
      </c>
      <c r="C462" s="1" t="str" cm="1">
        <f t="array" ref="C462">_xlfn.SWITCH(TRIM(I462),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62" s="1" t="s">
        <v>1</v>
      </c>
      <c r="E462" s="1" t="s">
        <v>2</v>
      </c>
      <c r="F462" s="1" t="str" cm="1">
        <f t="array" ref="F462">_xlfn.LET(
_xlpm.status,UPPER(TRIM(B462&amp;"")),
_xlpm.risk,UPPER(TRIM(C462&amp;"")),
_xlpm.notify,UPPER(TRIM(D462&amp;"")),
_xlpm.form,UPPER(TRIM(E462&amp;"")),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462" s="1" t="str">
        <f t="shared" si="7"/>
        <v>NA</v>
      </c>
      <c r="H462" s="5" t="s">
        <v>2901</v>
      </c>
      <c r="I462" s="1" t="s">
        <v>10</v>
      </c>
      <c r="J462" s="1" t="s">
        <v>2900</v>
      </c>
      <c r="K462" s="1" t="s">
        <v>2891</v>
      </c>
      <c r="L462" s="1" t="s">
        <v>10</v>
      </c>
      <c r="M462" s="1" t="s">
        <v>75</v>
      </c>
      <c r="N462" s="1" t="s">
        <v>51</v>
      </c>
      <c r="O462" s="1" t="s">
        <v>19</v>
      </c>
      <c r="P462" s="1" t="s">
        <v>18</v>
      </c>
      <c r="Q462" s="1" t="s">
        <v>20</v>
      </c>
      <c r="R462" s="1" t="s">
        <v>2291</v>
      </c>
      <c r="S462" s="1">
        <v>1</v>
      </c>
      <c r="T462" s="1" t="s">
        <v>2902</v>
      </c>
    </row>
    <row r="463" spans="1:20">
      <c r="A463" s="1" t="s">
        <v>2892</v>
      </c>
      <c r="B463" s="1" t="str" cm="1">
        <f t="array" ref="B463">IF(A463="","",_xlfn.IFS(COUNTIF($U:$U,A463)&gt;0,"All uploaded",COUNTIF($V:$V,A463)&gt;0,"Partly uploaded",COUNTIF($W:$X,A463)&gt;0,"Not uploaded",TRUE,"Not classified"))</f>
        <v>Partly uploaded</v>
      </c>
      <c r="C463" s="1" t="str" cm="1">
        <f t="array" ref="C463">_xlfn.SWITCH(TRIM(I463),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63" s="1" t="s">
        <v>1</v>
      </c>
      <c r="E463" s="1" t="s">
        <v>3</v>
      </c>
      <c r="F463" s="1" t="str" cm="1">
        <f t="array" ref="F463">_xlfn.LET(
_xlpm.status,UPPER(TRIM(B463&amp;"")),
_xlpm.risk,UPPER(TRIM(C463&amp;"")),
_xlpm.notify,UPPER(TRIM(D463&amp;"")),
_xlpm.form,UPPER(TRIM(E463&amp;"")),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463" s="1" t="str">
        <f t="shared" si="7"/>
        <v>NA</v>
      </c>
      <c r="H463" s="5" t="s">
        <v>2898</v>
      </c>
      <c r="I463" s="1" t="s">
        <v>10</v>
      </c>
      <c r="J463" s="1" t="s">
        <v>2897</v>
      </c>
      <c r="K463" s="1" t="s">
        <v>2891</v>
      </c>
      <c r="L463" s="1" t="s">
        <v>10</v>
      </c>
      <c r="M463" s="1" t="s">
        <v>75</v>
      </c>
      <c r="N463" s="1" t="s">
        <v>51</v>
      </c>
      <c r="O463" s="1" t="s">
        <v>19</v>
      </c>
      <c r="P463" s="1" t="s">
        <v>18</v>
      </c>
      <c r="Q463" s="1" t="s">
        <v>20</v>
      </c>
      <c r="R463" s="1" t="s">
        <v>2896</v>
      </c>
      <c r="S463" s="1">
        <v>10</v>
      </c>
      <c r="T463" s="1" t="s">
        <v>2899</v>
      </c>
    </row>
    <row r="464" spans="1:20">
      <c r="A464" s="1" t="s">
        <v>2904</v>
      </c>
      <c r="B464" s="1" t="str" cm="1">
        <f t="array" ref="B464">IF(A464="","",_xlfn.IFS(COUNTIF($U:$U,A464)&gt;0,"All uploaded",COUNTIF($V:$V,A464)&gt;0,"Partly uploaded",COUNTIF($W:$X,A464)&gt;0,"Not uploaded",TRUE,"Not classified"))</f>
        <v>Partly uploaded</v>
      </c>
      <c r="C464" s="1" t="str" cm="1">
        <f t="array" ref="C464">_xlfn.SWITCH(TRIM(I464),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64" s="1" t="s">
        <v>1</v>
      </c>
      <c r="E464" s="1" t="s">
        <v>4</v>
      </c>
      <c r="F464" s="1" t="str" cm="1">
        <f t="array" ref="F464">_xlfn.LET(
_xlpm.status,UPPER(TRIM(B464&amp;"")),
_xlpm.risk,UPPER(TRIM(C464&amp;"")),
_xlpm.notify,UPPER(TRIM(D464&amp;"")),
_xlpm.form,UPPER(TRIM(E464&amp;"")),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464" s="1" t="str">
        <f t="shared" si="7"/>
        <v>Required</v>
      </c>
      <c r="H464" s="5" t="s">
        <v>2907</v>
      </c>
      <c r="I464" s="1" t="s">
        <v>10</v>
      </c>
      <c r="J464" s="1" t="s">
        <v>2906</v>
      </c>
      <c r="K464" s="1" t="s">
        <v>2903</v>
      </c>
      <c r="L464" s="1" t="s">
        <v>10</v>
      </c>
      <c r="M464" s="1" t="s">
        <v>75</v>
      </c>
      <c r="N464" s="1" t="s">
        <v>51</v>
      </c>
      <c r="O464" s="1" t="s">
        <v>19</v>
      </c>
      <c r="P464" s="1" t="s">
        <v>18</v>
      </c>
      <c r="Q464" s="1" t="s">
        <v>20</v>
      </c>
      <c r="R464" s="1" t="s">
        <v>2905</v>
      </c>
      <c r="S464" s="1">
        <v>2</v>
      </c>
      <c r="T464" s="1" t="s">
        <v>2908</v>
      </c>
    </row>
    <row r="465" spans="1:20">
      <c r="A465" s="1" t="s">
        <v>2921</v>
      </c>
      <c r="B465" s="1" t="str" cm="1">
        <f t="array" ref="B465">IF(A465="","",_xlfn.IFS(COUNTIF($U:$U,A465)&gt;0,"All uploaded",COUNTIF($V:$V,A465)&gt;0,"Partly uploaded",COUNTIF($W:$X,A465)&gt;0,"Not uploaded",TRUE,"Not classified"))</f>
        <v>Partly uploaded</v>
      </c>
      <c r="C465" s="1" t="str" cm="1">
        <f t="array" ref="C465">_xlfn.SWITCH(TRIM(I465),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65" s="1" t="s">
        <v>0</v>
      </c>
      <c r="E465" s="1" t="s">
        <v>3</v>
      </c>
      <c r="F465" s="1" t="str" cm="1">
        <f t="array" ref="F465">_xlfn.LET(
_xlpm.status,UPPER(TRIM(B465&amp;"")),
_xlpm.risk,UPPER(TRIM(C465&amp;"")),
_xlpm.notify,UPPER(TRIM(D465&amp;"")),
_xlpm.form,UPPER(TRIM(E465&amp;"")),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65" s="1" t="str">
        <f t="shared" si="7"/>
        <v>NA</v>
      </c>
      <c r="H465" s="5" t="s">
        <v>2927</v>
      </c>
      <c r="I465" s="1" t="s">
        <v>22</v>
      </c>
      <c r="J465" s="1" t="s">
        <v>2926</v>
      </c>
      <c r="K465" s="1" t="s">
        <v>2918</v>
      </c>
      <c r="L465" s="1" t="s">
        <v>22</v>
      </c>
      <c r="M465" s="1" t="s">
        <v>77</v>
      </c>
      <c r="N465" s="1" t="s">
        <v>2922</v>
      </c>
      <c r="O465" s="1" t="s">
        <v>19</v>
      </c>
      <c r="P465" s="1" t="s">
        <v>18</v>
      </c>
      <c r="Q465" s="1" t="s">
        <v>20</v>
      </c>
      <c r="R465" s="1" t="s">
        <v>2925</v>
      </c>
      <c r="S465" s="1">
        <v>1</v>
      </c>
      <c r="T465" s="1" t="s">
        <v>1535</v>
      </c>
    </row>
    <row r="466" spans="1:20">
      <c r="A466" s="1" t="s">
        <v>2929</v>
      </c>
      <c r="B466" s="1" t="str" cm="1">
        <f t="array" ref="B466">IF(A466="","",_xlfn.IFS(COUNTIF($U:$U,A466)&gt;0,"All uploaded",COUNTIF($V:$V,A466)&gt;0,"Partly uploaded",COUNTIF($W:$X,A466)&gt;0,"Not uploaded",TRUE,"Not classified"))</f>
        <v>All uploaded</v>
      </c>
      <c r="C466" s="1" t="str" cm="1">
        <f t="array" ref="C466">_xlfn.SWITCH(TRIM(I466),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66" s="1" t="s">
        <v>0</v>
      </c>
      <c r="E466" s="1" t="s">
        <v>3</v>
      </c>
      <c r="F466" s="1" t="str" cm="1">
        <f t="array" ref="F466">_xlfn.LET(
_xlpm.status,UPPER(TRIM(B466&amp;"")),
_xlpm.risk,UPPER(TRIM(C466&amp;"")),
_xlpm.notify,UPPER(TRIM(D466&amp;"")),
_xlpm.form,UPPER(TRIM(E466&amp;"")),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66" s="1" t="str">
        <f t="shared" si="7"/>
        <v>NA</v>
      </c>
      <c r="H466" s="5" t="s">
        <v>2933</v>
      </c>
      <c r="I466" s="1" t="s">
        <v>22</v>
      </c>
      <c r="J466" s="1" t="s">
        <v>2932</v>
      </c>
      <c r="K466" s="1" t="s">
        <v>2928</v>
      </c>
      <c r="L466" s="1" t="s">
        <v>22</v>
      </c>
      <c r="M466" s="1" t="s">
        <v>77</v>
      </c>
      <c r="N466" s="1" t="s">
        <v>2930</v>
      </c>
      <c r="O466" s="1" t="s">
        <v>19</v>
      </c>
      <c r="P466" s="1" t="s">
        <v>18</v>
      </c>
      <c r="Q466" s="1" t="s">
        <v>20</v>
      </c>
      <c r="R466" s="1" t="s">
        <v>2931</v>
      </c>
      <c r="S466" s="1">
        <v>2</v>
      </c>
      <c r="T466" s="1" t="s">
        <v>2934</v>
      </c>
    </row>
    <row r="467" spans="1:20">
      <c r="A467" s="1" t="s">
        <v>2912</v>
      </c>
      <c r="B467" s="1" t="str" cm="1">
        <f t="array" ref="B467">IF(A467="","",_xlfn.IFS(COUNTIF($U:$U,A467)&gt;0,"All uploaded",COUNTIF($V:$V,A467)&gt;0,"Partly uploaded",COUNTIF($W:$X,A467)&gt;0,"Not uploaded",TRUE,"Not classified"))</f>
        <v>Partly uploaded</v>
      </c>
      <c r="C467" s="1" t="str" cm="1">
        <f t="array" ref="C467">_xlfn.SWITCH(TRIM(I467),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67" s="1" t="s">
        <v>0</v>
      </c>
      <c r="E467" s="1" t="s">
        <v>4</v>
      </c>
      <c r="F467" s="1" t="str" cm="1">
        <f t="array" ref="F467">_xlfn.LET(
_xlpm.status,UPPER(TRIM(B467&amp;"")),
_xlpm.risk,UPPER(TRIM(C467&amp;"")),
_xlpm.notify,UPPER(TRIM(D467&amp;"")),
_xlpm.form,UPPER(TRIM(E467&amp;"")),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67" s="1" t="str">
        <f t="shared" si="7"/>
        <v>Required</v>
      </c>
      <c r="H467" s="5" t="s">
        <v>2916</v>
      </c>
      <c r="I467" s="1" t="s">
        <v>27</v>
      </c>
      <c r="J467" s="1" t="s">
        <v>2915</v>
      </c>
      <c r="K467" s="1" t="s">
        <v>2911</v>
      </c>
      <c r="L467" s="1" t="s">
        <v>27</v>
      </c>
      <c r="M467" s="1" t="s">
        <v>77</v>
      </c>
      <c r="N467" s="1" t="s">
        <v>2913</v>
      </c>
      <c r="O467" s="1" t="s">
        <v>19</v>
      </c>
      <c r="P467" s="1" t="s">
        <v>18</v>
      </c>
      <c r="Q467" s="1" t="s">
        <v>20</v>
      </c>
      <c r="R467" s="1" t="s">
        <v>2914</v>
      </c>
      <c r="S467" s="1">
        <v>1</v>
      </c>
      <c r="T467" s="1" t="s">
        <v>2917</v>
      </c>
    </row>
    <row r="468" spans="1:20">
      <c r="A468" s="1" t="s">
        <v>2953</v>
      </c>
      <c r="B468" s="1" t="str" cm="1">
        <f t="array" ref="B468">IF(A468="","",_xlfn.IFS(COUNTIF($U:$U,A468)&gt;0,"All uploaded",COUNTIF($V:$V,A468)&gt;0,"Partly uploaded",COUNTIF($W:$X,A468)&gt;0,"Not uploaded",TRUE,"Not classified"))</f>
        <v>All uploaded</v>
      </c>
      <c r="C468" s="1" t="str" cm="1">
        <f t="array" ref="C468">_xlfn.SWITCH(TRIM(I468),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68" s="1" t="s">
        <v>0</v>
      </c>
      <c r="E468" s="1" t="s">
        <v>4</v>
      </c>
      <c r="F468" s="1" t="str" cm="1">
        <f t="array" ref="F468">_xlfn.LET(
_xlpm.status,UPPER(TRIM(B468&amp;"")),
_xlpm.risk,UPPER(TRIM(C468&amp;"")),
_xlpm.notify,UPPER(TRIM(D468&amp;"")),
_xlpm.form,UPPER(TRIM(E468&amp;"")),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68" s="1" t="str">
        <f t="shared" si="7"/>
        <v>NA</v>
      </c>
      <c r="H468" s="5" t="s">
        <v>2957</v>
      </c>
      <c r="I468" s="1" t="s">
        <v>22</v>
      </c>
      <c r="J468" s="1" t="s">
        <v>2956</v>
      </c>
      <c r="K468" s="1" t="s">
        <v>2952</v>
      </c>
      <c r="L468" s="1" t="s">
        <v>22</v>
      </c>
      <c r="M468" s="1" t="s">
        <v>77</v>
      </c>
      <c r="N468" s="1" t="s">
        <v>2954</v>
      </c>
      <c r="O468" s="1" t="s">
        <v>19</v>
      </c>
      <c r="P468" s="1" t="s">
        <v>18</v>
      </c>
      <c r="Q468" s="1" t="s">
        <v>20</v>
      </c>
      <c r="R468" s="1" t="s">
        <v>2955</v>
      </c>
      <c r="S468" s="1">
        <v>3</v>
      </c>
      <c r="T468" s="1" t="s">
        <v>2517</v>
      </c>
    </row>
    <row r="469" spans="1:20">
      <c r="A469" s="1" t="s">
        <v>2938</v>
      </c>
      <c r="B469" s="1" t="str" cm="1">
        <f t="array" ref="B469">IF(A469="","",_xlfn.IFS(COUNTIF($U:$U,A469)&gt;0,"All uploaded",COUNTIF($V:$V,A469)&gt;0,"Partly uploaded",COUNTIF($W:$X,A469)&gt;0,"Not uploaded",TRUE,"Not classified"))</f>
        <v>Partly uploaded</v>
      </c>
      <c r="C469" s="1" t="str" cm="1">
        <f t="array" ref="C469">_xlfn.SWITCH(TRIM(I469),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69" s="1" t="s">
        <v>0</v>
      </c>
      <c r="E469" s="1" t="s">
        <v>3</v>
      </c>
      <c r="F469" s="1" t="str" cm="1">
        <f t="array" ref="F469">_xlfn.LET(
_xlpm.status,UPPER(TRIM(B469&amp;"")),
_xlpm.risk,UPPER(TRIM(C469&amp;"")),
_xlpm.notify,UPPER(TRIM(D469&amp;"")),
_xlpm.form,UPPER(TRIM(E469&amp;"")),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69" s="1" t="str">
        <f t="shared" si="7"/>
        <v>NA</v>
      </c>
      <c r="H469" s="5" t="s">
        <v>2938</v>
      </c>
      <c r="I469" s="1" t="s">
        <v>22</v>
      </c>
      <c r="J469" s="1" t="s">
        <v>2941</v>
      </c>
      <c r="K469" s="1" t="s">
        <v>2937</v>
      </c>
      <c r="L469" s="1" t="s">
        <v>22</v>
      </c>
      <c r="M469" s="1" t="s">
        <v>77</v>
      </c>
      <c r="N469" s="1" t="s">
        <v>2939</v>
      </c>
      <c r="O469" s="1" t="s">
        <v>19</v>
      </c>
      <c r="P469" s="1" t="s">
        <v>18</v>
      </c>
      <c r="Q469" s="1" t="s">
        <v>20</v>
      </c>
      <c r="R469" s="1" t="s">
        <v>2940</v>
      </c>
      <c r="S469" s="1">
        <v>11</v>
      </c>
      <c r="T469" s="1" t="s">
        <v>2942</v>
      </c>
    </row>
    <row r="470" spans="1:20">
      <c r="A470" s="1" t="s">
        <v>2966</v>
      </c>
      <c r="B470" s="1" t="str" cm="1">
        <f t="array" ref="B470">IF(A470="","",_xlfn.IFS(COUNTIF($U:$U,A470)&gt;0,"All uploaded",COUNTIF($V:$V,A470)&gt;0,"Partly uploaded",COUNTIF($W:$X,A470)&gt;0,"Not uploaded",TRUE,"Not classified"))</f>
        <v>Partly uploaded</v>
      </c>
      <c r="C470" s="1" t="str" cm="1">
        <f t="array" ref="C470">_xlfn.SWITCH(TRIM(I470),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70" s="1" t="s">
        <v>0</v>
      </c>
      <c r="E470" s="1" t="s">
        <v>4</v>
      </c>
      <c r="F470" s="1" t="str" cm="1">
        <f t="array" ref="F470">_xlfn.LET(
_xlpm.status,UPPER(TRIM(B470&amp;"")),
_xlpm.risk,UPPER(TRIM(C470&amp;"")),
_xlpm.notify,UPPER(TRIM(D470&amp;"")),
_xlpm.form,UPPER(TRIM(E470&amp;"")),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70" s="1" t="str">
        <f t="shared" si="7"/>
        <v>Required</v>
      </c>
      <c r="H470" s="5" t="s">
        <v>2966</v>
      </c>
      <c r="I470" s="1" t="s">
        <v>25</v>
      </c>
      <c r="J470" s="1" t="s">
        <v>2974</v>
      </c>
      <c r="K470" s="1" t="s">
        <v>2960</v>
      </c>
      <c r="L470" s="1" t="s">
        <v>25</v>
      </c>
      <c r="M470" s="1" t="s">
        <v>77</v>
      </c>
      <c r="N470" s="1" t="s">
        <v>2967</v>
      </c>
      <c r="O470" s="1" t="s">
        <v>19</v>
      </c>
      <c r="P470" s="1" t="s">
        <v>18</v>
      </c>
      <c r="Q470" s="1" t="s">
        <v>20</v>
      </c>
      <c r="R470" s="1" t="s">
        <v>2955</v>
      </c>
      <c r="S470" s="1">
        <v>1</v>
      </c>
      <c r="T470" s="1" t="s">
        <v>2975</v>
      </c>
    </row>
    <row r="471" spans="1:20">
      <c r="A471" s="1" t="s">
        <v>2968</v>
      </c>
      <c r="B471" s="1" t="str" cm="1">
        <f t="array" ref="B471">IF(A471="","",_xlfn.IFS(COUNTIF($U:$U,A471)&gt;0,"All uploaded",COUNTIF($V:$V,A471)&gt;0,"Partly uploaded",COUNTIF($W:$X,A471)&gt;0,"Not uploaded",TRUE,"Not classified"))</f>
        <v>All uploaded</v>
      </c>
      <c r="C471" s="1" t="str" cm="1">
        <f t="array" ref="C471">_xlfn.SWITCH(TRIM(I471),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71" s="1" t="s">
        <v>0</v>
      </c>
      <c r="E471" s="1" t="s">
        <v>4</v>
      </c>
      <c r="F471" s="1" t="str" cm="1">
        <f t="array" ref="F471">_xlfn.LET(
_xlpm.status,UPPER(TRIM(B471&amp;"")),
_xlpm.risk,UPPER(TRIM(C471&amp;"")),
_xlpm.notify,UPPER(TRIM(D471&amp;"")),
_xlpm.form,UPPER(TRIM(E471&amp;"")),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71" s="1" t="str">
        <f t="shared" si="7"/>
        <v>Required</v>
      </c>
      <c r="H471" s="5" t="s">
        <v>2972</v>
      </c>
      <c r="I471" s="1" t="s">
        <v>25</v>
      </c>
      <c r="J471" s="1" t="s">
        <v>2971</v>
      </c>
      <c r="K471" s="1" t="s">
        <v>2960</v>
      </c>
      <c r="L471" s="1" t="s">
        <v>25</v>
      </c>
      <c r="M471" s="1" t="s">
        <v>28</v>
      </c>
      <c r="N471" s="1" t="s">
        <v>2969</v>
      </c>
      <c r="O471" s="1" t="s">
        <v>19</v>
      </c>
      <c r="P471" s="1" t="s">
        <v>18</v>
      </c>
      <c r="Q471" s="1" t="s">
        <v>20</v>
      </c>
      <c r="R471" s="1" t="s">
        <v>2970</v>
      </c>
      <c r="S471" s="1">
        <v>2</v>
      </c>
      <c r="T471" s="1" t="s">
        <v>2973</v>
      </c>
    </row>
    <row r="472" spans="1:20">
      <c r="A472" s="1" t="s">
        <v>2977</v>
      </c>
      <c r="B472" s="1" t="str" cm="1">
        <f t="array" ref="B472">IF(A472="","",_xlfn.IFS(COUNTIF($U:$U,A472)&gt;0,"All uploaded",COUNTIF($V:$V,A472)&gt;0,"Partly uploaded",COUNTIF($W:$X,A472)&gt;0,"Not uploaded",TRUE,"Not classified"))</f>
        <v>Partly uploaded</v>
      </c>
      <c r="C472" s="1" t="str" cm="1">
        <f t="array" ref="C472">_xlfn.SWITCH(TRIM(I472),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72" s="1" t="s">
        <v>1</v>
      </c>
      <c r="E472" s="1" t="s">
        <v>4</v>
      </c>
      <c r="F472" s="1" t="str" cm="1">
        <f t="array" ref="F472">_xlfn.LET(
_xlpm.status,UPPER(TRIM(B472&amp;"")),
_xlpm.risk,UPPER(TRIM(C472&amp;"")),
_xlpm.notify,UPPER(TRIM(D472&amp;"")),
_xlpm.form,UPPER(TRIM(E472&amp;"")),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72" s="1" t="str">
        <f t="shared" si="7"/>
        <v>NA</v>
      </c>
      <c r="H472" s="5" t="s">
        <v>2979</v>
      </c>
      <c r="I472" s="1" t="s">
        <v>23</v>
      </c>
      <c r="J472" s="1" t="s">
        <v>2978</v>
      </c>
      <c r="K472" s="1" t="s">
        <v>2976</v>
      </c>
      <c r="L472" s="1" t="s">
        <v>23</v>
      </c>
      <c r="M472" s="1" t="s">
        <v>28</v>
      </c>
      <c r="N472" s="1" t="s">
        <v>2656</v>
      </c>
      <c r="O472" s="1" t="s">
        <v>19</v>
      </c>
      <c r="P472" s="1" t="s">
        <v>18</v>
      </c>
      <c r="Q472" s="1" t="s">
        <v>20</v>
      </c>
      <c r="R472" s="1" t="s">
        <v>2970</v>
      </c>
      <c r="S472" s="1">
        <v>7</v>
      </c>
      <c r="T472" s="1" t="s">
        <v>2980</v>
      </c>
    </row>
    <row r="473" spans="1:20">
      <c r="A473" s="1" t="s">
        <v>2982</v>
      </c>
      <c r="B473" s="1" t="str" cm="1">
        <f t="array" ref="B473">IF(A473="","",_xlfn.IFS(COUNTIF($U:$U,A473)&gt;0,"All uploaded",COUNTIF($V:$V,A473)&gt;0,"Partly uploaded",COUNTIF($W:$X,A473)&gt;0,"Not uploaded",TRUE,"Not classified"))</f>
        <v>Partly uploaded</v>
      </c>
      <c r="C473" s="1" t="str" cm="1">
        <f t="array" ref="C473">_xlfn.SWITCH(TRIM(I473),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73" s="1" t="s">
        <v>1</v>
      </c>
      <c r="E473" s="1" t="s">
        <v>3</v>
      </c>
      <c r="F473" s="1" t="str" cm="1">
        <f t="array" ref="F473">_xlfn.LET(
_xlpm.status,UPPER(TRIM(B473&amp;"")),
_xlpm.risk,UPPER(TRIM(C473&amp;"")),
_xlpm.notify,UPPER(TRIM(D473&amp;"")),
_xlpm.form,UPPER(TRIM(E473&amp;"")),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73" s="1" t="str">
        <f t="shared" si="7"/>
        <v>NA</v>
      </c>
      <c r="H473" s="5" t="s">
        <v>2985</v>
      </c>
      <c r="I473" s="1" t="s">
        <v>48</v>
      </c>
      <c r="J473" s="1" t="s">
        <v>2984</v>
      </c>
      <c r="K473" s="1" t="s">
        <v>2981</v>
      </c>
      <c r="L473" s="1" t="s">
        <v>48</v>
      </c>
      <c r="M473" s="1" t="s">
        <v>28</v>
      </c>
      <c r="N473" s="1" t="s">
        <v>2983</v>
      </c>
      <c r="O473" s="1" t="s">
        <v>19</v>
      </c>
      <c r="P473" s="1" t="s">
        <v>18</v>
      </c>
      <c r="Q473" s="1" t="s">
        <v>20</v>
      </c>
      <c r="R473" s="1" t="s">
        <v>2896</v>
      </c>
      <c r="S473" s="1">
        <v>9</v>
      </c>
      <c r="T473" s="1" t="s">
        <v>2986</v>
      </c>
    </row>
    <row r="474" spans="1:20">
      <c r="A474" s="1" t="s">
        <v>2988</v>
      </c>
      <c r="B474" s="1" t="str" cm="1">
        <f t="array" ref="B474">IF(A474="","",_xlfn.IFS(COUNTIF($U:$U,A474)&gt;0,"All uploaded",COUNTIF($V:$V,A474)&gt;0,"Partly uploaded",COUNTIF($W:$X,A474)&gt;0,"Not uploaded",TRUE,"Not classified"))</f>
        <v>All uploaded</v>
      </c>
      <c r="C474" s="1" t="str" cm="1">
        <f t="array" ref="C474">_xlfn.SWITCH(TRIM(I474),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74" s="1" t="s">
        <v>1</v>
      </c>
      <c r="E474" s="1" t="s">
        <v>3</v>
      </c>
      <c r="F474" s="1" t="str" cm="1">
        <f t="array" ref="F474">_xlfn.LET(
_xlpm.status,UPPER(TRIM(B474&amp;"")),
_xlpm.risk,UPPER(TRIM(C474&amp;"")),
_xlpm.notify,UPPER(TRIM(D474&amp;"")),
_xlpm.form,UPPER(TRIM(E474&amp;"")),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74" s="1" t="str">
        <f t="shared" si="7"/>
        <v>NA</v>
      </c>
      <c r="H474" s="5" t="s">
        <v>2992</v>
      </c>
      <c r="I474" s="1" t="s">
        <v>23</v>
      </c>
      <c r="J474" s="1" t="s">
        <v>2991</v>
      </c>
      <c r="K474" s="1" t="s">
        <v>2987</v>
      </c>
      <c r="L474" s="1" t="s">
        <v>23</v>
      </c>
      <c r="M474" s="1" t="s">
        <v>28</v>
      </c>
      <c r="N474" s="1" t="s">
        <v>2989</v>
      </c>
      <c r="O474" s="1" t="s">
        <v>19</v>
      </c>
      <c r="P474" s="1" t="s">
        <v>18</v>
      </c>
      <c r="Q474" s="1" t="s">
        <v>20</v>
      </c>
      <c r="R474" s="1" t="s">
        <v>2990</v>
      </c>
      <c r="S474" s="1">
        <v>1</v>
      </c>
      <c r="T474" s="1" t="s">
        <v>2993</v>
      </c>
    </row>
    <row r="475" spans="1:20">
      <c r="A475" s="1" t="s">
        <v>2988</v>
      </c>
      <c r="B475" s="1" t="str" cm="1">
        <f t="array" ref="B475">IF(A475="","",_xlfn.IFS(COUNTIF($U:$U,A475)&gt;0,"All uploaded",COUNTIF($V:$V,A475)&gt;0,"Partly uploaded",COUNTIF($W:$X,A475)&gt;0,"Not uploaded",TRUE,"Not classified"))</f>
        <v>All uploaded</v>
      </c>
      <c r="C475" s="1" t="str" cm="1">
        <f t="array" ref="C475">_xlfn.SWITCH(TRIM(I475),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75" s="1" t="s">
        <v>1</v>
      </c>
      <c r="E475" s="1" t="s">
        <v>3</v>
      </c>
      <c r="F475" s="1" t="str" cm="1">
        <f t="array" ref="F475">_xlfn.LET(
_xlpm.status,UPPER(TRIM(B475&amp;"")),
_xlpm.risk,UPPER(TRIM(C475&amp;"")),
_xlpm.notify,UPPER(TRIM(D475&amp;"")),
_xlpm.form,UPPER(TRIM(E475&amp;"")),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75" s="1" t="str">
        <f t="shared" si="7"/>
        <v>NA</v>
      </c>
      <c r="H475" s="5" t="s">
        <v>2996</v>
      </c>
      <c r="I475" s="1" t="s">
        <v>23</v>
      </c>
      <c r="J475" s="1" t="s">
        <v>2995</v>
      </c>
      <c r="K475" s="1" t="s">
        <v>2987</v>
      </c>
      <c r="L475" s="1" t="s">
        <v>23</v>
      </c>
      <c r="M475" s="1" t="s">
        <v>28</v>
      </c>
      <c r="N475" s="1" t="s">
        <v>2989</v>
      </c>
      <c r="O475" s="1" t="s">
        <v>19</v>
      </c>
      <c r="P475" s="1" t="s">
        <v>18</v>
      </c>
      <c r="Q475" s="1" t="s">
        <v>20</v>
      </c>
      <c r="R475" s="1" t="s">
        <v>2994</v>
      </c>
      <c r="S475" s="1">
        <v>1</v>
      </c>
      <c r="T475" s="1" t="s">
        <v>2993</v>
      </c>
    </row>
    <row r="476" spans="1:20">
      <c r="A476" s="1" t="s">
        <v>2998</v>
      </c>
      <c r="B476" s="1" t="str" cm="1">
        <f t="array" ref="B476">IF(A476="","",_xlfn.IFS(COUNTIF($U:$U,A476)&gt;0,"All uploaded",COUNTIF($V:$V,A476)&gt;0,"Partly uploaded",COUNTIF($W:$X,A476)&gt;0,"Not uploaded",TRUE,"Not classified"))</f>
        <v>Partly uploaded</v>
      </c>
      <c r="C476" s="1" t="str" cm="1">
        <f t="array" ref="C476">_xlfn.SWITCH(TRIM(I476),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76" s="1" t="s">
        <v>0</v>
      </c>
      <c r="E476" s="1" t="s">
        <v>3</v>
      </c>
      <c r="F476" s="1" t="str" cm="1">
        <f t="array" ref="F476">_xlfn.LET(
_xlpm.status,UPPER(TRIM(B476&amp;"")),
_xlpm.risk,UPPER(TRIM(C476&amp;"")),
_xlpm.notify,UPPER(TRIM(D476&amp;"")),
_xlpm.form,UPPER(TRIM(E476&amp;"")),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76" s="1" t="str">
        <f t="shared" si="7"/>
        <v>NA</v>
      </c>
      <c r="H476" s="5" t="s">
        <v>3001</v>
      </c>
      <c r="I476" s="1" t="s">
        <v>25</v>
      </c>
      <c r="J476" s="1" t="s">
        <v>3000</v>
      </c>
      <c r="K476" s="1" t="s">
        <v>2997</v>
      </c>
      <c r="L476" s="1" t="s">
        <v>25</v>
      </c>
      <c r="M476" s="1" t="s">
        <v>28</v>
      </c>
      <c r="N476" s="1" t="s">
        <v>2965</v>
      </c>
      <c r="O476" s="1" t="s">
        <v>19</v>
      </c>
      <c r="P476" s="1" t="s">
        <v>18</v>
      </c>
      <c r="Q476" s="1" t="s">
        <v>20</v>
      </c>
      <c r="R476" s="1" t="s">
        <v>2999</v>
      </c>
      <c r="S476" s="1">
        <v>3</v>
      </c>
      <c r="T476" s="1" t="s">
        <v>3002</v>
      </c>
    </row>
    <row r="477" spans="1:20">
      <c r="A477" s="1" t="s">
        <v>3009</v>
      </c>
      <c r="B477" s="1" t="str" cm="1">
        <f t="array" ref="B477">IF(A477="","",_xlfn.IFS(COUNTIF($U:$U,A477)&gt;0,"All uploaded",COUNTIF($V:$V,A477)&gt;0,"Partly uploaded",COUNTIF($W:$X,A477)&gt;0,"Not uploaded",TRUE,"Not classified"))</f>
        <v>Partly uploaded</v>
      </c>
      <c r="C477" s="1" t="str" cm="1">
        <f t="array" ref="C477">_xlfn.SWITCH(TRIM(I477),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77" s="1" t="s">
        <v>1</v>
      </c>
      <c r="E477" s="1" t="s">
        <v>2</v>
      </c>
      <c r="F477" s="1" t="str" cm="1">
        <f t="array" ref="F477">_xlfn.LET(
_xlpm.status,UPPER(TRIM(B477&amp;"")),
_xlpm.risk,UPPER(TRIM(C477&amp;"")),
_xlpm.notify,UPPER(TRIM(D477&amp;"")),
_xlpm.form,UPPER(TRIM(E477&amp;"")),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477" s="1" t="str">
        <f t="shared" si="7"/>
        <v>NA</v>
      </c>
      <c r="H477" s="5" t="s">
        <v>3013</v>
      </c>
      <c r="I477" s="1" t="s">
        <v>10</v>
      </c>
      <c r="J477" s="1" t="s">
        <v>3012</v>
      </c>
      <c r="K477" s="1" t="s">
        <v>3008</v>
      </c>
      <c r="L477" s="1" t="s">
        <v>10</v>
      </c>
      <c r="M477" s="1" t="s">
        <v>77</v>
      </c>
      <c r="N477" s="1" t="s">
        <v>3010</v>
      </c>
      <c r="O477" s="1" t="s">
        <v>19</v>
      </c>
      <c r="P477" s="1" t="s">
        <v>18</v>
      </c>
      <c r="Q477" s="1" t="s">
        <v>20</v>
      </c>
      <c r="R477" s="1" t="s">
        <v>3011</v>
      </c>
      <c r="S477" s="1">
        <v>1</v>
      </c>
      <c r="T477" s="1" t="s">
        <v>3014</v>
      </c>
    </row>
    <row r="478" spans="1:20">
      <c r="A478" s="1" t="s">
        <v>3009</v>
      </c>
      <c r="B478" s="1" t="str" cm="1">
        <f t="array" ref="B478">IF(A478="","",_xlfn.IFS(COUNTIF($U:$U,A478)&gt;0,"All uploaded",COUNTIF($V:$V,A478)&gt;0,"Partly uploaded",COUNTIF($W:$X,A478)&gt;0,"Not uploaded",TRUE,"Not classified"))</f>
        <v>Partly uploaded</v>
      </c>
      <c r="C478" s="1" t="str" cm="1">
        <f t="array" ref="C478">_xlfn.SWITCH(TRIM(I478),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78" s="1" t="s">
        <v>1</v>
      </c>
      <c r="E478" s="1" t="s">
        <v>3</v>
      </c>
      <c r="F478" s="1" t="str" cm="1">
        <f t="array" ref="F478">_xlfn.LET(
_xlpm.status,UPPER(TRIM(B478&amp;"")),
_xlpm.risk,UPPER(TRIM(C478&amp;"")),
_xlpm.notify,UPPER(TRIM(D478&amp;"")),
_xlpm.form,UPPER(TRIM(E478&amp;"")),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478" s="1" t="str">
        <f t="shared" si="7"/>
        <v>NA</v>
      </c>
      <c r="H478" s="5" t="s">
        <v>3017</v>
      </c>
      <c r="I478" s="1" t="s">
        <v>10</v>
      </c>
      <c r="J478" s="1" t="s">
        <v>3016</v>
      </c>
      <c r="K478" s="1" t="s">
        <v>3008</v>
      </c>
      <c r="L478" s="1" t="s">
        <v>10</v>
      </c>
      <c r="M478" s="1" t="s">
        <v>75</v>
      </c>
      <c r="N478" s="1" t="s">
        <v>3010</v>
      </c>
      <c r="O478" s="1" t="s">
        <v>19</v>
      </c>
      <c r="P478" s="1" t="s">
        <v>18</v>
      </c>
      <c r="Q478" s="1" t="s">
        <v>20</v>
      </c>
      <c r="R478" s="1" t="s">
        <v>3015</v>
      </c>
      <c r="S478" s="1">
        <v>1</v>
      </c>
      <c r="T478" s="1" t="s">
        <v>3018</v>
      </c>
    </row>
    <row r="479" spans="1:20">
      <c r="A479" s="1" t="s">
        <v>3020</v>
      </c>
      <c r="B479" s="1" t="str" cm="1">
        <f t="array" ref="B479">IF(A479="","",_xlfn.IFS(COUNTIF($U:$U,A479)&gt;0,"All uploaded",COUNTIF($V:$V,A479)&gt;0,"Partly uploaded",COUNTIF($W:$X,A479)&gt;0,"Not uploaded",TRUE,"Not classified"))</f>
        <v>Partly uploaded</v>
      </c>
      <c r="C479" s="1" t="str" cm="1">
        <f t="array" ref="C479">_xlfn.SWITCH(TRIM(I479),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79" s="1" t="s">
        <v>1</v>
      </c>
      <c r="E479" s="1" t="s">
        <v>3</v>
      </c>
      <c r="F479" s="1" t="str" cm="1">
        <f t="array" ref="F479">_xlfn.LET(
_xlpm.status,UPPER(TRIM(B479&amp;"")),
_xlpm.risk,UPPER(TRIM(C479&amp;"")),
_xlpm.notify,UPPER(TRIM(D479&amp;"")),
_xlpm.form,UPPER(TRIM(E479&amp;"")),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479" s="1" t="str">
        <f t="shared" si="7"/>
        <v>NA</v>
      </c>
      <c r="H479" s="5" t="s">
        <v>3023</v>
      </c>
      <c r="I479" s="1" t="s">
        <v>10</v>
      </c>
      <c r="J479" s="1" t="s">
        <v>3022</v>
      </c>
      <c r="K479" s="1" t="s">
        <v>3019</v>
      </c>
      <c r="L479" s="1" t="s">
        <v>10</v>
      </c>
      <c r="M479" s="1" t="s">
        <v>75</v>
      </c>
      <c r="N479" s="1" t="s">
        <v>72</v>
      </c>
      <c r="O479" s="1" t="s">
        <v>19</v>
      </c>
      <c r="P479" s="1" t="s">
        <v>18</v>
      </c>
      <c r="Q479" s="1" t="s">
        <v>20</v>
      </c>
      <c r="R479" s="1" t="s">
        <v>3021</v>
      </c>
      <c r="S479" s="1">
        <v>23</v>
      </c>
      <c r="T479" s="1" t="s">
        <v>3024</v>
      </c>
    </row>
    <row r="480" spans="1:20">
      <c r="A480" s="1" t="s">
        <v>3026</v>
      </c>
      <c r="B480" s="1" t="str" cm="1">
        <f t="array" ref="B480">IF(A480="","",_xlfn.IFS(COUNTIF($U:$U,A480)&gt;0,"All uploaded",COUNTIF($V:$V,A480)&gt;0,"Partly uploaded",COUNTIF($W:$X,A480)&gt;0,"Not uploaded",TRUE,"Not classified"))</f>
        <v>Partly uploaded</v>
      </c>
      <c r="C480" s="1" t="str" cm="1">
        <f t="array" ref="C480">_xlfn.SWITCH(TRIM(I480),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80" s="1" t="s">
        <v>1</v>
      </c>
      <c r="E480" s="1" t="s">
        <v>4</v>
      </c>
      <c r="F480" s="1" t="str" cm="1">
        <f t="array" ref="F480">_xlfn.LET(
_xlpm.status,UPPER(TRIM(B480&amp;"")),
_xlpm.risk,UPPER(TRIM(C480&amp;"")),
_xlpm.notify,UPPER(TRIM(D480&amp;"")),
_xlpm.form,UPPER(TRIM(E480&amp;"")),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80" s="1" t="str">
        <f t="shared" si="7"/>
        <v>NA</v>
      </c>
      <c r="H480" s="5" t="s">
        <v>3030</v>
      </c>
      <c r="I480" s="1" t="s">
        <v>22</v>
      </c>
      <c r="J480" s="1" t="s">
        <v>3029</v>
      </c>
      <c r="K480" s="1" t="s">
        <v>3025</v>
      </c>
      <c r="L480" s="1" t="s">
        <v>22</v>
      </c>
      <c r="M480" s="1" t="s">
        <v>77</v>
      </c>
      <c r="N480" s="1" t="s">
        <v>3027</v>
      </c>
      <c r="O480" s="1" t="s">
        <v>19</v>
      </c>
      <c r="P480" s="1" t="s">
        <v>18</v>
      </c>
      <c r="Q480" s="1" t="s">
        <v>20</v>
      </c>
      <c r="R480" s="1" t="s">
        <v>3028</v>
      </c>
      <c r="S480" s="1">
        <v>4</v>
      </c>
      <c r="T480" s="1" t="s">
        <v>3031</v>
      </c>
    </row>
    <row r="481" spans="1:20">
      <c r="A481" s="1" t="s">
        <v>3026</v>
      </c>
      <c r="B481" s="1" t="str" cm="1">
        <f t="array" ref="B481">IF(A481="","",_xlfn.IFS(COUNTIF($U:$U,A481)&gt;0,"All uploaded",COUNTIF($V:$V,A481)&gt;0,"Partly uploaded",COUNTIF($W:$X,A481)&gt;0,"Not uploaded",TRUE,"Not classified"))</f>
        <v>Partly uploaded</v>
      </c>
      <c r="C481" s="1" t="str" cm="1">
        <f t="array" ref="C481">_xlfn.SWITCH(TRIM(I481),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81" s="1" t="s">
        <v>1</v>
      </c>
      <c r="E481" s="1" t="s">
        <v>4</v>
      </c>
      <c r="F481" s="1" t="str" cm="1">
        <f t="array" ref="F481">_xlfn.LET(
_xlpm.status,UPPER(TRIM(B481&amp;"")),
_xlpm.risk,UPPER(TRIM(C481&amp;"")),
_xlpm.notify,UPPER(TRIM(D481&amp;"")),
_xlpm.form,UPPER(TRIM(E481&amp;"")),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81" s="1" t="str">
        <f t="shared" si="7"/>
        <v>NA</v>
      </c>
      <c r="H481" s="5" t="s">
        <v>3034</v>
      </c>
      <c r="I481" s="1" t="s">
        <v>22</v>
      </c>
      <c r="J481" s="1" t="s">
        <v>3033</v>
      </c>
      <c r="K481" s="1" t="s">
        <v>3025</v>
      </c>
      <c r="L481" s="1" t="s">
        <v>22</v>
      </c>
      <c r="M481" s="1" t="s">
        <v>77</v>
      </c>
      <c r="N481" s="1" t="s">
        <v>3027</v>
      </c>
      <c r="O481" s="1" t="s">
        <v>19</v>
      </c>
      <c r="P481" s="1" t="s">
        <v>18</v>
      </c>
      <c r="Q481" s="1" t="s">
        <v>20</v>
      </c>
      <c r="R481" s="1" t="s">
        <v>3032</v>
      </c>
      <c r="S481" s="1">
        <v>4</v>
      </c>
      <c r="T481" s="1" t="s">
        <v>3031</v>
      </c>
    </row>
    <row r="482" spans="1:20">
      <c r="A482" s="1" t="s">
        <v>3026</v>
      </c>
      <c r="B482" s="1" t="str" cm="1">
        <f t="array" ref="B482">IF(A482="","",_xlfn.IFS(COUNTIF($U:$U,A482)&gt;0,"All uploaded",COUNTIF($V:$V,A482)&gt;0,"Partly uploaded",COUNTIF($W:$X,A482)&gt;0,"Not uploaded",TRUE,"Not classified"))</f>
        <v>Partly uploaded</v>
      </c>
      <c r="C482" s="1" t="str" cm="1">
        <f t="array" ref="C482">_xlfn.SWITCH(TRIM(I482),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82" s="1" t="s">
        <v>0</v>
      </c>
      <c r="E482" s="1" t="s">
        <v>3</v>
      </c>
      <c r="F482" s="1" t="str" cm="1">
        <f t="array" ref="F482">_xlfn.LET(
_xlpm.status,UPPER(TRIM(B482&amp;"")),
_xlpm.risk,UPPER(TRIM(C482&amp;"")),
_xlpm.notify,UPPER(TRIM(D482&amp;"")),
_xlpm.form,UPPER(TRIM(E482&amp;"")),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82" s="1" t="str">
        <f t="shared" si="7"/>
        <v>NA</v>
      </c>
      <c r="H482" s="5" t="s">
        <v>3034</v>
      </c>
      <c r="I482" s="1" t="s">
        <v>22</v>
      </c>
      <c r="J482" s="1" t="s">
        <v>3036</v>
      </c>
      <c r="K482" s="1" t="s">
        <v>3025</v>
      </c>
      <c r="L482" s="1" t="s">
        <v>22</v>
      </c>
      <c r="M482" s="1" t="s">
        <v>77</v>
      </c>
      <c r="N482" s="1" t="s">
        <v>3027</v>
      </c>
      <c r="O482" s="1" t="s">
        <v>19</v>
      </c>
      <c r="P482" s="1" t="s">
        <v>18</v>
      </c>
      <c r="Q482" s="1" t="s">
        <v>20</v>
      </c>
      <c r="R482" s="1" t="s">
        <v>3035</v>
      </c>
      <c r="S482" s="1">
        <v>4</v>
      </c>
      <c r="T482" s="1" t="s">
        <v>3031</v>
      </c>
    </row>
    <row r="483" spans="1:20">
      <c r="A483" s="1" t="s">
        <v>3038</v>
      </c>
      <c r="B483" s="1" t="str" cm="1">
        <f t="array" ref="B483">IF(A483="","",_xlfn.IFS(COUNTIF($U:$U,A483)&gt;0,"All uploaded",COUNTIF($V:$V,A483)&gt;0,"Partly uploaded",COUNTIF($W:$X,A483)&gt;0,"Not uploaded",TRUE,"Not classified"))</f>
        <v>Partly uploaded</v>
      </c>
      <c r="C483" s="1" t="str" cm="1">
        <f t="array" ref="C483">_xlfn.SWITCH(TRIM(I483),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83" s="1" t="s">
        <v>1</v>
      </c>
      <c r="E483" s="1" t="s">
        <v>3</v>
      </c>
      <c r="F483" s="1" t="str" cm="1">
        <f t="array" ref="F483">_xlfn.LET(
_xlpm.status,UPPER(TRIM(B483&amp;"")),
_xlpm.risk,UPPER(TRIM(C483&amp;"")),
_xlpm.notify,UPPER(TRIM(D483&amp;"")),
_xlpm.form,UPPER(TRIM(E483&amp;"")),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83" s="1" t="str">
        <f t="shared" si="7"/>
        <v>NA</v>
      </c>
      <c r="H483" s="5" t="s">
        <v>3041</v>
      </c>
      <c r="I483" s="1" t="s">
        <v>22</v>
      </c>
      <c r="J483" s="1" t="s">
        <v>3040</v>
      </c>
      <c r="K483" s="1" t="s">
        <v>3037</v>
      </c>
      <c r="L483" s="1" t="s">
        <v>22</v>
      </c>
      <c r="M483" s="1" t="s">
        <v>77</v>
      </c>
      <c r="N483" s="1" t="s">
        <v>3039</v>
      </c>
      <c r="O483" s="1" t="s">
        <v>19</v>
      </c>
      <c r="P483" s="1" t="s">
        <v>18</v>
      </c>
      <c r="Q483" s="1" t="s">
        <v>20</v>
      </c>
      <c r="R483" s="1" t="s">
        <v>3021</v>
      </c>
      <c r="S483" s="1">
        <v>3</v>
      </c>
      <c r="T483" s="1" t="s">
        <v>3042</v>
      </c>
    </row>
    <row r="484" spans="1:20">
      <c r="A484" s="1" t="s">
        <v>3050</v>
      </c>
      <c r="B484" s="1" t="str" cm="1">
        <f t="array" ref="B484">IF(A484="","",_xlfn.IFS(COUNTIF($U:$U,A484)&gt;0,"All uploaded",COUNTIF($V:$V,A484)&gt;0,"Partly uploaded",COUNTIF($W:$X,A484)&gt;0,"Not uploaded",TRUE,"Not classified"))</f>
        <v>All uploaded</v>
      </c>
      <c r="C484" s="1" t="str" cm="1">
        <f t="array" ref="C484">_xlfn.SWITCH(TRIM(I484),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84" s="1" t="s">
        <v>1</v>
      </c>
      <c r="E484" s="1" t="s">
        <v>3</v>
      </c>
      <c r="F484" s="1" t="str" cm="1">
        <f t="array" ref="F484">_xlfn.LET(
_xlpm.status,UPPER(TRIM(B484&amp;"")),
_xlpm.risk,UPPER(TRIM(C484&amp;"")),
_xlpm.notify,UPPER(TRIM(D484&amp;"")),
_xlpm.form,UPPER(TRIM(E484&amp;"")),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84" s="1" t="str">
        <f t="shared" si="7"/>
        <v>NA</v>
      </c>
      <c r="H484" s="5" t="s">
        <v>3053</v>
      </c>
      <c r="I484" s="1" t="s">
        <v>23</v>
      </c>
      <c r="J484" s="1" t="s">
        <v>3052</v>
      </c>
      <c r="K484" s="1" t="s">
        <v>3049</v>
      </c>
      <c r="L484" s="1" t="s">
        <v>23</v>
      </c>
      <c r="M484" s="1" t="s">
        <v>28</v>
      </c>
      <c r="N484" s="1" t="s">
        <v>117</v>
      </c>
      <c r="O484" s="1" t="s">
        <v>19</v>
      </c>
      <c r="P484" s="1" t="s">
        <v>18</v>
      </c>
      <c r="Q484" s="1" t="s">
        <v>20</v>
      </c>
      <c r="R484" s="1" t="s">
        <v>3051</v>
      </c>
      <c r="S484" s="1">
        <v>2</v>
      </c>
      <c r="T484" s="1" t="s">
        <v>3054</v>
      </c>
    </row>
    <row r="485" spans="1:20">
      <c r="A485" s="1" t="s">
        <v>3062</v>
      </c>
      <c r="B485" s="1" t="str" cm="1">
        <f t="array" ref="B485">IF(A485="","",_xlfn.IFS(COUNTIF($U:$U,A485)&gt;0,"All uploaded",COUNTIF($V:$V,A485)&gt;0,"Partly uploaded",COUNTIF($W:$X,A485)&gt;0,"Not uploaded",TRUE,"Not classified"))</f>
        <v>Partly uploaded</v>
      </c>
      <c r="C485" s="1" t="str" cm="1">
        <f t="array" ref="C485">_xlfn.SWITCH(TRIM(I485),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85" s="1" t="s">
        <v>1</v>
      </c>
      <c r="E485" s="1" t="s">
        <v>3</v>
      </c>
      <c r="F485" s="1" t="str" cm="1">
        <f t="array" ref="F485">_xlfn.LET(
_xlpm.status,UPPER(TRIM(B485&amp;"")),
_xlpm.risk,UPPER(TRIM(C485&amp;"")),
_xlpm.notify,UPPER(TRIM(D485&amp;"")),
_xlpm.form,UPPER(TRIM(E485&amp;"")),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85" s="1" t="str">
        <f t="shared" si="7"/>
        <v>NA</v>
      </c>
      <c r="H485" s="5" t="s">
        <v>3066</v>
      </c>
      <c r="I485" s="1" t="s">
        <v>48</v>
      </c>
      <c r="J485" s="1" t="s">
        <v>3065</v>
      </c>
      <c r="K485" s="1" t="s">
        <v>3061</v>
      </c>
      <c r="L485" s="1" t="s">
        <v>48</v>
      </c>
      <c r="M485" s="1" t="s">
        <v>28</v>
      </c>
      <c r="N485" s="1" t="s">
        <v>3063</v>
      </c>
      <c r="O485" s="1" t="s">
        <v>19</v>
      </c>
      <c r="P485" s="1" t="s">
        <v>18</v>
      </c>
      <c r="Q485" s="1" t="s">
        <v>20</v>
      </c>
      <c r="R485" s="1" t="s">
        <v>3064</v>
      </c>
      <c r="S485" s="1">
        <v>2</v>
      </c>
      <c r="T485" s="1" t="s">
        <v>3067</v>
      </c>
    </row>
    <row r="486" spans="1:20">
      <c r="A486" s="1" t="s">
        <v>3069</v>
      </c>
      <c r="B486" s="1" t="str" cm="1">
        <f t="array" ref="B486">IF(A486="","",_xlfn.IFS(COUNTIF($U:$U,A486)&gt;0,"All uploaded",COUNTIF($V:$V,A486)&gt;0,"Partly uploaded",COUNTIF($W:$X,A486)&gt;0,"Not uploaded",TRUE,"Not classified"))</f>
        <v>Partly uploaded</v>
      </c>
      <c r="C486" s="1" t="str" cm="1">
        <f t="array" ref="C486">_xlfn.SWITCH(TRIM(I486),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86" s="1" t="s">
        <v>1</v>
      </c>
      <c r="E486" s="1" t="s">
        <v>4</v>
      </c>
      <c r="F486" s="1" t="str" cm="1">
        <f t="array" ref="F486">_xlfn.LET(
_xlpm.status,UPPER(TRIM(B486&amp;"")),
_xlpm.risk,UPPER(TRIM(C486&amp;"")),
_xlpm.notify,UPPER(TRIM(D486&amp;"")),
_xlpm.form,UPPER(TRIM(E486&amp;"")),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86" s="1" t="str">
        <f t="shared" si="7"/>
        <v>NA</v>
      </c>
      <c r="H486" s="5" t="s">
        <v>3072</v>
      </c>
      <c r="I486" s="1" t="s">
        <v>23</v>
      </c>
      <c r="J486" s="1" t="s">
        <v>3071</v>
      </c>
      <c r="K486" s="1" t="s">
        <v>3068</v>
      </c>
      <c r="L486" s="1" t="s">
        <v>23</v>
      </c>
      <c r="M486" s="1" t="s">
        <v>28</v>
      </c>
      <c r="N486" s="1" t="s">
        <v>2246</v>
      </c>
      <c r="O486" s="1" t="s">
        <v>19</v>
      </c>
      <c r="P486" s="1" t="s">
        <v>18</v>
      </c>
      <c r="Q486" s="1" t="s">
        <v>20</v>
      </c>
      <c r="R486" s="1" t="s">
        <v>3070</v>
      </c>
      <c r="S486" s="1">
        <v>20</v>
      </c>
      <c r="T486" s="1" t="s">
        <v>3073</v>
      </c>
    </row>
    <row r="487" spans="1:20">
      <c r="A487" s="1" t="s">
        <v>3075</v>
      </c>
      <c r="B487" s="1" t="str" cm="1">
        <f t="array" ref="B487">IF(A487="","",_xlfn.IFS(COUNTIF($U:$U,A487)&gt;0,"All uploaded",COUNTIF($V:$V,A487)&gt;0,"Partly uploaded",COUNTIF($W:$X,A487)&gt;0,"Not uploaded",TRUE,"Not classified"))</f>
        <v>All uploaded</v>
      </c>
      <c r="C487" s="1" t="str" cm="1">
        <f t="array" ref="C487">_xlfn.SWITCH(TRIM(I487),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87" s="1" t="s">
        <v>1</v>
      </c>
      <c r="E487" s="1" t="s">
        <v>3</v>
      </c>
      <c r="F487" s="1" t="str" cm="1">
        <f t="array" ref="F487">_xlfn.LET(
_xlpm.status,UPPER(TRIM(B487&amp;"")),
_xlpm.risk,UPPER(TRIM(C487&amp;"")),
_xlpm.notify,UPPER(TRIM(D487&amp;"")),
_xlpm.form,UPPER(TRIM(E487&amp;"")),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87" s="1" t="str">
        <f t="shared" si="7"/>
        <v>NA</v>
      </c>
      <c r="H487" s="5" t="s">
        <v>3078</v>
      </c>
      <c r="I487" s="1" t="s">
        <v>23</v>
      </c>
      <c r="J487" s="1" t="s">
        <v>3077</v>
      </c>
      <c r="K487" s="1" t="s">
        <v>3074</v>
      </c>
      <c r="L487" s="1" t="s">
        <v>23</v>
      </c>
      <c r="M487" s="1" t="s">
        <v>28</v>
      </c>
      <c r="N487" s="1" t="s">
        <v>3076</v>
      </c>
      <c r="O487" s="1" t="s">
        <v>19</v>
      </c>
      <c r="P487" s="1" t="s">
        <v>18</v>
      </c>
      <c r="Q487" s="1" t="s">
        <v>20</v>
      </c>
      <c r="R487" s="1" t="s">
        <v>2793</v>
      </c>
      <c r="S487" s="1">
        <v>5</v>
      </c>
      <c r="T487" s="1" t="s">
        <v>3079</v>
      </c>
    </row>
    <row r="488" spans="1:20">
      <c r="A488" s="1" t="s">
        <v>3081</v>
      </c>
      <c r="B488" s="1" t="str" cm="1">
        <f t="array" ref="B488">IF(A488="","",_xlfn.IFS(COUNTIF($U:$U,A488)&gt;0,"All uploaded",COUNTIF($V:$V,A488)&gt;0,"Partly uploaded",COUNTIF($W:$X,A488)&gt;0,"Not uploaded",TRUE,"Not classified"))</f>
        <v>Partly uploaded</v>
      </c>
      <c r="C488" s="1" t="str" cm="1">
        <f t="array" ref="C488">_xlfn.SWITCH(TRIM(I488),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88" s="1" t="s">
        <v>1</v>
      </c>
      <c r="E488" s="1" t="s">
        <v>3</v>
      </c>
      <c r="F488" s="1" t="str" cm="1">
        <f t="array" ref="F488">_xlfn.LET(
_xlpm.status,UPPER(TRIM(B488&amp;"")),
_xlpm.risk,UPPER(TRIM(C488&amp;"")),
_xlpm.notify,UPPER(TRIM(D488&amp;"")),
_xlpm.form,UPPER(TRIM(E488&amp;"")),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88" s="1" t="str">
        <f t="shared" si="7"/>
        <v>NA</v>
      </c>
      <c r="H488" s="5" t="s">
        <v>3083</v>
      </c>
      <c r="I488" s="1" t="s">
        <v>23</v>
      </c>
      <c r="J488" s="1" t="s">
        <v>3082</v>
      </c>
      <c r="K488" s="1" t="s">
        <v>3080</v>
      </c>
      <c r="L488" s="1" t="s">
        <v>23</v>
      </c>
      <c r="M488" s="1" t="s">
        <v>28</v>
      </c>
      <c r="N488" s="1" t="s">
        <v>889</v>
      </c>
      <c r="O488" s="1" t="s">
        <v>19</v>
      </c>
      <c r="P488" s="1" t="s">
        <v>18</v>
      </c>
      <c r="Q488" s="1" t="s">
        <v>20</v>
      </c>
      <c r="R488" s="1" t="s">
        <v>3070</v>
      </c>
      <c r="S488" s="1">
        <v>3</v>
      </c>
      <c r="T488" s="1" t="s">
        <v>3084</v>
      </c>
    </row>
    <row r="489" spans="1:20">
      <c r="A489" s="1" t="s">
        <v>3091</v>
      </c>
      <c r="B489" s="1" t="str" cm="1">
        <f t="array" ref="B489">IF(A489="","",_xlfn.IFS(COUNTIF($U:$U,A489)&gt;0,"All uploaded",COUNTIF($V:$V,A489)&gt;0,"Partly uploaded",COUNTIF($W:$X,A489)&gt;0,"Not uploaded",TRUE,"Not classified"))</f>
        <v>All uploaded</v>
      </c>
      <c r="C489" s="1" t="str" cm="1">
        <f t="array" ref="C489">_xlfn.SWITCH(TRIM(I489),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89" s="1" t="s">
        <v>1</v>
      </c>
      <c r="E489" s="1" t="s">
        <v>3</v>
      </c>
      <c r="F489" s="1" t="str" cm="1">
        <f t="array" ref="F489">_xlfn.LET(
_xlpm.status,UPPER(TRIM(B489&amp;"")),
_xlpm.risk,UPPER(TRIM(C489&amp;"")),
_xlpm.notify,UPPER(TRIM(D489&amp;"")),
_xlpm.form,UPPER(TRIM(E489&amp;"")),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89" s="1" t="str">
        <f t="shared" si="7"/>
        <v>NA</v>
      </c>
      <c r="H489" s="5" t="s">
        <v>3095</v>
      </c>
      <c r="I489" s="1" t="s">
        <v>23</v>
      </c>
      <c r="J489" s="1" t="s">
        <v>3094</v>
      </c>
      <c r="K489" s="1" t="s">
        <v>3090</v>
      </c>
      <c r="L489" s="1" t="s">
        <v>23</v>
      </c>
      <c r="M489" s="1" t="s">
        <v>28</v>
      </c>
      <c r="N489" s="1" t="s">
        <v>3092</v>
      </c>
      <c r="O489" s="1" t="s">
        <v>19</v>
      </c>
      <c r="P489" s="1" t="s">
        <v>18</v>
      </c>
      <c r="Q489" s="1" t="s">
        <v>20</v>
      </c>
      <c r="R489" s="1" t="s">
        <v>3093</v>
      </c>
      <c r="S489" s="1">
        <v>1</v>
      </c>
      <c r="T489" s="1" t="s">
        <v>3096</v>
      </c>
    </row>
    <row r="490" spans="1:20">
      <c r="A490" s="1" t="s">
        <v>3104</v>
      </c>
      <c r="B490" s="1" t="str" cm="1">
        <f t="array" ref="B490">IF(A490="","",_xlfn.IFS(COUNTIF($U:$U,A490)&gt;0,"All uploaded",COUNTIF($V:$V,A490)&gt;0,"Partly uploaded",COUNTIF($W:$X,A490)&gt;0,"Not uploaded",TRUE,"Not classified"))</f>
        <v>All uploaded</v>
      </c>
      <c r="C490" s="1" t="str" cm="1">
        <f t="array" ref="C490">_xlfn.SWITCH(TRIM(I490),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90" s="1" t="s">
        <v>1</v>
      </c>
      <c r="E490" s="1" t="s">
        <v>4</v>
      </c>
      <c r="F490" s="1" t="str" cm="1">
        <f t="array" ref="F490">_xlfn.LET(
_xlpm.status,UPPER(TRIM(B490&amp;"")),
_xlpm.risk,UPPER(TRIM(C490&amp;"")),
_xlpm.notify,UPPER(TRIM(D490&amp;"")),
_xlpm.form,UPPER(TRIM(E490&amp;"")),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90" s="1" t="str">
        <f t="shared" si="7"/>
        <v>NA</v>
      </c>
      <c r="H490" s="5" t="s">
        <v>3107</v>
      </c>
      <c r="I490" s="1" t="s">
        <v>22</v>
      </c>
      <c r="J490" s="1" t="s">
        <v>3106</v>
      </c>
      <c r="K490" s="1" t="s">
        <v>3103</v>
      </c>
      <c r="L490" s="1" t="s">
        <v>22</v>
      </c>
      <c r="M490" s="1" t="s">
        <v>77</v>
      </c>
      <c r="N490" s="1" t="s">
        <v>3105</v>
      </c>
      <c r="O490" s="1" t="s">
        <v>19</v>
      </c>
      <c r="P490" s="1" t="s">
        <v>18</v>
      </c>
      <c r="Q490" s="1" t="s">
        <v>20</v>
      </c>
      <c r="R490" s="1" t="s">
        <v>2591</v>
      </c>
      <c r="S490" s="1">
        <v>1</v>
      </c>
      <c r="T490" s="1" t="s">
        <v>3108</v>
      </c>
    </row>
    <row r="491" spans="1:20">
      <c r="A491" s="1" t="s">
        <v>3104</v>
      </c>
      <c r="B491" s="1" t="str" cm="1">
        <f t="array" ref="B491">IF(A491="","",_xlfn.IFS(COUNTIF($U:$U,A491)&gt;0,"All uploaded",COUNTIF($V:$V,A491)&gt;0,"Partly uploaded",COUNTIF($W:$X,A491)&gt;0,"Not uploaded",TRUE,"Not classified"))</f>
        <v>All uploaded</v>
      </c>
      <c r="C491" s="1" t="str" cm="1">
        <f t="array" ref="C491">_xlfn.SWITCH(TRIM(I491),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91" s="1" t="s">
        <v>1</v>
      </c>
      <c r="E491" s="1" t="s">
        <v>5</v>
      </c>
      <c r="F491" s="1" t="str" cm="1">
        <f t="array" ref="F491">_xlfn.LET(
_xlpm.status,UPPER(TRIM(B491&amp;"")),
_xlpm.risk,UPPER(TRIM(C491&amp;"")),
_xlpm.notify,UPPER(TRIM(D491&amp;"")),
_xlpm.form,UPPER(TRIM(E491&amp;"")),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canceled</v>
      </c>
      <c r="G491" s="1" t="str">
        <f t="shared" si="7"/>
        <v>NA</v>
      </c>
      <c r="H491" s="5" t="s">
        <v>3107</v>
      </c>
      <c r="I491" s="1" t="s">
        <v>22</v>
      </c>
      <c r="J491" s="1" t="s">
        <v>3110</v>
      </c>
      <c r="K491" s="1" t="s">
        <v>3103</v>
      </c>
      <c r="L491" s="1" t="s">
        <v>22</v>
      </c>
      <c r="M491" s="1" t="s">
        <v>77</v>
      </c>
      <c r="N491" s="1" t="s">
        <v>3105</v>
      </c>
      <c r="O491" s="1" t="s">
        <v>19</v>
      </c>
      <c r="P491" s="1" t="s">
        <v>18</v>
      </c>
      <c r="Q491" s="1" t="s">
        <v>20</v>
      </c>
      <c r="R491" s="1" t="s">
        <v>3109</v>
      </c>
      <c r="S491" s="1">
        <v>1</v>
      </c>
      <c r="T491" s="1" t="s">
        <v>3108</v>
      </c>
    </row>
    <row r="492" spans="1:20">
      <c r="A492" s="1" t="s">
        <v>3112</v>
      </c>
      <c r="B492" s="1" t="str" cm="1">
        <f t="array" ref="B492">IF(A492="","",_xlfn.IFS(COUNTIF($U:$U,A492)&gt;0,"All uploaded",COUNTIF($V:$V,A492)&gt;0,"Partly uploaded",COUNTIF($W:$X,A492)&gt;0,"Not uploaded",TRUE,"Not classified"))</f>
        <v>All uploaded</v>
      </c>
      <c r="C492" s="1" t="str" cm="1">
        <f t="array" ref="C492">_xlfn.SWITCH(TRIM(I492),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92" s="1" t="s">
        <v>1</v>
      </c>
      <c r="E492" s="1" t="s">
        <v>2</v>
      </c>
      <c r="F492" s="1" t="str" cm="1">
        <f t="array" ref="F492">_xlfn.LET(
_xlpm.status,UPPER(TRIM(B492&amp;"")),
_xlpm.risk,UPPER(TRIM(C492&amp;"")),
_xlpm.notify,UPPER(TRIM(D492&amp;"")),
_xlpm.form,UPPER(TRIM(E492&amp;"")),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492" s="1" t="str">
        <f t="shared" si="7"/>
        <v>NA</v>
      </c>
      <c r="H492" s="5" t="s">
        <v>3115</v>
      </c>
      <c r="I492" s="1" t="s">
        <v>48</v>
      </c>
      <c r="J492" s="1" t="s">
        <v>3114</v>
      </c>
      <c r="K492" s="1" t="s">
        <v>3111</v>
      </c>
      <c r="L492" s="1" t="s">
        <v>48</v>
      </c>
      <c r="M492" s="1" t="s">
        <v>28</v>
      </c>
      <c r="N492" s="1" t="s">
        <v>2983</v>
      </c>
      <c r="O492" s="1" t="s">
        <v>30</v>
      </c>
      <c r="P492" s="1" t="s">
        <v>63</v>
      </c>
      <c r="Q492" s="1" t="s">
        <v>69</v>
      </c>
      <c r="R492" s="1" t="s">
        <v>3113</v>
      </c>
      <c r="S492" s="1">
        <v>1</v>
      </c>
      <c r="T492" s="1" t="s">
        <v>3116</v>
      </c>
    </row>
    <row r="493" spans="1:20">
      <c r="A493" s="1" t="s">
        <v>3118</v>
      </c>
      <c r="B493" s="1" t="str" cm="1">
        <f t="array" ref="B493">IF(A493="","",_xlfn.IFS(COUNTIF($U:$U,A493)&gt;0,"All uploaded",COUNTIF($V:$V,A493)&gt;0,"Partly uploaded",COUNTIF($W:$X,A493)&gt;0,"Not uploaded",TRUE,"Not classified"))</f>
        <v>Partly uploaded</v>
      </c>
      <c r="C493" s="1" t="str" cm="1">
        <f t="array" ref="C493">_xlfn.SWITCH(TRIM(I493),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93" s="1" t="s">
        <v>1</v>
      </c>
      <c r="E493" s="1" t="s">
        <v>4</v>
      </c>
      <c r="F493" s="1" t="str" cm="1">
        <f t="array" ref="F493">_xlfn.LET(
_xlpm.status,UPPER(TRIM(B493&amp;"")),
_xlpm.risk,UPPER(TRIM(C493&amp;"")),
_xlpm.notify,UPPER(TRIM(D493&amp;"")),
_xlpm.form,UPPER(TRIM(E493&amp;"")),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493" s="1" t="str">
        <f t="shared" si="7"/>
        <v>Required</v>
      </c>
      <c r="H493" s="5" t="s">
        <v>3121</v>
      </c>
      <c r="I493" s="1" t="s">
        <v>10</v>
      </c>
      <c r="J493" s="1" t="s">
        <v>3120</v>
      </c>
      <c r="K493" s="1" t="s">
        <v>3117</v>
      </c>
      <c r="L493" s="1" t="s">
        <v>10</v>
      </c>
      <c r="M493" s="1" t="s">
        <v>75</v>
      </c>
      <c r="N493" s="1" t="s">
        <v>1733</v>
      </c>
      <c r="O493" s="1" t="s">
        <v>19</v>
      </c>
      <c r="P493" s="1" t="s">
        <v>18</v>
      </c>
      <c r="Q493" s="1" t="s">
        <v>20</v>
      </c>
      <c r="R493" s="1" t="s">
        <v>3119</v>
      </c>
      <c r="S493" s="1">
        <v>36</v>
      </c>
      <c r="T493" s="1" t="s">
        <v>3122</v>
      </c>
    </row>
    <row r="494" spans="1:20">
      <c r="A494" s="1" t="s">
        <v>3141</v>
      </c>
      <c r="B494" s="1" t="str" cm="1">
        <f t="array" ref="B494">IF(A494="","",_xlfn.IFS(COUNTIF($U:$U,A494)&gt;0,"All uploaded",COUNTIF($V:$V,A494)&gt;0,"Partly uploaded",COUNTIF($W:$X,A494)&gt;0,"Not uploaded",TRUE,"Not classified"))</f>
        <v>Partly uploaded</v>
      </c>
      <c r="C494" s="1" t="str" cm="1">
        <f t="array" ref="C494">_xlfn.SWITCH(TRIM(I494),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94" s="1" t="s">
        <v>1</v>
      </c>
      <c r="E494" s="1" t="s">
        <v>2</v>
      </c>
      <c r="F494" s="1" t="str" cm="1">
        <f t="array" ref="F494">_xlfn.LET(
_xlpm.status,UPPER(TRIM(B494&amp;"")),
_xlpm.risk,UPPER(TRIM(C494&amp;"")),
_xlpm.notify,UPPER(TRIM(D494&amp;"")),
_xlpm.form,UPPER(TRIM(E494&amp;"")),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494" s="1" t="str">
        <f t="shared" si="7"/>
        <v>NA</v>
      </c>
      <c r="H494" s="5" t="s">
        <v>3144</v>
      </c>
      <c r="I494" s="1" t="s">
        <v>23</v>
      </c>
      <c r="J494" s="1" t="s">
        <v>3143</v>
      </c>
      <c r="K494" s="1" t="s">
        <v>3124</v>
      </c>
      <c r="L494" s="1" t="s">
        <v>23</v>
      </c>
      <c r="M494" s="1" t="s">
        <v>28</v>
      </c>
      <c r="N494" s="1" t="s">
        <v>3142</v>
      </c>
      <c r="O494" s="1" t="s">
        <v>19</v>
      </c>
      <c r="P494" s="1" t="s">
        <v>18</v>
      </c>
      <c r="Q494" s="1" t="s">
        <v>20</v>
      </c>
      <c r="R494" s="1" t="s">
        <v>3129</v>
      </c>
      <c r="S494" s="1">
        <v>1</v>
      </c>
      <c r="T494" s="1" t="s">
        <v>3145</v>
      </c>
    </row>
    <row r="495" spans="1:20">
      <c r="A495" s="1" t="s">
        <v>3152</v>
      </c>
      <c r="B495" s="1" t="str" cm="1">
        <f t="array" ref="B495">IF(A495="","",_xlfn.IFS(COUNTIF($U:$U,A495)&gt;0,"All uploaded",COUNTIF($V:$V,A495)&gt;0,"Partly uploaded",COUNTIF($W:$X,A495)&gt;0,"Not uploaded",TRUE,"Not classified"))</f>
        <v>Partly uploaded</v>
      </c>
      <c r="C495" s="1" t="str" cm="1">
        <f t="array" ref="C495">_xlfn.SWITCH(TRIM(I495),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95" s="1" t="s">
        <v>1</v>
      </c>
      <c r="E495" s="1" t="s">
        <v>3</v>
      </c>
      <c r="F495" s="1" t="str" cm="1">
        <f t="array" ref="F495">_xlfn.LET(
_xlpm.status,UPPER(TRIM(B495&amp;"")),
_xlpm.risk,UPPER(TRIM(C495&amp;"")),
_xlpm.notify,UPPER(TRIM(D495&amp;"")),
_xlpm.form,UPPER(TRIM(E495&amp;"")),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95" s="1" t="str">
        <f t="shared" si="7"/>
        <v>NA</v>
      </c>
      <c r="H495" s="5" t="s">
        <v>3156</v>
      </c>
      <c r="I495" s="1" t="s">
        <v>22</v>
      </c>
      <c r="J495" s="1" t="s">
        <v>3155</v>
      </c>
      <c r="K495" s="1" t="s">
        <v>3147</v>
      </c>
      <c r="L495" s="1" t="s">
        <v>22</v>
      </c>
      <c r="M495" s="1" t="s">
        <v>77</v>
      </c>
      <c r="N495" s="1" t="s">
        <v>3153</v>
      </c>
      <c r="O495" s="1" t="s">
        <v>19</v>
      </c>
      <c r="P495" s="1" t="s">
        <v>18</v>
      </c>
      <c r="Q495" s="1" t="s">
        <v>20</v>
      </c>
      <c r="R495" s="1" t="s">
        <v>3154</v>
      </c>
      <c r="S495" s="1">
        <v>5</v>
      </c>
      <c r="T495" s="1" t="s">
        <v>3157</v>
      </c>
    </row>
    <row r="496" spans="1:20">
      <c r="A496" s="1" t="s">
        <v>3148</v>
      </c>
      <c r="B496" s="1" t="str" cm="1">
        <f t="array" ref="B496">IF(A496="","",_xlfn.IFS(COUNTIF($U:$U,A496)&gt;0,"All uploaded",COUNTIF($V:$V,A496)&gt;0,"Partly uploaded",COUNTIF($W:$X,A496)&gt;0,"Not uploaded",TRUE,"Not classified"))</f>
        <v>Partly uploaded</v>
      </c>
      <c r="C496" s="1" t="str" cm="1">
        <f t="array" ref="C496">_xlfn.SWITCH(TRIM(I496),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96" s="1" t="s">
        <v>1</v>
      </c>
      <c r="E496" s="1" t="s">
        <v>3</v>
      </c>
      <c r="F496" s="1" t="str" cm="1">
        <f t="array" ref="F496">_xlfn.LET(
_xlpm.status,UPPER(TRIM(B496&amp;"")),
_xlpm.risk,UPPER(TRIM(C496&amp;"")),
_xlpm.notify,UPPER(TRIM(D496&amp;"")),
_xlpm.form,UPPER(TRIM(E496&amp;"")),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96" s="1" t="str">
        <f t="shared" si="7"/>
        <v>NA</v>
      </c>
      <c r="H496" s="5" t="s">
        <v>3160</v>
      </c>
      <c r="I496" s="1" t="s">
        <v>22</v>
      </c>
      <c r="J496" s="1" t="s">
        <v>3159</v>
      </c>
      <c r="K496" s="1" t="s">
        <v>3147</v>
      </c>
      <c r="L496" s="1" t="s">
        <v>22</v>
      </c>
      <c r="M496" s="1" t="s">
        <v>77</v>
      </c>
      <c r="N496" s="1" t="s">
        <v>3149</v>
      </c>
      <c r="O496" s="1" t="s">
        <v>19</v>
      </c>
      <c r="P496" s="1" t="s">
        <v>18</v>
      </c>
      <c r="Q496" s="1" t="s">
        <v>20</v>
      </c>
      <c r="R496" s="1" t="s">
        <v>3158</v>
      </c>
      <c r="S496" s="1">
        <v>1</v>
      </c>
      <c r="T496" s="1" t="s">
        <v>3161</v>
      </c>
    </row>
    <row r="497" spans="1:20">
      <c r="A497" s="1" t="s">
        <v>3125</v>
      </c>
      <c r="B497" s="1" t="str" cm="1">
        <f t="array" ref="B497">IF(A497="","",_xlfn.IFS(COUNTIF($U:$U,A497)&gt;0,"All uploaded",COUNTIF($V:$V,A497)&gt;0,"Partly uploaded",COUNTIF($W:$X,A497)&gt;0,"Not uploaded",TRUE,"Not classified"))</f>
        <v>Partly uploaded</v>
      </c>
      <c r="C497" s="1" t="str" cm="1">
        <f t="array" ref="C497">_xlfn.SWITCH(TRIM(I497),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497" s="1" t="s">
        <v>1</v>
      </c>
      <c r="E497" s="1" t="s">
        <v>4</v>
      </c>
      <c r="F497" s="1" t="str" cm="1">
        <f t="array" ref="F497">_xlfn.LET(
_xlpm.status,UPPER(TRIM(B497&amp;"")),
_xlpm.risk,UPPER(TRIM(C497&amp;"")),
_xlpm.notify,UPPER(TRIM(D497&amp;"")),
_xlpm.form,UPPER(TRIM(E497&amp;"")),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97" s="1" t="str">
        <f t="shared" si="7"/>
        <v>NA</v>
      </c>
      <c r="H497" s="5" t="s">
        <v>3139</v>
      </c>
      <c r="I497" s="1" t="s">
        <v>23</v>
      </c>
      <c r="J497" s="1" t="s">
        <v>3138</v>
      </c>
      <c r="K497" s="1" t="s">
        <v>3124</v>
      </c>
      <c r="L497" s="1" t="s">
        <v>23</v>
      </c>
      <c r="M497" s="1" t="s">
        <v>28</v>
      </c>
      <c r="N497" s="1" t="s">
        <v>3126</v>
      </c>
      <c r="O497" s="1" t="s">
        <v>19</v>
      </c>
      <c r="P497" s="1" t="s">
        <v>18</v>
      </c>
      <c r="Q497" s="1" t="s">
        <v>20</v>
      </c>
      <c r="R497" s="1" t="s">
        <v>3129</v>
      </c>
      <c r="S497" s="1">
        <v>19</v>
      </c>
      <c r="T497" s="1" t="s">
        <v>3140</v>
      </c>
    </row>
    <row r="498" spans="1:20">
      <c r="A498" s="1" t="s">
        <v>3133</v>
      </c>
      <c r="B498" s="1" t="str" cm="1">
        <f t="array" ref="B498">IF(A498="","",_xlfn.IFS(COUNTIF($U:$U,A498)&gt;0,"All uploaded",COUNTIF($V:$V,A498)&gt;0,"Partly uploaded",COUNTIF($W:$X,A498)&gt;0,"Not uploaded",TRUE,"Not classified"))</f>
        <v>Partly uploaded</v>
      </c>
      <c r="C498" s="1" t="str" cm="1">
        <f t="array" ref="C498">_xlfn.SWITCH(TRIM(I498),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98" s="1" t="s">
        <v>0</v>
      </c>
      <c r="E498" s="1" t="s">
        <v>4</v>
      </c>
      <c r="F498" s="1" t="str" cm="1">
        <f t="array" ref="F498">_xlfn.LET(
_xlpm.status,UPPER(TRIM(B498&amp;"")),
_xlpm.risk,UPPER(TRIM(C498&amp;"")),
_xlpm.notify,UPPER(TRIM(D498&amp;"")),
_xlpm.form,UPPER(TRIM(E498&amp;"")),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498" s="1" t="str">
        <f t="shared" si="7"/>
        <v>Required</v>
      </c>
      <c r="H498" s="5" t="s">
        <v>3136</v>
      </c>
      <c r="I498" s="1" t="s">
        <v>25</v>
      </c>
      <c r="J498" s="1" t="s">
        <v>3135</v>
      </c>
      <c r="K498" s="1" t="s">
        <v>3124</v>
      </c>
      <c r="L498" s="1" t="s">
        <v>25</v>
      </c>
      <c r="M498" s="1" t="s">
        <v>28</v>
      </c>
      <c r="N498" s="1" t="s">
        <v>3134</v>
      </c>
      <c r="O498" s="1" t="s">
        <v>19</v>
      </c>
      <c r="P498" s="1" t="s">
        <v>18</v>
      </c>
      <c r="Q498" s="1" t="s">
        <v>20</v>
      </c>
      <c r="R498" s="1" t="s">
        <v>3129</v>
      </c>
      <c r="S498" s="1">
        <v>3</v>
      </c>
      <c r="T498" s="1" t="s">
        <v>3137</v>
      </c>
    </row>
    <row r="499" spans="1:20">
      <c r="A499" s="1" t="s">
        <v>3127</v>
      </c>
      <c r="B499" s="1" t="str" cm="1">
        <f t="array" ref="B499">IF(A499="","",_xlfn.IFS(COUNTIF($U:$U,A499)&gt;0,"All uploaded",COUNTIF($V:$V,A499)&gt;0,"Partly uploaded",COUNTIF($W:$X,A499)&gt;0,"Not uploaded",TRUE,"Not classified"))</f>
        <v>All uploaded</v>
      </c>
      <c r="C499" s="1" t="str" cm="1">
        <f t="array" ref="C499">_xlfn.SWITCH(TRIM(I499),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499" s="1" t="s">
        <v>0</v>
      </c>
      <c r="E499" s="1" t="s">
        <v>3</v>
      </c>
      <c r="F499" s="1" t="str" cm="1">
        <f t="array" ref="F499">_xlfn.LET(
_xlpm.status,UPPER(TRIM(B499&amp;"")),
_xlpm.risk,UPPER(TRIM(C499&amp;"")),
_xlpm.notify,UPPER(TRIM(D499&amp;"")),
_xlpm.form,UPPER(TRIM(E499&amp;"")),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499" s="1" t="str">
        <f t="shared" si="7"/>
        <v>NA</v>
      </c>
      <c r="H499" s="5" t="s">
        <v>3131</v>
      </c>
      <c r="I499" s="1" t="s">
        <v>27</v>
      </c>
      <c r="J499" s="1" t="s">
        <v>3130</v>
      </c>
      <c r="K499" s="1" t="s">
        <v>3124</v>
      </c>
      <c r="L499" s="1" t="s">
        <v>27</v>
      </c>
      <c r="M499" s="1" t="s">
        <v>28</v>
      </c>
      <c r="N499" s="1" t="s">
        <v>3128</v>
      </c>
      <c r="O499" s="1" t="s">
        <v>19</v>
      </c>
      <c r="P499" s="1" t="s">
        <v>18</v>
      </c>
      <c r="Q499" s="1" t="s">
        <v>20</v>
      </c>
      <c r="R499" s="1" t="s">
        <v>3129</v>
      </c>
      <c r="S499" s="1">
        <v>1</v>
      </c>
      <c r="T499" s="1" t="s">
        <v>3132</v>
      </c>
    </row>
    <row r="500" spans="1:20">
      <c r="A500" s="1" t="s">
        <v>3169</v>
      </c>
      <c r="B500" s="1" t="str" cm="1">
        <f t="array" ref="B500">IF(A500="","",_xlfn.IFS(COUNTIF($U:$U,A500)&gt;0,"All uploaded",COUNTIF($V:$V,A500)&gt;0,"Partly uploaded",COUNTIF($W:$X,A500)&gt;0,"Not uploaded",TRUE,"Not classified"))</f>
        <v>Partly uploaded</v>
      </c>
      <c r="C500" s="1" t="str" cm="1">
        <f t="array" ref="C500">_xlfn.SWITCH(TRIM(I500),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00" s="1" t="s">
        <v>1</v>
      </c>
      <c r="E500" s="1" t="s">
        <v>4</v>
      </c>
      <c r="F500" s="1" t="str" cm="1">
        <f t="array" ref="F500">_xlfn.LET(
_xlpm.status,UPPER(TRIM(B500&amp;"")),
_xlpm.risk,UPPER(TRIM(C500&amp;"")),
_xlpm.notify,UPPER(TRIM(D500&amp;"")),
_xlpm.form,UPPER(TRIM(E500&amp;"")),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00" s="1" t="str">
        <f t="shared" si="7"/>
        <v>NA</v>
      </c>
      <c r="H500" s="5" t="s">
        <v>3172</v>
      </c>
      <c r="I500" s="1" t="s">
        <v>22</v>
      </c>
      <c r="J500" s="1" t="s">
        <v>3171</v>
      </c>
      <c r="K500" s="1" t="s">
        <v>3168</v>
      </c>
      <c r="L500" s="1" t="s">
        <v>22</v>
      </c>
      <c r="M500" s="1" t="s">
        <v>77</v>
      </c>
      <c r="N500" s="1" t="s">
        <v>3170</v>
      </c>
      <c r="O500" s="1" t="s">
        <v>19</v>
      </c>
      <c r="P500" s="1" t="s">
        <v>18</v>
      </c>
      <c r="Q500" s="1" t="s">
        <v>20</v>
      </c>
      <c r="R500" s="1" t="s">
        <v>3154</v>
      </c>
      <c r="S500" s="1">
        <v>5</v>
      </c>
      <c r="T500" s="1" t="s">
        <v>3173</v>
      </c>
    </row>
    <row r="501" spans="1:20">
      <c r="A501" s="1" t="s">
        <v>3163</v>
      </c>
      <c r="B501" s="1" t="str" cm="1">
        <f t="array" ref="B501">IF(A501="","",_xlfn.IFS(COUNTIF($U:$U,A501)&gt;0,"All uploaded",COUNTIF($V:$V,A501)&gt;0,"Partly uploaded",COUNTIF($W:$X,A501)&gt;0,"Not uploaded",TRUE,"Not classified"))</f>
        <v>Partly uploaded</v>
      </c>
      <c r="C501" s="1" t="str" cm="1">
        <f t="array" ref="C501">_xlfn.SWITCH(TRIM(I501),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01" s="1" t="s">
        <v>1</v>
      </c>
      <c r="E501" s="1" t="s">
        <v>4</v>
      </c>
      <c r="F501" s="1" t="str" cm="1">
        <f t="array" ref="F501">_xlfn.LET(
_xlpm.status,UPPER(TRIM(B501&amp;"")),
_xlpm.risk,UPPER(TRIM(C501&amp;"")),
_xlpm.notify,UPPER(TRIM(D501&amp;"")),
_xlpm.form,UPPER(TRIM(E501&amp;"")),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01" s="1" t="str">
        <f t="shared" si="7"/>
        <v>NA</v>
      </c>
      <c r="H501" s="5" t="s">
        <v>3166</v>
      </c>
      <c r="I501" s="1" t="s">
        <v>22</v>
      </c>
      <c r="J501" s="1" t="s">
        <v>3165</v>
      </c>
      <c r="K501" s="1" t="s">
        <v>3162</v>
      </c>
      <c r="L501" s="1" t="s">
        <v>22</v>
      </c>
      <c r="M501" s="1" t="s">
        <v>77</v>
      </c>
      <c r="N501" s="1" t="s">
        <v>3039</v>
      </c>
      <c r="O501" s="1" t="s">
        <v>19</v>
      </c>
      <c r="P501" s="1" t="s">
        <v>18</v>
      </c>
      <c r="Q501" s="1" t="s">
        <v>20</v>
      </c>
      <c r="R501" s="1" t="s">
        <v>3164</v>
      </c>
      <c r="S501" s="1">
        <v>11</v>
      </c>
      <c r="T501" s="1" t="s">
        <v>3167</v>
      </c>
    </row>
    <row r="502" spans="1:20">
      <c r="A502" s="1" t="s">
        <v>3176</v>
      </c>
      <c r="B502" s="1" t="str" cm="1">
        <f t="array" ref="B502">IF(A502="","",_xlfn.IFS(COUNTIF($U:$U,A502)&gt;0,"All uploaded",COUNTIF($V:$V,A502)&gt;0,"Partly uploaded",COUNTIF($W:$X,A502)&gt;0,"Not uploaded",TRUE,"Not classified"))</f>
        <v>All uploaded</v>
      </c>
      <c r="C502" s="1" t="str" cm="1">
        <f t="array" ref="C502">_xlfn.SWITCH(TRIM(I502),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02" s="1" t="s">
        <v>1</v>
      </c>
      <c r="E502" s="1" t="s">
        <v>4</v>
      </c>
      <c r="F502" s="1" t="str" cm="1">
        <f t="array" ref="F502">_xlfn.LET(
_xlpm.status,UPPER(TRIM(B502&amp;"")),
_xlpm.risk,UPPER(TRIM(C502&amp;"")),
_xlpm.notify,UPPER(TRIM(D502&amp;"")),
_xlpm.form,UPPER(TRIM(E502&amp;"")),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02" s="1" t="str">
        <f t="shared" si="7"/>
        <v>NA</v>
      </c>
      <c r="H502" s="5" t="s">
        <v>3180</v>
      </c>
      <c r="I502" s="1" t="s">
        <v>22</v>
      </c>
      <c r="J502" s="1" t="s">
        <v>3179</v>
      </c>
      <c r="K502" s="1" t="s">
        <v>3175</v>
      </c>
      <c r="L502" s="1" t="s">
        <v>22</v>
      </c>
      <c r="M502" s="1" t="s">
        <v>77</v>
      </c>
      <c r="N502" s="1" t="s">
        <v>3177</v>
      </c>
      <c r="O502" s="1" t="s">
        <v>19</v>
      </c>
      <c r="P502" s="1" t="s">
        <v>18</v>
      </c>
      <c r="Q502" s="1" t="s">
        <v>20</v>
      </c>
      <c r="R502" s="1" t="s">
        <v>3178</v>
      </c>
      <c r="S502" s="1">
        <v>1</v>
      </c>
      <c r="T502" s="1" t="s">
        <v>3181</v>
      </c>
    </row>
    <row r="503" spans="1:20">
      <c r="A503" s="1" t="s">
        <v>3185</v>
      </c>
      <c r="B503" s="1" t="str" cm="1">
        <f t="array" ref="B503">IF(A503="","",_xlfn.IFS(COUNTIF($U:$U,A503)&gt;0,"All uploaded",COUNTIF($V:$V,A503)&gt;0,"Partly uploaded",COUNTIF($W:$X,A503)&gt;0,"Not uploaded",TRUE,"Not classified"))</f>
        <v>All uploaded</v>
      </c>
      <c r="C503" s="1" t="str" cm="1">
        <f t="array" ref="C503">_xlfn.SWITCH(TRIM(I503),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03" s="1" t="s">
        <v>1</v>
      </c>
      <c r="E503" s="1" t="s">
        <v>4</v>
      </c>
      <c r="F503" s="1" t="str" cm="1">
        <f t="array" ref="F503">_xlfn.LET(
_xlpm.status,UPPER(TRIM(B503&amp;"")),
_xlpm.risk,UPPER(TRIM(C503&amp;"")),
_xlpm.notify,UPPER(TRIM(D503&amp;"")),
_xlpm.form,UPPER(TRIM(E503&amp;"")),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03" s="1" t="str">
        <f t="shared" si="7"/>
        <v>NA</v>
      </c>
      <c r="H503" s="5" t="s">
        <v>3188</v>
      </c>
      <c r="I503" s="1" t="s">
        <v>22</v>
      </c>
      <c r="J503" s="1" t="s">
        <v>3187</v>
      </c>
      <c r="K503" s="1" t="s">
        <v>3184</v>
      </c>
      <c r="L503" s="1" t="s">
        <v>22</v>
      </c>
      <c r="M503" s="1" t="s">
        <v>77</v>
      </c>
      <c r="N503" s="1" t="s">
        <v>3186</v>
      </c>
      <c r="O503" s="1" t="s">
        <v>19</v>
      </c>
      <c r="P503" s="1" t="s">
        <v>18</v>
      </c>
      <c r="Q503" s="1" t="s">
        <v>20</v>
      </c>
      <c r="R503" s="1" t="s">
        <v>3178</v>
      </c>
      <c r="S503" s="1">
        <v>1</v>
      </c>
      <c r="T503" s="1" t="s">
        <v>3189</v>
      </c>
    </row>
    <row r="504" spans="1:20">
      <c r="A504" s="1" t="s">
        <v>3193</v>
      </c>
      <c r="B504" s="1" t="str" cm="1">
        <f t="array" ref="B504">IF(A504="","",_xlfn.IFS(COUNTIF($U:$U,A504)&gt;0,"All uploaded",COUNTIF($V:$V,A504)&gt;0,"Partly uploaded",COUNTIF($W:$X,A504)&gt;0,"Not uploaded",TRUE,"Not classified"))</f>
        <v>Partly uploaded</v>
      </c>
      <c r="C504" s="1" t="str" cm="1">
        <f t="array" ref="C504">_xlfn.SWITCH(TRIM(I504),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04" s="1" t="s">
        <v>1</v>
      </c>
      <c r="E504" s="1" t="s">
        <v>3</v>
      </c>
      <c r="F504" s="1" t="str" cm="1">
        <f t="array" ref="F504">_xlfn.LET(
_xlpm.status,UPPER(TRIM(B504&amp;"")),
_xlpm.risk,UPPER(TRIM(C504&amp;"")),
_xlpm.notify,UPPER(TRIM(D504&amp;"")),
_xlpm.form,UPPER(TRIM(E504&amp;"")),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04" s="1" t="str">
        <f t="shared" si="7"/>
        <v>NA</v>
      </c>
      <c r="H504" s="5" t="s">
        <v>3196</v>
      </c>
      <c r="I504" s="1" t="s">
        <v>22</v>
      </c>
      <c r="J504" s="1" t="s">
        <v>3195</v>
      </c>
      <c r="K504" s="1" t="s">
        <v>3190</v>
      </c>
      <c r="L504" s="1" t="s">
        <v>22</v>
      </c>
      <c r="M504" s="1" t="s">
        <v>75</v>
      </c>
      <c r="N504" s="1" t="s">
        <v>51</v>
      </c>
      <c r="O504" s="1" t="s">
        <v>19</v>
      </c>
      <c r="P504" s="1" t="s">
        <v>18</v>
      </c>
      <c r="Q504" s="1" t="s">
        <v>20</v>
      </c>
      <c r="R504" s="1" t="s">
        <v>3194</v>
      </c>
      <c r="S504" s="1">
        <v>3</v>
      </c>
      <c r="T504" s="1" t="s">
        <v>3197</v>
      </c>
    </row>
    <row r="505" spans="1:20">
      <c r="A505" s="1" t="s">
        <v>3201</v>
      </c>
      <c r="B505" s="1" t="str" cm="1">
        <f t="array" ref="B505">IF(A505="","",_xlfn.IFS(COUNTIF($U:$U,A505)&gt;0,"All uploaded",COUNTIF($V:$V,A505)&gt;0,"Partly uploaded",COUNTIF($W:$X,A505)&gt;0,"Not uploaded",TRUE,"Not classified"))</f>
        <v>Partly uploaded</v>
      </c>
      <c r="C505" s="1" t="str" cm="1">
        <f t="array" ref="C505">_xlfn.SWITCH(TRIM(I505),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05" s="1" t="s">
        <v>1</v>
      </c>
      <c r="E505" s="1" t="s">
        <v>2</v>
      </c>
      <c r="F505" s="1" t="str" cm="1">
        <f t="array" ref="F505">_xlfn.LET(
_xlpm.status,UPPER(TRIM(B505&amp;"")),
_xlpm.risk,UPPER(TRIM(C505&amp;"")),
_xlpm.notify,UPPER(TRIM(D505&amp;"")),
_xlpm.form,UPPER(TRIM(E505&amp;"")),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505" s="1" t="str">
        <f t="shared" si="7"/>
        <v>NA</v>
      </c>
      <c r="H505" s="5" t="s">
        <v>3203</v>
      </c>
      <c r="I505" s="1" t="s">
        <v>23</v>
      </c>
      <c r="J505" s="1" t="s">
        <v>3202</v>
      </c>
      <c r="K505" s="1" t="s">
        <v>3198</v>
      </c>
      <c r="L505" s="1" t="s">
        <v>23</v>
      </c>
      <c r="M505" s="1" t="s">
        <v>28</v>
      </c>
      <c r="N505" s="1" t="s">
        <v>3146</v>
      </c>
      <c r="O505" s="1" t="s">
        <v>19</v>
      </c>
      <c r="P505" s="1" t="s">
        <v>18</v>
      </c>
      <c r="Q505" s="1" t="s">
        <v>20</v>
      </c>
      <c r="R505" s="1" t="s">
        <v>3164</v>
      </c>
      <c r="S505" s="1">
        <v>1</v>
      </c>
      <c r="T505" s="1" t="s">
        <v>3204</v>
      </c>
    </row>
    <row r="506" spans="1:20">
      <c r="A506" s="1" t="s">
        <v>3215</v>
      </c>
      <c r="B506" s="1" t="str" cm="1">
        <f t="array" ref="B506">IF(A506="","",_xlfn.IFS(COUNTIF($U:$U,A506)&gt;0,"All uploaded",COUNTIF($V:$V,A506)&gt;0,"Partly uploaded",COUNTIF($W:$X,A506)&gt;0,"Not uploaded",TRUE,"Not classified"))</f>
        <v>All uploaded</v>
      </c>
      <c r="C506" s="1" t="str" cm="1">
        <f t="array" ref="C506">_xlfn.SWITCH(TRIM(I506),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06" s="1" t="s">
        <v>0</v>
      </c>
      <c r="E506" s="1" t="s">
        <v>4</v>
      </c>
      <c r="F506" s="1" t="str" cm="1">
        <f t="array" ref="F506">_xlfn.LET(
_xlpm.status,UPPER(TRIM(B506&amp;"")),
_xlpm.risk,UPPER(TRIM(C506&amp;"")),
_xlpm.notify,UPPER(TRIM(D506&amp;"")),
_xlpm.form,UPPER(TRIM(E506&amp;"")),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06" s="1" t="str">
        <f t="shared" si="7"/>
        <v>Required</v>
      </c>
      <c r="H506" s="5" t="s">
        <v>3218</v>
      </c>
      <c r="I506" s="1" t="s">
        <v>27</v>
      </c>
      <c r="J506" s="1" t="s">
        <v>3217</v>
      </c>
      <c r="K506" s="1" t="s">
        <v>3214</v>
      </c>
      <c r="L506" s="1" t="s">
        <v>27</v>
      </c>
      <c r="M506" s="1" t="s">
        <v>80</v>
      </c>
      <c r="N506" s="1" t="s">
        <v>3216</v>
      </c>
      <c r="O506" s="1" t="s">
        <v>19</v>
      </c>
      <c r="P506" s="1" t="s">
        <v>18</v>
      </c>
      <c r="Q506" s="1" t="s">
        <v>20</v>
      </c>
      <c r="R506" s="1" t="s">
        <v>3194</v>
      </c>
      <c r="S506" s="1">
        <v>8</v>
      </c>
      <c r="T506" s="1" t="s">
        <v>3219</v>
      </c>
    </row>
    <row r="507" spans="1:20">
      <c r="A507" s="1" t="s">
        <v>3205</v>
      </c>
      <c r="B507" s="1" t="str" cm="1">
        <f t="array" ref="B507">IF(A507="","",_xlfn.IFS(COUNTIF($U:$U,A507)&gt;0,"All uploaded",COUNTIF($V:$V,A507)&gt;0,"Partly uploaded",COUNTIF($W:$X,A507)&gt;0,"Not uploaded",TRUE,"Not classified"))</f>
        <v>All uploaded</v>
      </c>
      <c r="C507" s="1" t="str" cm="1">
        <f t="array" ref="C507">_xlfn.SWITCH(TRIM(I507),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07" s="1" t="s">
        <v>1</v>
      </c>
      <c r="E507" s="1" t="s">
        <v>4</v>
      </c>
      <c r="F507" s="1" t="str" cm="1">
        <f t="array" ref="F507">_xlfn.LET(
_xlpm.status,UPPER(TRIM(B507&amp;"")),
_xlpm.risk,UPPER(TRIM(C507&amp;"")),
_xlpm.notify,UPPER(TRIM(D507&amp;"")),
_xlpm.form,UPPER(TRIM(E507&amp;"")),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07" s="1" t="str">
        <f t="shared" si="7"/>
        <v>NA</v>
      </c>
      <c r="H507" s="5" t="s">
        <v>3209</v>
      </c>
      <c r="I507" s="1" t="s">
        <v>22</v>
      </c>
      <c r="J507" s="1" t="s">
        <v>3208</v>
      </c>
      <c r="K507" s="1" t="s">
        <v>3198</v>
      </c>
      <c r="L507" s="1" t="s">
        <v>22</v>
      </c>
      <c r="M507" s="1" t="s">
        <v>77</v>
      </c>
      <c r="N507" s="1" t="s">
        <v>3206</v>
      </c>
      <c r="O507" s="1" t="s">
        <v>19</v>
      </c>
      <c r="P507" s="1" t="s">
        <v>18</v>
      </c>
      <c r="Q507" s="1" t="s">
        <v>20</v>
      </c>
      <c r="R507" s="1" t="s">
        <v>3207</v>
      </c>
      <c r="S507" s="1">
        <v>1</v>
      </c>
      <c r="T507" s="1" t="s">
        <v>3210</v>
      </c>
    </row>
    <row r="508" spans="1:20">
      <c r="A508" s="1" t="s">
        <v>3220</v>
      </c>
      <c r="B508" s="1" t="str" cm="1">
        <f t="array" ref="B508">IF(A508="","",_xlfn.IFS(COUNTIF($U:$U,A508)&gt;0,"All uploaded",COUNTIF($V:$V,A508)&gt;0,"Partly uploaded",COUNTIF($W:$X,A508)&gt;0,"Not uploaded",TRUE,"Not classified"))</f>
        <v>Partly uploaded</v>
      </c>
      <c r="C508" s="1" t="str" cm="1">
        <f t="array" ref="C508">_xlfn.SWITCH(TRIM(I508),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08" s="1" t="s">
        <v>0</v>
      </c>
      <c r="E508" s="1" t="s">
        <v>3</v>
      </c>
      <c r="F508" s="1" t="str" cm="1">
        <f t="array" ref="F508">_xlfn.LET(
_xlpm.status,UPPER(TRIM(B508&amp;"")),
_xlpm.risk,UPPER(TRIM(C508&amp;"")),
_xlpm.notify,UPPER(TRIM(D508&amp;"")),
_xlpm.form,UPPER(TRIM(E508&amp;"")),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08" s="1" t="str">
        <f t="shared" si="7"/>
        <v>NA</v>
      </c>
      <c r="H508" s="5" t="s">
        <v>3222</v>
      </c>
      <c r="I508" s="1" t="s">
        <v>25</v>
      </c>
      <c r="J508" s="1" t="s">
        <v>3221</v>
      </c>
      <c r="K508" s="1" t="s">
        <v>3214</v>
      </c>
      <c r="L508" s="1" t="s">
        <v>25</v>
      </c>
      <c r="M508" s="1" t="s">
        <v>28</v>
      </c>
      <c r="N508" s="1" t="s">
        <v>2820</v>
      </c>
      <c r="O508" s="1" t="s">
        <v>19</v>
      </c>
      <c r="P508" s="1" t="s">
        <v>18</v>
      </c>
      <c r="Q508" s="1" t="s">
        <v>20</v>
      </c>
      <c r="R508" s="1" t="s">
        <v>3194</v>
      </c>
      <c r="S508" s="1">
        <v>1</v>
      </c>
      <c r="T508" s="1" t="s">
        <v>3223</v>
      </c>
    </row>
    <row r="509" spans="1:20">
      <c r="A509" s="1" t="s">
        <v>3229</v>
      </c>
      <c r="B509" s="1" t="str" cm="1">
        <f t="array" ref="B509">IF(A509="","",_xlfn.IFS(COUNTIF($U:$U,A509)&gt;0,"All uploaded",COUNTIF($V:$V,A509)&gt;0,"Partly uploaded",COUNTIF($W:$X,A509)&gt;0,"Not uploaded",TRUE,"Not classified"))</f>
        <v>Partly uploaded</v>
      </c>
      <c r="C509" s="1" t="str" cm="1">
        <f t="array" ref="C509">_xlfn.SWITCH(TRIM(I509),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09" s="1" t="s">
        <v>1</v>
      </c>
      <c r="E509" s="1" t="s">
        <v>3</v>
      </c>
      <c r="F509" s="1" t="str" cm="1">
        <f t="array" ref="F509">_xlfn.LET(
_xlpm.status,UPPER(TRIM(B509&amp;"")),
_xlpm.risk,UPPER(TRIM(C509&amp;"")),
_xlpm.notify,UPPER(TRIM(D509&amp;"")),
_xlpm.form,UPPER(TRIM(E509&amp;"")),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09" s="1" t="str">
        <f t="shared" si="7"/>
        <v>NA</v>
      </c>
      <c r="H509" s="5" t="s">
        <v>3264</v>
      </c>
      <c r="I509" s="1" t="s">
        <v>23</v>
      </c>
      <c r="J509" s="1" t="s">
        <v>3263</v>
      </c>
      <c r="K509" s="1" t="s">
        <v>3262</v>
      </c>
      <c r="L509" s="1" t="s">
        <v>23</v>
      </c>
      <c r="M509" s="1" t="s">
        <v>28</v>
      </c>
      <c r="N509" s="1" t="s">
        <v>3230</v>
      </c>
      <c r="O509" s="1" t="s">
        <v>19</v>
      </c>
      <c r="P509" s="1" t="s">
        <v>18</v>
      </c>
      <c r="Q509" s="1" t="s">
        <v>20</v>
      </c>
      <c r="R509" s="1" t="s">
        <v>3207</v>
      </c>
      <c r="S509" s="1">
        <v>2</v>
      </c>
      <c r="T509" s="1" t="s">
        <v>3265</v>
      </c>
    </row>
    <row r="510" spans="1:20">
      <c r="A510" s="1" t="s">
        <v>3229</v>
      </c>
      <c r="B510" s="1" t="str" cm="1">
        <f t="array" ref="B510">IF(A510="","",_xlfn.IFS(COUNTIF($U:$U,A510)&gt;0,"All uploaded",COUNTIF($V:$V,A510)&gt;0,"Partly uploaded",COUNTIF($W:$X,A510)&gt;0,"Not uploaded",TRUE,"Not classified"))</f>
        <v>Partly uploaded</v>
      </c>
      <c r="C510" s="1" t="str" cm="1">
        <f t="array" ref="C510">_xlfn.SWITCH(TRIM(I510),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10" s="1" t="s">
        <v>0</v>
      </c>
      <c r="E510" s="1" t="s">
        <v>3</v>
      </c>
      <c r="F510" s="1" t="str" cm="1">
        <f t="array" ref="F510">_xlfn.LET(
_xlpm.status,UPPER(TRIM(B510&amp;"")),
_xlpm.risk,UPPER(TRIM(C510&amp;"")),
_xlpm.notify,UPPER(TRIM(D510&amp;"")),
_xlpm.form,UPPER(TRIM(E510&amp;"")),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10" s="1" t="str">
        <f t="shared" si="7"/>
        <v>NA</v>
      </c>
      <c r="H510" s="5" t="s">
        <v>3233</v>
      </c>
      <c r="I510" s="1" t="s">
        <v>23</v>
      </c>
      <c r="J510" s="1" t="s">
        <v>3232</v>
      </c>
      <c r="K510" s="1" t="s">
        <v>3226</v>
      </c>
      <c r="L510" s="1" t="s">
        <v>23</v>
      </c>
      <c r="M510" s="1" t="s">
        <v>28</v>
      </c>
      <c r="N510" s="1" t="s">
        <v>3230</v>
      </c>
      <c r="O510" s="1" t="s">
        <v>19</v>
      </c>
      <c r="P510" s="1" t="s">
        <v>18</v>
      </c>
      <c r="Q510" s="1" t="s">
        <v>20</v>
      </c>
      <c r="R510" s="1" t="s">
        <v>3231</v>
      </c>
      <c r="S510" s="1">
        <v>1</v>
      </c>
      <c r="T510" s="1" t="s">
        <v>3234</v>
      </c>
    </row>
    <row r="511" spans="1:20">
      <c r="A511" s="1" t="s">
        <v>3247</v>
      </c>
      <c r="B511" s="1" t="str" cm="1">
        <f t="array" ref="B511">IF(A511="","",_xlfn.IFS(COUNTIF($U:$U,A511)&gt;0,"All uploaded",COUNTIF($V:$V,A511)&gt;0,"Partly uploaded",COUNTIF($W:$X,A511)&gt;0,"Not uploaded",TRUE,"Not classified"))</f>
        <v>All uploaded</v>
      </c>
      <c r="C511" s="1" t="str" cm="1">
        <f t="array" ref="C511">_xlfn.SWITCH(TRIM(I511),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11" s="1" t="s">
        <v>1</v>
      </c>
      <c r="E511" s="1" t="s">
        <v>3</v>
      </c>
      <c r="F511" s="1" t="str" cm="1">
        <f t="array" ref="F511">_xlfn.LET(
_xlpm.status,UPPER(TRIM(B511&amp;"")),
_xlpm.risk,UPPER(TRIM(C511&amp;"")),
_xlpm.notify,UPPER(TRIM(D511&amp;"")),
_xlpm.form,UPPER(TRIM(E511&amp;"")),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11" s="1" t="str">
        <f t="shared" si="7"/>
        <v>NA</v>
      </c>
      <c r="H511" s="5" t="s">
        <v>3251</v>
      </c>
      <c r="I511" s="1" t="s">
        <v>48</v>
      </c>
      <c r="J511" s="1" t="s">
        <v>3250</v>
      </c>
      <c r="K511" s="1" t="s">
        <v>3246</v>
      </c>
      <c r="L511" s="1" t="s">
        <v>48</v>
      </c>
      <c r="M511" s="1" t="s">
        <v>28</v>
      </c>
      <c r="N511" s="1" t="s">
        <v>3248</v>
      </c>
      <c r="O511" s="1" t="s">
        <v>19</v>
      </c>
      <c r="P511" s="1" t="s">
        <v>18</v>
      </c>
      <c r="Q511" s="1" t="s">
        <v>20</v>
      </c>
      <c r="R511" s="1" t="s">
        <v>3249</v>
      </c>
      <c r="S511" s="1">
        <v>1</v>
      </c>
      <c r="T511" s="1" t="s">
        <v>3252</v>
      </c>
    </row>
    <row r="512" spans="1:20">
      <c r="A512" s="1" t="s">
        <v>3254</v>
      </c>
      <c r="B512" s="1" t="str" cm="1">
        <f t="array" ref="B512">IF(A512="","",_xlfn.IFS(COUNTIF($U:$U,A512)&gt;0,"All uploaded",COUNTIF($V:$V,A512)&gt;0,"Partly uploaded",COUNTIF($W:$X,A512)&gt;0,"Not uploaded",TRUE,"Not classified"))</f>
        <v>Partly uploaded</v>
      </c>
      <c r="C512" s="1" t="str" cm="1">
        <f t="array" ref="C512">_xlfn.SWITCH(TRIM(I512),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12" s="1" t="s">
        <v>1</v>
      </c>
      <c r="E512" s="1" t="s">
        <v>3</v>
      </c>
      <c r="F512" s="1" t="str" cm="1">
        <f t="array" ref="F512">_xlfn.LET(
_xlpm.status,UPPER(TRIM(B512&amp;"")),
_xlpm.risk,UPPER(TRIM(C512&amp;"")),
_xlpm.notify,UPPER(TRIM(D512&amp;"")),
_xlpm.form,UPPER(TRIM(E512&amp;"")),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12" s="1" t="str">
        <f t="shared" si="7"/>
        <v>NA</v>
      </c>
      <c r="H512" s="5" t="s">
        <v>3257</v>
      </c>
      <c r="I512" s="1" t="s">
        <v>23</v>
      </c>
      <c r="J512" s="1" t="s">
        <v>3256</v>
      </c>
      <c r="K512" s="1" t="s">
        <v>3253</v>
      </c>
      <c r="L512" s="1" t="s">
        <v>23</v>
      </c>
      <c r="M512" s="1" t="s">
        <v>28</v>
      </c>
      <c r="N512" s="1" t="s">
        <v>3255</v>
      </c>
      <c r="O512" s="1" t="s">
        <v>19</v>
      </c>
      <c r="P512" s="1" t="s">
        <v>18</v>
      </c>
      <c r="Q512" s="1" t="s">
        <v>20</v>
      </c>
      <c r="R512" s="1" t="s">
        <v>3207</v>
      </c>
      <c r="S512" s="1">
        <v>1</v>
      </c>
      <c r="T512" s="1" t="s">
        <v>3258</v>
      </c>
    </row>
    <row r="513" spans="1:20">
      <c r="A513" s="1" t="s">
        <v>3254</v>
      </c>
      <c r="B513" s="1" t="str" cm="1">
        <f t="array" ref="B513">IF(A513="","",_xlfn.IFS(COUNTIF($U:$U,A513)&gt;0,"All uploaded",COUNTIF($V:$V,A513)&gt;0,"Partly uploaded",COUNTIF($W:$X,A513)&gt;0,"Not uploaded",TRUE,"Not classified"))</f>
        <v>Partly uploaded</v>
      </c>
      <c r="C513" s="1" t="str" cm="1">
        <f t="array" ref="C513">_xlfn.SWITCH(TRIM(I513),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13" s="1" t="s">
        <v>1</v>
      </c>
      <c r="E513" s="1" t="s">
        <v>3</v>
      </c>
      <c r="F513" s="1" t="str" cm="1">
        <f t="array" ref="F513">_xlfn.LET(
_xlpm.status,UPPER(TRIM(B513&amp;"")),
_xlpm.risk,UPPER(TRIM(C513&amp;"")),
_xlpm.notify,UPPER(TRIM(D513&amp;"")),
_xlpm.form,UPPER(TRIM(E513&amp;"")),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13" s="1" t="str">
        <f t="shared" si="7"/>
        <v>NA</v>
      </c>
      <c r="H513" s="5" t="s">
        <v>3261</v>
      </c>
      <c r="I513" s="1" t="s">
        <v>23</v>
      </c>
      <c r="J513" s="1" t="s">
        <v>3260</v>
      </c>
      <c r="K513" s="1" t="s">
        <v>3253</v>
      </c>
      <c r="L513" s="1" t="s">
        <v>23</v>
      </c>
      <c r="M513" s="1" t="s">
        <v>28</v>
      </c>
      <c r="N513" s="1" t="s">
        <v>3255</v>
      </c>
      <c r="O513" s="1" t="s">
        <v>19</v>
      </c>
      <c r="P513" s="1" t="s">
        <v>18</v>
      </c>
      <c r="Q513" s="1" t="s">
        <v>20</v>
      </c>
      <c r="R513" s="1" t="s">
        <v>3259</v>
      </c>
      <c r="S513" s="1">
        <v>1</v>
      </c>
      <c r="T513" s="1" t="s">
        <v>3258</v>
      </c>
    </row>
    <row r="514" spans="1:20">
      <c r="A514" s="1" t="s">
        <v>3268</v>
      </c>
      <c r="B514" s="1" t="str" cm="1">
        <f t="array" ref="B514">IF(A514="","",_xlfn.IFS(COUNTIF($U:$U,A514)&gt;0,"All uploaded",COUNTIF($V:$V,A514)&gt;0,"Partly uploaded",COUNTIF($W:$X,A514)&gt;0,"Not uploaded",TRUE,"Not classified"))</f>
        <v>All uploaded</v>
      </c>
      <c r="C514" s="1" t="str" cm="1">
        <f t="array" ref="C514">_xlfn.SWITCH(TRIM(I514),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14" s="1" t="s">
        <v>0</v>
      </c>
      <c r="E514" s="1" t="s">
        <v>3</v>
      </c>
      <c r="F514" s="1" t="str" cm="1">
        <f t="array" ref="F514">_xlfn.LET(
_xlpm.status,UPPER(TRIM(B514&amp;"")),
_xlpm.risk,UPPER(TRIM(C514&amp;"")),
_xlpm.notify,UPPER(TRIM(D514&amp;"")),
_xlpm.form,UPPER(TRIM(E514&amp;"")),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14" s="1" t="str">
        <f t="shared" si="7"/>
        <v>NA</v>
      </c>
      <c r="H514" s="5" t="s">
        <v>3271</v>
      </c>
      <c r="I514" s="1" t="s">
        <v>23</v>
      </c>
      <c r="J514" s="1" t="s">
        <v>3270</v>
      </c>
      <c r="K514" s="1" t="s">
        <v>3267</v>
      </c>
      <c r="L514" s="1" t="s">
        <v>23</v>
      </c>
      <c r="M514" s="1" t="s">
        <v>28</v>
      </c>
      <c r="N514" s="1" t="s">
        <v>3269</v>
      </c>
      <c r="O514" s="1" t="s">
        <v>19</v>
      </c>
      <c r="P514" s="1" t="s">
        <v>18</v>
      </c>
      <c r="Q514" s="1" t="s">
        <v>20</v>
      </c>
      <c r="R514" s="1" t="s">
        <v>3207</v>
      </c>
      <c r="S514" s="1">
        <v>1</v>
      </c>
      <c r="T514" s="1" t="s">
        <v>3272</v>
      </c>
    </row>
    <row r="515" spans="1:20">
      <c r="A515" s="1" t="s">
        <v>3274</v>
      </c>
      <c r="B515" s="1" t="str" cm="1">
        <f t="array" ref="B515">IF(A515="","",_xlfn.IFS(COUNTIF($U:$U,A515)&gt;0,"All uploaded",COUNTIF($V:$V,A515)&gt;0,"Partly uploaded",COUNTIF($W:$X,A515)&gt;0,"Not uploaded",TRUE,"Not classified"))</f>
        <v>All uploaded</v>
      </c>
      <c r="C515" s="1" t="str" cm="1">
        <f t="array" ref="C515">_xlfn.SWITCH(TRIM(I515),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15" s="1" t="s">
        <v>1</v>
      </c>
      <c r="E515" s="1" t="s">
        <v>4</v>
      </c>
      <c r="F515" s="1" t="str" cm="1">
        <f t="array" ref="F515">_xlfn.LET(
_xlpm.status,UPPER(TRIM(B515&amp;"")),
_xlpm.risk,UPPER(TRIM(C515&amp;"")),
_xlpm.notify,UPPER(TRIM(D515&amp;"")),
_xlpm.form,UPPER(TRIM(E515&amp;"")),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15" s="1" t="str">
        <f t="shared" ref="G515:G578" si="8">IF(AND(UPPER(TRIM(C515&amp;""))="MAJOR",OR(TRIM(D515&amp;"")="",UPPER(TRIM(E515&amp;""))="REJECT")),"Required","NA")</f>
        <v>NA</v>
      </c>
      <c r="H515" s="5" t="s">
        <v>3277</v>
      </c>
      <c r="I515" s="1" t="s">
        <v>23</v>
      </c>
      <c r="J515" s="1" t="s">
        <v>3276</v>
      </c>
      <c r="K515" s="1" t="s">
        <v>3273</v>
      </c>
      <c r="L515" s="1" t="s">
        <v>23</v>
      </c>
      <c r="M515" s="1" t="s">
        <v>28</v>
      </c>
      <c r="N515" s="1" t="s">
        <v>3275</v>
      </c>
      <c r="O515" s="1" t="s">
        <v>19</v>
      </c>
      <c r="P515" s="1" t="s">
        <v>18</v>
      </c>
      <c r="Q515" s="1" t="s">
        <v>20</v>
      </c>
      <c r="R515" s="1" t="s">
        <v>3064</v>
      </c>
      <c r="S515" s="1">
        <v>1</v>
      </c>
      <c r="T515" s="1" t="s">
        <v>3278</v>
      </c>
    </row>
    <row r="516" spans="1:20">
      <c r="A516" s="1" t="s">
        <v>3280</v>
      </c>
      <c r="B516" s="1" t="str" cm="1">
        <f t="array" ref="B516">IF(A516="","",_xlfn.IFS(COUNTIF($U:$U,A516)&gt;0,"All uploaded",COUNTIF($V:$V,A516)&gt;0,"Partly uploaded",COUNTIF($W:$X,A516)&gt;0,"Not uploaded",TRUE,"Not classified"))</f>
        <v>Partly uploaded</v>
      </c>
      <c r="C516" s="1" t="str" cm="1">
        <f t="array" ref="C516">_xlfn.SWITCH(TRIM(I516),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16" s="1" t="s">
        <v>1</v>
      </c>
      <c r="E516" s="1" t="s">
        <v>3</v>
      </c>
      <c r="F516" s="1" t="str" cm="1">
        <f t="array" ref="F516">_xlfn.LET(
_xlpm.status,UPPER(TRIM(B516&amp;"")),
_xlpm.risk,UPPER(TRIM(C516&amp;"")),
_xlpm.notify,UPPER(TRIM(D516&amp;"")),
_xlpm.form,UPPER(TRIM(E516&amp;"")),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516" s="1" t="str">
        <f t="shared" si="8"/>
        <v>NA</v>
      </c>
      <c r="H516" s="5" t="s">
        <v>3283</v>
      </c>
      <c r="I516" s="1" t="s">
        <v>33</v>
      </c>
      <c r="J516" s="1" t="s">
        <v>3282</v>
      </c>
      <c r="K516" s="1" t="s">
        <v>3279</v>
      </c>
      <c r="L516" s="1" t="s">
        <v>33</v>
      </c>
      <c r="M516" s="1" t="s">
        <v>77</v>
      </c>
      <c r="N516" s="1" t="s">
        <v>3281</v>
      </c>
      <c r="O516" s="1" t="s">
        <v>19</v>
      </c>
      <c r="P516" s="1" t="s">
        <v>18</v>
      </c>
      <c r="Q516" s="1" t="s">
        <v>20</v>
      </c>
      <c r="R516" s="1" t="s">
        <v>3158</v>
      </c>
      <c r="S516" s="1">
        <v>3</v>
      </c>
      <c r="T516" s="1" t="s">
        <v>3284</v>
      </c>
    </row>
    <row r="517" spans="1:20">
      <c r="A517" s="1" t="s">
        <v>3310</v>
      </c>
      <c r="B517" s="1" t="str" cm="1">
        <f t="array" ref="B517">IF(A517="","",_xlfn.IFS(COUNTIF($U:$U,A517)&gt;0,"All uploaded",COUNTIF($V:$V,A517)&gt;0,"Partly uploaded",COUNTIF($W:$X,A517)&gt;0,"Not uploaded",TRUE,"Not classified"))</f>
        <v>Partly uploaded</v>
      </c>
      <c r="C517" s="1" t="str" cm="1">
        <f t="array" ref="C517">_xlfn.SWITCH(TRIM(I517),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17" s="1" t="s">
        <v>1</v>
      </c>
      <c r="E517" s="1" t="s">
        <v>3</v>
      </c>
      <c r="F517" s="1" t="str" cm="1">
        <f t="array" ref="F517">_xlfn.LET(
_xlpm.status,UPPER(TRIM(B517&amp;"")),
_xlpm.risk,UPPER(TRIM(C517&amp;"")),
_xlpm.notify,UPPER(TRIM(D517&amp;"")),
_xlpm.form,UPPER(TRIM(E517&amp;"")),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17" s="1" t="str">
        <f t="shared" si="8"/>
        <v>NA</v>
      </c>
      <c r="H517" s="5" t="s">
        <v>3314</v>
      </c>
      <c r="I517" s="1" t="s">
        <v>23</v>
      </c>
      <c r="J517" s="1" t="s">
        <v>3313</v>
      </c>
      <c r="K517" s="1" t="s">
        <v>3305</v>
      </c>
      <c r="L517" s="1" t="s">
        <v>23</v>
      </c>
      <c r="M517" s="1" t="s">
        <v>28</v>
      </c>
      <c r="N517" s="1" t="s">
        <v>3311</v>
      </c>
      <c r="O517" s="1" t="s">
        <v>19</v>
      </c>
      <c r="P517" s="1" t="s">
        <v>18</v>
      </c>
      <c r="Q517" s="1" t="s">
        <v>20</v>
      </c>
      <c r="R517" s="1" t="s">
        <v>3312</v>
      </c>
      <c r="S517" s="1">
        <v>3</v>
      </c>
      <c r="T517" s="1" t="s">
        <v>3315</v>
      </c>
    </row>
    <row r="518" spans="1:20">
      <c r="A518" s="1" t="s">
        <v>3306</v>
      </c>
      <c r="B518" s="1" t="str" cm="1">
        <f t="array" ref="B518">IF(A518="","",_xlfn.IFS(COUNTIF($U:$U,A518)&gt;0,"All uploaded",COUNTIF($V:$V,A518)&gt;0,"Partly uploaded",COUNTIF($W:$X,A518)&gt;0,"Not uploaded",TRUE,"Not classified"))</f>
        <v>Partly uploaded</v>
      </c>
      <c r="C518" s="1" t="str" cm="1">
        <f t="array" ref="C518">_xlfn.SWITCH(TRIM(I518),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18" s="1" t="s">
        <v>1</v>
      </c>
      <c r="E518" s="1" t="s">
        <v>4</v>
      </c>
      <c r="F518" s="1" t="str" cm="1">
        <f t="array" ref="F518">_xlfn.LET(
_xlpm.status,UPPER(TRIM(B518&amp;"")),
_xlpm.risk,UPPER(TRIM(C518&amp;"")),
_xlpm.notify,UPPER(TRIM(D518&amp;"")),
_xlpm.form,UPPER(TRIM(E518&amp;"")),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18" s="1" t="str">
        <f t="shared" si="8"/>
        <v>NA</v>
      </c>
      <c r="H518" s="5" t="s">
        <v>3317</v>
      </c>
      <c r="I518" s="1" t="s">
        <v>22</v>
      </c>
      <c r="J518" s="1" t="s">
        <v>3316</v>
      </c>
      <c r="K518" s="1" t="s">
        <v>3305</v>
      </c>
      <c r="L518" s="1" t="s">
        <v>22</v>
      </c>
      <c r="M518" s="1" t="s">
        <v>77</v>
      </c>
      <c r="N518" s="1" t="s">
        <v>3307</v>
      </c>
      <c r="O518" s="1" t="s">
        <v>19</v>
      </c>
      <c r="P518" s="1" t="s">
        <v>18</v>
      </c>
      <c r="Q518" s="1" t="s">
        <v>20</v>
      </c>
      <c r="R518" s="1" t="s">
        <v>2544</v>
      </c>
      <c r="S518" s="1">
        <v>2</v>
      </c>
      <c r="T518" s="1" t="s">
        <v>3318</v>
      </c>
    </row>
    <row r="519" spans="1:20">
      <c r="A519" s="1" t="s">
        <v>3325</v>
      </c>
      <c r="B519" s="1" t="str" cm="1">
        <f t="array" ref="B519">IF(A519="","",_xlfn.IFS(COUNTIF($U:$U,A519)&gt;0,"All uploaded",COUNTIF($V:$V,A519)&gt;0,"Partly uploaded",COUNTIF($W:$X,A519)&gt;0,"Not uploaded",TRUE,"Not classified"))</f>
        <v>Partly uploaded</v>
      </c>
      <c r="C519" s="1" t="str" cm="1">
        <f t="array" ref="C519">_xlfn.SWITCH(TRIM(I519),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19" s="1" t="s">
        <v>1</v>
      </c>
      <c r="E519" s="1" t="s">
        <v>4</v>
      </c>
      <c r="F519" s="1" t="str" cm="1">
        <f t="array" ref="F519">_xlfn.LET(
_xlpm.status,UPPER(TRIM(B519&amp;"")),
_xlpm.risk,UPPER(TRIM(C519&amp;"")),
_xlpm.notify,UPPER(TRIM(D519&amp;"")),
_xlpm.form,UPPER(TRIM(E519&amp;"")),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19" s="1" t="str">
        <f t="shared" si="8"/>
        <v>NA</v>
      </c>
      <c r="H519" s="5" t="s">
        <v>3328</v>
      </c>
      <c r="I519" s="1" t="s">
        <v>22</v>
      </c>
      <c r="J519" s="1" t="s">
        <v>3327</v>
      </c>
      <c r="K519" s="1" t="s">
        <v>3324</v>
      </c>
      <c r="L519" s="1" t="s">
        <v>22</v>
      </c>
      <c r="M519" s="1" t="s">
        <v>77</v>
      </c>
      <c r="N519" s="1" t="s">
        <v>3326</v>
      </c>
      <c r="O519" s="1" t="s">
        <v>19</v>
      </c>
      <c r="P519" s="1" t="s">
        <v>18</v>
      </c>
      <c r="Q519" s="1" t="s">
        <v>20</v>
      </c>
      <c r="R519" s="1" t="s">
        <v>2544</v>
      </c>
      <c r="S519" s="1">
        <v>2</v>
      </c>
      <c r="T519" s="1" t="s">
        <v>2683</v>
      </c>
    </row>
    <row r="520" spans="1:20">
      <c r="A520" s="1" t="s">
        <v>3334</v>
      </c>
      <c r="B520" s="1" t="str" cm="1">
        <f t="array" ref="B520">IF(A520="","",_xlfn.IFS(COUNTIF($U:$U,A520)&gt;0,"All uploaded",COUNTIF($V:$V,A520)&gt;0,"Partly uploaded",COUNTIF($W:$X,A520)&gt;0,"Not uploaded",TRUE,"Not classified"))</f>
        <v>Partly uploaded</v>
      </c>
      <c r="C520" s="1" t="str" cm="1">
        <f t="array" ref="C520">_xlfn.SWITCH(TRIM(I520),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20" s="1" t="s">
        <v>1</v>
      </c>
      <c r="E520" s="1" t="s">
        <v>3</v>
      </c>
      <c r="F520" s="1" t="str" cm="1">
        <f t="array" ref="F520">_xlfn.LET(
_xlpm.status,UPPER(TRIM(B520&amp;"")),
_xlpm.risk,UPPER(TRIM(C520&amp;"")),
_xlpm.notify,UPPER(TRIM(D520&amp;"")),
_xlpm.form,UPPER(TRIM(E520&amp;"")),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520" s="1" t="str">
        <f t="shared" si="8"/>
        <v>NA</v>
      </c>
      <c r="H520" s="5" t="s">
        <v>3338</v>
      </c>
      <c r="I520" s="1" t="s">
        <v>27</v>
      </c>
      <c r="J520" s="1" t="s">
        <v>3337</v>
      </c>
      <c r="K520" s="1" t="s">
        <v>3333</v>
      </c>
      <c r="L520" s="1" t="s">
        <v>27</v>
      </c>
      <c r="M520" s="1" t="s">
        <v>28</v>
      </c>
      <c r="N520" s="1" t="s">
        <v>3335</v>
      </c>
      <c r="O520" s="1" t="s">
        <v>19</v>
      </c>
      <c r="P520" s="1" t="s">
        <v>18</v>
      </c>
      <c r="Q520" s="1" t="s">
        <v>20</v>
      </c>
      <c r="R520" s="1" t="s">
        <v>3336</v>
      </c>
      <c r="S520" s="1">
        <v>7</v>
      </c>
      <c r="T520" s="1" t="s">
        <v>3339</v>
      </c>
    </row>
    <row r="521" spans="1:20">
      <c r="A521" s="1" t="s">
        <v>3329</v>
      </c>
      <c r="B521" s="1" t="str" cm="1">
        <f t="array" ref="B521">IF(A521="","",_xlfn.IFS(COUNTIF($U:$U,A521)&gt;0,"All uploaded",COUNTIF($V:$V,A521)&gt;0,"Partly uploaded",COUNTIF($W:$X,A521)&gt;0,"Not uploaded",TRUE,"Not classified"))</f>
        <v>All uploaded</v>
      </c>
      <c r="C521" s="1" t="str" cm="1">
        <f t="array" ref="C521">_xlfn.SWITCH(TRIM(I521),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21" s="1" t="s">
        <v>1</v>
      </c>
      <c r="E521" s="1" t="s">
        <v>2</v>
      </c>
      <c r="F521" s="1" t="str" cm="1">
        <f t="array" ref="F521">_xlfn.LET(
_xlpm.status,UPPER(TRIM(B521&amp;"")),
_xlpm.risk,UPPER(TRIM(C521&amp;"")),
_xlpm.notify,UPPER(TRIM(D521&amp;"")),
_xlpm.form,UPPER(TRIM(E521&amp;"")),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521" s="1" t="str">
        <f t="shared" si="8"/>
        <v>NA</v>
      </c>
      <c r="H521" s="5" t="s">
        <v>3331</v>
      </c>
      <c r="I521" s="1" t="s">
        <v>23</v>
      </c>
      <c r="J521" s="1" t="s">
        <v>3330</v>
      </c>
      <c r="K521" s="1" t="s">
        <v>3324</v>
      </c>
      <c r="L521" s="1" t="s">
        <v>23</v>
      </c>
      <c r="M521" s="1" t="s">
        <v>28</v>
      </c>
      <c r="N521" s="1" t="s">
        <v>2588</v>
      </c>
      <c r="O521" s="1" t="s">
        <v>19</v>
      </c>
      <c r="P521" s="1" t="s">
        <v>18</v>
      </c>
      <c r="Q521" s="1" t="s">
        <v>20</v>
      </c>
      <c r="R521" s="1" t="s">
        <v>3064</v>
      </c>
      <c r="S521" s="1">
        <v>1</v>
      </c>
      <c r="T521" s="1" t="s">
        <v>3332</v>
      </c>
    </row>
    <row r="522" spans="1:20">
      <c r="A522" s="1" t="s">
        <v>3347</v>
      </c>
      <c r="B522" s="1" t="str" cm="1">
        <f t="array" ref="B522">IF(A522="","",_xlfn.IFS(COUNTIF($U:$U,A522)&gt;0,"All uploaded",COUNTIF($V:$V,A522)&gt;0,"Partly uploaded",COUNTIF($W:$X,A522)&gt;0,"Not uploaded",TRUE,"Not classified"))</f>
        <v>Partly uploaded</v>
      </c>
      <c r="C522" s="1" t="str" cm="1">
        <f t="array" ref="C522">_xlfn.SWITCH(TRIM(I522),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22" s="1" t="s">
        <v>1</v>
      </c>
      <c r="E522" s="1" t="s">
        <v>3</v>
      </c>
      <c r="F522" s="1" t="str" cm="1">
        <f t="array" ref="F522">_xlfn.LET(
_xlpm.status,UPPER(TRIM(B522&amp;"")),
_xlpm.risk,UPPER(TRIM(C522&amp;"")),
_xlpm.notify,UPPER(TRIM(D522&amp;"")),
_xlpm.form,UPPER(TRIM(E522&amp;"")),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22" s="1" t="str">
        <f t="shared" si="8"/>
        <v>NA</v>
      </c>
      <c r="H522" s="5" t="s">
        <v>3350</v>
      </c>
      <c r="I522" s="1" t="s">
        <v>22</v>
      </c>
      <c r="J522" s="1" t="s">
        <v>3349</v>
      </c>
      <c r="K522" s="1" t="s">
        <v>3346</v>
      </c>
      <c r="L522" s="1" t="s">
        <v>22</v>
      </c>
      <c r="M522" s="1" t="s">
        <v>77</v>
      </c>
      <c r="N522" s="1" t="s">
        <v>2330</v>
      </c>
      <c r="O522" s="1" t="s">
        <v>19</v>
      </c>
      <c r="P522" s="1" t="s">
        <v>18</v>
      </c>
      <c r="Q522" s="1" t="s">
        <v>20</v>
      </c>
      <c r="R522" s="1" t="s">
        <v>3348</v>
      </c>
      <c r="S522" s="1">
        <v>1</v>
      </c>
      <c r="T522" s="1" t="s">
        <v>3351</v>
      </c>
    </row>
    <row r="523" spans="1:20">
      <c r="A523" s="1" t="s">
        <v>3355</v>
      </c>
      <c r="B523" s="1" t="str" cm="1">
        <f t="array" ref="B523">IF(A523="","",_xlfn.IFS(COUNTIF($U:$U,A523)&gt;0,"All uploaded",COUNTIF($V:$V,A523)&gt;0,"Partly uploaded",COUNTIF($W:$X,A523)&gt;0,"Not uploaded",TRUE,"Not classified"))</f>
        <v>All uploaded</v>
      </c>
      <c r="C523" s="1" t="str" cm="1">
        <f t="array" ref="C523">_xlfn.SWITCH(TRIM(I523),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23" s="1" t="s">
        <v>1</v>
      </c>
      <c r="E523" s="1" t="s">
        <v>3</v>
      </c>
      <c r="F523" s="1" t="str" cm="1">
        <f t="array" ref="F523">_xlfn.LET(
_xlpm.status,UPPER(TRIM(B523&amp;"")),
_xlpm.risk,UPPER(TRIM(C523&amp;"")),
_xlpm.notify,UPPER(TRIM(D523&amp;"")),
_xlpm.form,UPPER(TRIM(E523&amp;"")),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23" s="1" t="str">
        <f t="shared" si="8"/>
        <v>NA</v>
      </c>
      <c r="H523" s="5" t="s">
        <v>3358</v>
      </c>
      <c r="I523" s="1" t="s">
        <v>48</v>
      </c>
      <c r="J523" s="1" t="s">
        <v>3357</v>
      </c>
      <c r="K523" s="1" t="s">
        <v>3352</v>
      </c>
      <c r="L523" s="1" t="s">
        <v>48</v>
      </c>
      <c r="M523" s="1" t="s">
        <v>28</v>
      </c>
      <c r="N523" s="1" t="s">
        <v>3304</v>
      </c>
      <c r="O523" s="1" t="s">
        <v>19</v>
      </c>
      <c r="P523" s="1" t="s">
        <v>18</v>
      </c>
      <c r="Q523" s="1" t="s">
        <v>20</v>
      </c>
      <c r="R523" s="1" t="s">
        <v>3356</v>
      </c>
      <c r="S523" s="1">
        <v>1</v>
      </c>
      <c r="T523" s="1" t="s">
        <v>3359</v>
      </c>
    </row>
    <row r="524" spans="1:20">
      <c r="A524" s="1" t="s">
        <v>3371</v>
      </c>
      <c r="B524" s="1" t="str" cm="1">
        <f t="array" ref="B524">IF(A524="","",_xlfn.IFS(COUNTIF($U:$U,A524)&gt;0,"All uploaded",COUNTIF($V:$V,A524)&gt;0,"Partly uploaded",COUNTIF($W:$X,A524)&gt;0,"Not uploaded",TRUE,"Not classified"))</f>
        <v>All uploaded</v>
      </c>
      <c r="C524" s="1" t="str" cm="1">
        <f t="array" ref="C524">_xlfn.SWITCH(TRIM(I524),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24" s="1" t="s">
        <v>1</v>
      </c>
      <c r="E524" s="1" t="s">
        <v>3</v>
      </c>
      <c r="F524" s="1" t="str" cm="1">
        <f t="array" ref="F524">_xlfn.LET(
_xlpm.status,UPPER(TRIM(B524&amp;"")),
_xlpm.risk,UPPER(TRIM(C524&amp;"")),
_xlpm.notify,UPPER(TRIM(D524&amp;"")),
_xlpm.form,UPPER(TRIM(E524&amp;"")),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24" s="1" t="str">
        <f t="shared" si="8"/>
        <v>NA</v>
      </c>
      <c r="H524" s="5" t="s">
        <v>3375</v>
      </c>
      <c r="I524" s="1" t="s">
        <v>22</v>
      </c>
      <c r="J524" s="1" t="s">
        <v>3374</v>
      </c>
      <c r="K524" s="1" t="s">
        <v>3368</v>
      </c>
      <c r="L524" s="1" t="s">
        <v>22</v>
      </c>
      <c r="M524" s="1" t="s">
        <v>77</v>
      </c>
      <c r="N524" s="1" t="s">
        <v>3372</v>
      </c>
      <c r="O524" s="1" t="s">
        <v>19</v>
      </c>
      <c r="P524" s="1" t="s">
        <v>18</v>
      </c>
      <c r="Q524" s="1" t="s">
        <v>20</v>
      </c>
      <c r="R524" s="1" t="s">
        <v>3373</v>
      </c>
      <c r="S524" s="1">
        <v>3</v>
      </c>
      <c r="T524" s="1" t="s">
        <v>3376</v>
      </c>
    </row>
    <row r="525" spans="1:20">
      <c r="A525" s="1" t="s">
        <v>3380</v>
      </c>
      <c r="B525" s="1" t="str" cm="1">
        <f t="array" ref="B525">IF(A525="","",_xlfn.IFS(COUNTIF($U:$U,A525)&gt;0,"All uploaded",COUNTIF($V:$V,A525)&gt;0,"Partly uploaded",COUNTIF($W:$X,A525)&gt;0,"Not uploaded",TRUE,"Not classified"))</f>
        <v>Partly uploaded</v>
      </c>
      <c r="C525" s="1" t="str" cm="1">
        <f t="array" ref="C525">_xlfn.SWITCH(TRIM(I525),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25" s="1" t="s">
        <v>1</v>
      </c>
      <c r="E525" s="1" t="s">
        <v>3</v>
      </c>
      <c r="F525" s="1" t="str" cm="1">
        <f t="array" ref="F525">_xlfn.LET(
_xlpm.status,UPPER(TRIM(B525&amp;"")),
_xlpm.risk,UPPER(TRIM(C525&amp;"")),
_xlpm.notify,UPPER(TRIM(D525&amp;"")),
_xlpm.form,UPPER(TRIM(E525&amp;"")),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25" s="1" t="str">
        <f t="shared" si="8"/>
        <v>NA</v>
      </c>
      <c r="H525" s="5" t="s">
        <v>3383</v>
      </c>
      <c r="I525" s="1" t="s">
        <v>48</v>
      </c>
      <c r="J525" s="1" t="s">
        <v>3382</v>
      </c>
      <c r="K525" s="1" t="s">
        <v>3379</v>
      </c>
      <c r="L525" s="1" t="s">
        <v>48</v>
      </c>
      <c r="M525" s="1" t="s">
        <v>28</v>
      </c>
      <c r="N525" s="1" t="s">
        <v>3381</v>
      </c>
      <c r="O525" s="1" t="s">
        <v>19</v>
      </c>
      <c r="P525" s="1" t="s">
        <v>18</v>
      </c>
      <c r="Q525" s="1" t="s">
        <v>20</v>
      </c>
      <c r="R525" s="1" t="s">
        <v>2076</v>
      </c>
      <c r="S525" s="1">
        <v>2</v>
      </c>
      <c r="T525" s="1" t="s">
        <v>3384</v>
      </c>
    </row>
    <row r="526" spans="1:20">
      <c r="A526" s="1" t="s">
        <v>3388</v>
      </c>
      <c r="B526" s="1" t="str" cm="1">
        <f t="array" ref="B526">IF(A526="","",_xlfn.IFS(COUNTIF($U:$U,A526)&gt;0,"All uploaded",COUNTIF($V:$V,A526)&gt;0,"Partly uploaded",COUNTIF($W:$X,A526)&gt;0,"Not uploaded",TRUE,"Not classified"))</f>
        <v>Partly uploaded</v>
      </c>
      <c r="C526" s="1" t="str" cm="1">
        <f t="array" ref="C526">_xlfn.SWITCH(TRIM(I526),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26" s="1" t="s">
        <v>1</v>
      </c>
      <c r="E526" s="1" t="s">
        <v>3</v>
      </c>
      <c r="F526" s="1" t="str" cm="1">
        <f t="array" ref="F526">_xlfn.LET(
_xlpm.status,UPPER(TRIM(B526&amp;"")),
_xlpm.risk,UPPER(TRIM(C526&amp;"")),
_xlpm.notify,UPPER(TRIM(D526&amp;"")),
_xlpm.form,UPPER(TRIM(E526&amp;"")),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26" s="1" t="str">
        <f t="shared" si="8"/>
        <v>NA</v>
      </c>
      <c r="H526" s="5" t="s">
        <v>3391</v>
      </c>
      <c r="I526" s="1" t="s">
        <v>23</v>
      </c>
      <c r="J526" s="1" t="s">
        <v>3390</v>
      </c>
      <c r="K526" s="1" t="s">
        <v>3387</v>
      </c>
      <c r="L526" s="1" t="s">
        <v>23</v>
      </c>
      <c r="M526" s="1" t="s">
        <v>28</v>
      </c>
      <c r="N526" s="1" t="s">
        <v>3389</v>
      </c>
      <c r="O526" s="1" t="s">
        <v>19</v>
      </c>
      <c r="P526" s="1" t="s">
        <v>18</v>
      </c>
      <c r="Q526" s="1" t="s">
        <v>20</v>
      </c>
      <c r="R526" s="1" t="s">
        <v>3113</v>
      </c>
      <c r="S526" s="1">
        <v>1</v>
      </c>
      <c r="T526" s="1" t="s">
        <v>3392</v>
      </c>
    </row>
    <row r="527" spans="1:20">
      <c r="A527" s="1" t="s">
        <v>3394</v>
      </c>
      <c r="B527" s="1" t="str" cm="1">
        <f t="array" ref="B527">IF(A527="","",_xlfn.IFS(COUNTIF($U:$U,A527)&gt;0,"All uploaded",COUNTIF($V:$V,A527)&gt;0,"Partly uploaded",COUNTIF($W:$X,A527)&gt;0,"Not uploaded",TRUE,"Not classified"))</f>
        <v>Partly uploaded</v>
      </c>
      <c r="C527" s="1" t="str" cm="1">
        <f t="array" ref="C527">_xlfn.SWITCH(TRIM(I527),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27" s="1" t="s">
        <v>1</v>
      </c>
      <c r="E527" s="1" t="s">
        <v>3</v>
      </c>
      <c r="F527" s="1" t="str" cm="1">
        <f t="array" ref="F527">_xlfn.LET(
_xlpm.status,UPPER(TRIM(B527&amp;"")),
_xlpm.risk,UPPER(TRIM(C527&amp;"")),
_xlpm.notify,UPPER(TRIM(D527&amp;"")),
_xlpm.form,UPPER(TRIM(E527&amp;"")),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27" s="1" t="str">
        <f t="shared" si="8"/>
        <v>NA</v>
      </c>
      <c r="H527" s="5" t="s">
        <v>3396</v>
      </c>
      <c r="I527" s="1" t="s">
        <v>23</v>
      </c>
      <c r="J527" s="1" t="s">
        <v>3395</v>
      </c>
      <c r="K527" s="1" t="s">
        <v>3393</v>
      </c>
      <c r="L527" s="1" t="s">
        <v>23</v>
      </c>
      <c r="M527" s="1" t="s">
        <v>28</v>
      </c>
      <c r="N527" s="1" t="s">
        <v>2305</v>
      </c>
      <c r="O527" s="1" t="s">
        <v>19</v>
      </c>
      <c r="P527" s="1" t="s">
        <v>18</v>
      </c>
      <c r="Q527" s="1" t="s">
        <v>20</v>
      </c>
      <c r="R527" s="1" t="s">
        <v>3113</v>
      </c>
      <c r="S527" s="1">
        <v>1</v>
      </c>
      <c r="T527" s="1" t="s">
        <v>3397</v>
      </c>
    </row>
    <row r="528" spans="1:20">
      <c r="A528" s="1" t="s">
        <v>3402</v>
      </c>
      <c r="B528" s="1" t="str" cm="1">
        <f t="array" ref="B528">IF(A528="","",_xlfn.IFS(COUNTIF($U:$U,A528)&gt;0,"All uploaded",COUNTIF($V:$V,A528)&gt;0,"Partly uploaded",COUNTIF($W:$X,A528)&gt;0,"Not uploaded",TRUE,"Not classified"))</f>
        <v>Partly uploaded</v>
      </c>
      <c r="C528" s="1" t="str" cm="1">
        <f t="array" ref="C528">_xlfn.SWITCH(TRIM(I528),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28" s="1" t="s">
        <v>1</v>
      </c>
      <c r="E528" s="1" t="s">
        <v>3</v>
      </c>
      <c r="F528" s="1" t="str" cm="1">
        <f t="array" ref="F528">_xlfn.LET(
_xlpm.status,UPPER(TRIM(B528&amp;"")),
_xlpm.risk,UPPER(TRIM(C528&amp;"")),
_xlpm.notify,UPPER(TRIM(D528&amp;"")),
_xlpm.form,UPPER(TRIM(E528&amp;"")),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528" s="1" t="str">
        <f t="shared" si="8"/>
        <v>NA</v>
      </c>
      <c r="H528" s="5" t="s">
        <v>3404</v>
      </c>
      <c r="I528" s="1" t="s">
        <v>10</v>
      </c>
      <c r="J528" s="1" t="s">
        <v>3403</v>
      </c>
      <c r="K528" s="1" t="s">
        <v>3401</v>
      </c>
      <c r="L528" s="1" t="s">
        <v>10</v>
      </c>
      <c r="M528" s="1" t="s">
        <v>75</v>
      </c>
      <c r="N528" s="1" t="s">
        <v>51</v>
      </c>
      <c r="O528" s="1" t="s">
        <v>19</v>
      </c>
      <c r="P528" s="1" t="s">
        <v>18</v>
      </c>
      <c r="Q528" s="1" t="s">
        <v>20</v>
      </c>
      <c r="R528" s="1" t="s">
        <v>3113</v>
      </c>
      <c r="S528" s="1">
        <v>3</v>
      </c>
      <c r="T528" s="1" t="s">
        <v>3405</v>
      </c>
    </row>
    <row r="529" spans="1:20">
      <c r="A529" s="1" t="s">
        <v>3430</v>
      </c>
      <c r="B529" s="1" t="str" cm="1">
        <f t="array" ref="B529">IF(A529="","",_xlfn.IFS(COUNTIF($U:$U,A529)&gt;0,"All uploaded",COUNTIF($V:$V,A529)&gt;0,"Partly uploaded",COUNTIF($W:$X,A529)&gt;0,"Not uploaded",TRUE,"Not classified"))</f>
        <v>Partly uploaded</v>
      </c>
      <c r="C529" s="1" t="str" cm="1">
        <f t="array" ref="C529">_xlfn.SWITCH(TRIM(I529),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29" s="1" t="s">
        <v>1</v>
      </c>
      <c r="E529" s="1" t="s">
        <v>3</v>
      </c>
      <c r="F529" s="1" t="str" cm="1">
        <f t="array" ref="F529">_xlfn.LET(
_xlpm.status,UPPER(TRIM(B529&amp;"")),
_xlpm.risk,UPPER(TRIM(C529&amp;"")),
_xlpm.notify,UPPER(TRIM(D529&amp;"")),
_xlpm.form,UPPER(TRIM(E529&amp;"")),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29" s="1" t="str">
        <f t="shared" si="8"/>
        <v>NA</v>
      </c>
      <c r="H529" s="5" t="s">
        <v>3437</v>
      </c>
      <c r="I529" s="1" t="s">
        <v>23</v>
      </c>
      <c r="J529" s="1" t="s">
        <v>3436</v>
      </c>
      <c r="K529" s="1" t="s">
        <v>3429</v>
      </c>
      <c r="L529" s="1" t="s">
        <v>23</v>
      </c>
      <c r="M529" s="1" t="s">
        <v>28</v>
      </c>
      <c r="N529" s="1" t="s">
        <v>3431</v>
      </c>
      <c r="O529" s="1" t="s">
        <v>19</v>
      </c>
      <c r="P529" s="1" t="s">
        <v>18</v>
      </c>
      <c r="Q529" s="1" t="s">
        <v>20</v>
      </c>
      <c r="R529" s="1" t="s">
        <v>3435</v>
      </c>
      <c r="S529" s="1">
        <v>1</v>
      </c>
      <c r="T529" s="1" t="s">
        <v>3438</v>
      </c>
    </row>
    <row r="530" spans="1:20">
      <c r="A530" s="1" t="s">
        <v>3444</v>
      </c>
      <c r="B530" s="1" t="str" cm="1">
        <f t="array" ref="B530">IF(A530="","",_xlfn.IFS(COUNTIF($U:$U,A530)&gt;0,"All uploaded",COUNTIF($V:$V,A530)&gt;0,"Partly uploaded",COUNTIF($W:$X,A530)&gt;0,"Not uploaded",TRUE,"Not classified"))</f>
        <v>Partly uploaded</v>
      </c>
      <c r="C530" s="1" t="str" cm="1">
        <f t="array" ref="C530">_xlfn.SWITCH(TRIM(I530),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30" s="1" t="s">
        <v>1</v>
      </c>
      <c r="E530" s="1" t="s">
        <v>3</v>
      </c>
      <c r="F530" s="1" t="str" cm="1">
        <f t="array" ref="F530">_xlfn.LET(
_xlpm.status,UPPER(TRIM(B530&amp;"")),
_xlpm.risk,UPPER(TRIM(C530&amp;"")),
_xlpm.notify,UPPER(TRIM(D530&amp;"")),
_xlpm.form,UPPER(TRIM(E530&amp;"")),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530" s="1" t="str">
        <f t="shared" si="8"/>
        <v>NA</v>
      </c>
      <c r="H530" s="5" t="s">
        <v>3446</v>
      </c>
      <c r="I530" s="1" t="s">
        <v>10</v>
      </c>
      <c r="J530" s="1" t="s">
        <v>3445</v>
      </c>
      <c r="K530" s="1" t="s">
        <v>3443</v>
      </c>
      <c r="L530" s="1" t="s">
        <v>10</v>
      </c>
      <c r="M530" s="1" t="s">
        <v>75</v>
      </c>
      <c r="N530" s="1" t="s">
        <v>36</v>
      </c>
      <c r="O530" s="1" t="s">
        <v>19</v>
      </c>
      <c r="P530" s="1" t="s">
        <v>18</v>
      </c>
      <c r="Q530" s="1" t="s">
        <v>20</v>
      </c>
      <c r="R530" s="1" t="s">
        <v>3435</v>
      </c>
      <c r="S530" s="1">
        <v>18</v>
      </c>
      <c r="T530" s="1" t="s">
        <v>3447</v>
      </c>
    </row>
    <row r="531" spans="1:20">
      <c r="A531" s="1" t="s">
        <v>3451</v>
      </c>
      <c r="B531" s="1" t="str" cm="1">
        <f t="array" ref="B531">IF(A531="","",_xlfn.IFS(COUNTIF($U:$U,A531)&gt;0,"All uploaded",COUNTIF($V:$V,A531)&gt;0,"Partly uploaded",COUNTIF($W:$X,A531)&gt;0,"Not uploaded",TRUE,"Not classified"))</f>
        <v>Partly uploaded</v>
      </c>
      <c r="C531" s="1" t="str" cm="1">
        <f t="array" ref="C531">_xlfn.SWITCH(TRIM(I531),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31" s="1" t="s">
        <v>1</v>
      </c>
      <c r="E531" s="1" t="s">
        <v>3</v>
      </c>
      <c r="F531" s="1" t="str" cm="1">
        <f t="array" ref="F531">_xlfn.LET(
_xlpm.status,UPPER(TRIM(B531&amp;"")),
_xlpm.risk,UPPER(TRIM(C531&amp;"")),
_xlpm.notify,UPPER(TRIM(D531&amp;"")),
_xlpm.form,UPPER(TRIM(E531&amp;"")),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531" s="1" t="str">
        <f t="shared" si="8"/>
        <v>NA</v>
      </c>
      <c r="H531" s="5" t="s">
        <v>3455</v>
      </c>
      <c r="I531" s="1" t="s">
        <v>10</v>
      </c>
      <c r="J531" s="1" t="s">
        <v>3454</v>
      </c>
      <c r="K531" s="1" t="s">
        <v>3450</v>
      </c>
      <c r="L531" s="1" t="s">
        <v>10</v>
      </c>
      <c r="M531" s="1" t="s">
        <v>75</v>
      </c>
      <c r="N531" s="1" t="s">
        <v>36</v>
      </c>
      <c r="O531" s="1" t="s">
        <v>30</v>
      </c>
      <c r="P531" s="1" t="s">
        <v>43</v>
      </c>
      <c r="Q531" s="1" t="s">
        <v>61</v>
      </c>
      <c r="R531" s="1" t="s">
        <v>3453</v>
      </c>
      <c r="S531" s="1">
        <v>1</v>
      </c>
      <c r="T531" s="1" t="s">
        <v>3456</v>
      </c>
    </row>
    <row r="532" spans="1:20">
      <c r="A532" s="1" t="s">
        <v>3452</v>
      </c>
      <c r="B532" s="1" t="str" cm="1">
        <f t="array" ref="B532">IF(A532="","",_xlfn.IFS(COUNTIF($U:$U,A532)&gt;0,"All uploaded",COUNTIF($V:$V,A532)&gt;0,"Partly uploaded",COUNTIF($W:$X,A532)&gt;0,"Not uploaded",TRUE,"Not classified"))</f>
        <v>Partly uploaded</v>
      </c>
      <c r="C532" s="1" t="str" cm="1">
        <f t="array" ref="C532">_xlfn.SWITCH(TRIM(I532),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32" s="1" t="s">
        <v>1</v>
      </c>
      <c r="E532" s="1" t="s">
        <v>2</v>
      </c>
      <c r="F532" s="1" t="str" cm="1">
        <f t="array" ref="F532">_xlfn.LET(
_xlpm.status,UPPER(TRIM(B532&amp;"")),
_xlpm.risk,UPPER(TRIM(C532&amp;"")),
_xlpm.notify,UPPER(TRIM(D532&amp;"")),
_xlpm.form,UPPER(TRIM(E532&amp;"")),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completed</v>
      </c>
      <c r="G532" s="1" t="str">
        <f t="shared" si="8"/>
        <v>NA</v>
      </c>
      <c r="H532" s="5" t="s">
        <v>3459</v>
      </c>
      <c r="I532" s="1" t="s">
        <v>10</v>
      </c>
      <c r="J532" s="1" t="s">
        <v>3458</v>
      </c>
      <c r="K532" s="1" t="s">
        <v>3450</v>
      </c>
      <c r="L532" s="1" t="s">
        <v>10</v>
      </c>
      <c r="M532" s="1" t="s">
        <v>75</v>
      </c>
      <c r="N532" s="1" t="s">
        <v>36</v>
      </c>
      <c r="O532" s="1" t="s">
        <v>30</v>
      </c>
      <c r="P532" s="1" t="s">
        <v>43</v>
      </c>
      <c r="Q532" s="1" t="s">
        <v>62</v>
      </c>
      <c r="R532" s="1" t="s">
        <v>3457</v>
      </c>
      <c r="S532" s="1">
        <v>1</v>
      </c>
      <c r="T532" s="1" t="s">
        <v>3460</v>
      </c>
    </row>
    <row r="533" spans="1:20">
      <c r="A533" s="1" t="s">
        <v>3465</v>
      </c>
      <c r="B533" s="1" t="str" cm="1">
        <f t="array" ref="B533">IF(A533="","",_xlfn.IFS(COUNTIF($U:$U,A533)&gt;0,"All uploaded",COUNTIF($V:$V,A533)&gt;0,"Partly uploaded",COUNTIF($W:$X,A533)&gt;0,"Not uploaded",TRUE,"Not classified"))</f>
        <v>Partly uploaded</v>
      </c>
      <c r="C533" s="1" t="str" cm="1">
        <f t="array" ref="C533">_xlfn.SWITCH(TRIM(I533),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33" s="1" t="s">
        <v>1</v>
      </c>
      <c r="E533" s="1" t="s">
        <v>3</v>
      </c>
      <c r="F533" s="1" t="str" cm="1">
        <f t="array" ref="F533">_xlfn.LET(
_xlpm.status,UPPER(TRIM(B533&amp;"")),
_xlpm.risk,UPPER(TRIM(C533&amp;"")),
_xlpm.notify,UPPER(TRIM(D533&amp;"")),
_xlpm.form,UPPER(TRIM(E533&amp;"")),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33" s="1" t="str">
        <f t="shared" si="8"/>
        <v>NA</v>
      </c>
      <c r="H533" s="5" t="s">
        <v>3472</v>
      </c>
      <c r="I533" s="1" t="s">
        <v>23</v>
      </c>
      <c r="J533" s="1" t="s">
        <v>3471</v>
      </c>
      <c r="K533" s="1" t="s">
        <v>3464</v>
      </c>
      <c r="L533" s="1" t="s">
        <v>23</v>
      </c>
      <c r="M533" s="1" t="s">
        <v>28</v>
      </c>
      <c r="N533" s="1" t="s">
        <v>3466</v>
      </c>
      <c r="O533" s="1" t="s">
        <v>19</v>
      </c>
      <c r="P533" s="1" t="s">
        <v>18</v>
      </c>
      <c r="Q533" s="1" t="s">
        <v>20</v>
      </c>
      <c r="R533" s="1" t="s">
        <v>3470</v>
      </c>
      <c r="S533" s="1">
        <v>2</v>
      </c>
      <c r="T533" s="1" t="s">
        <v>3473</v>
      </c>
    </row>
    <row r="534" spans="1:20">
      <c r="A534" s="1" t="s">
        <v>3465</v>
      </c>
      <c r="B534" s="1" t="str" cm="1">
        <f t="array" ref="B534">IF(A534="","",_xlfn.IFS(COUNTIF($U:$U,A534)&gt;0,"All uploaded",COUNTIF($V:$V,A534)&gt;0,"Partly uploaded",COUNTIF($W:$X,A534)&gt;0,"Not uploaded",TRUE,"Not classified"))</f>
        <v>Partly uploaded</v>
      </c>
      <c r="C534" s="1" t="str" cm="1">
        <f t="array" ref="C534">_xlfn.SWITCH(TRIM(I534),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34" s="1" t="s">
        <v>1</v>
      </c>
      <c r="E534" s="1" t="s">
        <v>3</v>
      </c>
      <c r="F534" s="1" t="str" cm="1">
        <f t="array" ref="F534">_xlfn.LET(
_xlpm.status,UPPER(TRIM(B534&amp;"")),
_xlpm.risk,UPPER(TRIM(C534&amp;"")),
_xlpm.notify,UPPER(TRIM(D534&amp;"")),
_xlpm.form,UPPER(TRIM(E534&amp;"")),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34" s="1" t="str">
        <f t="shared" si="8"/>
        <v>NA</v>
      </c>
      <c r="H534" s="5" t="s">
        <v>3468</v>
      </c>
      <c r="I534" s="1" t="s">
        <v>23</v>
      </c>
      <c r="J534" s="1" t="s">
        <v>3467</v>
      </c>
      <c r="K534" s="1" t="s">
        <v>3464</v>
      </c>
      <c r="L534" s="1" t="s">
        <v>23</v>
      </c>
      <c r="M534" s="1" t="s">
        <v>28</v>
      </c>
      <c r="N534" s="1" t="s">
        <v>3466</v>
      </c>
      <c r="O534" s="1" t="s">
        <v>19</v>
      </c>
      <c r="P534" s="1" t="s">
        <v>18</v>
      </c>
      <c r="Q534" s="1" t="s">
        <v>20</v>
      </c>
      <c r="R534" s="1" t="s">
        <v>2074</v>
      </c>
      <c r="S534" s="1">
        <v>3</v>
      </c>
      <c r="T534" s="1" t="s">
        <v>3469</v>
      </c>
    </row>
    <row r="535" spans="1:20">
      <c r="A535" s="1" t="s">
        <v>3478</v>
      </c>
      <c r="B535" s="1" t="str" cm="1">
        <f t="array" ref="B535">IF(A535="","",_xlfn.IFS(COUNTIF($U:$U,A535)&gt;0,"All uploaded",COUNTIF($V:$V,A535)&gt;0,"Partly uploaded",COUNTIF($W:$X,A535)&gt;0,"Not uploaded",TRUE,"Not classified"))</f>
        <v>Partly uploaded</v>
      </c>
      <c r="C535" s="1" t="str" cm="1">
        <f t="array" ref="C535">_xlfn.SWITCH(TRIM(I535),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35" s="1" t="s">
        <v>1</v>
      </c>
      <c r="E535" s="1" t="s">
        <v>3</v>
      </c>
      <c r="F535" s="1" t="str" cm="1">
        <f t="array" ref="F535">_xlfn.LET(
_xlpm.status,UPPER(TRIM(B535&amp;"")),
_xlpm.risk,UPPER(TRIM(C535&amp;"")),
_xlpm.notify,UPPER(TRIM(D535&amp;"")),
_xlpm.form,UPPER(TRIM(E535&amp;"")),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535" s="1" t="str">
        <f t="shared" si="8"/>
        <v>NA</v>
      </c>
      <c r="H535" s="5" t="s">
        <v>3480</v>
      </c>
      <c r="I535" s="1" t="s">
        <v>10</v>
      </c>
      <c r="J535" s="1" t="s">
        <v>3479</v>
      </c>
      <c r="K535" s="1" t="s">
        <v>3477</v>
      </c>
      <c r="L535" s="1" t="s">
        <v>10</v>
      </c>
      <c r="M535" s="1" t="s">
        <v>75</v>
      </c>
      <c r="N535" s="1" t="s">
        <v>3378</v>
      </c>
      <c r="O535" s="1" t="s">
        <v>19</v>
      </c>
      <c r="P535" s="1" t="s">
        <v>18</v>
      </c>
      <c r="Q535" s="1" t="s">
        <v>20</v>
      </c>
      <c r="R535" s="1" t="s">
        <v>3348</v>
      </c>
      <c r="S535" s="1">
        <v>1</v>
      </c>
      <c r="T535" s="1" t="s">
        <v>3481</v>
      </c>
    </row>
    <row r="536" spans="1:20">
      <c r="A536" s="1" t="s">
        <v>3489</v>
      </c>
      <c r="B536" s="1" t="str" cm="1">
        <f t="array" ref="B536">IF(A536="","",_xlfn.IFS(COUNTIF($U:$U,A536)&gt;0,"All uploaded",COUNTIF($V:$V,A536)&gt;0,"Partly uploaded",COUNTIF($W:$X,A536)&gt;0,"Not uploaded",TRUE,"Not classified"))</f>
        <v>Partly uploaded</v>
      </c>
      <c r="C536" s="1" t="str" cm="1">
        <f t="array" ref="C536">_xlfn.SWITCH(TRIM(I536),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36" s="1" t="s">
        <v>1</v>
      </c>
      <c r="E536" s="1" t="s">
        <v>3</v>
      </c>
      <c r="F536" s="1" t="str" cm="1">
        <f t="array" ref="F536">_xlfn.LET(
_xlpm.status,UPPER(TRIM(B536&amp;"")),
_xlpm.risk,UPPER(TRIM(C536&amp;"")),
_xlpm.notify,UPPER(TRIM(D536&amp;"")),
_xlpm.form,UPPER(TRIM(E536&amp;"")),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36" s="1" t="str">
        <f t="shared" si="8"/>
        <v>NA</v>
      </c>
      <c r="H536" s="5" t="s">
        <v>3492</v>
      </c>
      <c r="I536" s="1" t="s">
        <v>22</v>
      </c>
      <c r="J536" s="1" t="s">
        <v>3491</v>
      </c>
      <c r="K536" s="1" t="s">
        <v>3482</v>
      </c>
      <c r="L536" s="1" t="s">
        <v>22</v>
      </c>
      <c r="M536" s="1" t="s">
        <v>77</v>
      </c>
      <c r="N536" s="1" t="s">
        <v>3490</v>
      </c>
      <c r="O536" s="1" t="s">
        <v>19</v>
      </c>
      <c r="P536" s="1" t="s">
        <v>18</v>
      </c>
      <c r="Q536" s="1" t="s">
        <v>20</v>
      </c>
      <c r="R536" s="1" t="s">
        <v>3485</v>
      </c>
      <c r="S536" s="1">
        <v>1</v>
      </c>
      <c r="T536" s="1" t="s">
        <v>1067</v>
      </c>
    </row>
    <row r="537" spans="1:20">
      <c r="A537" s="1" t="s">
        <v>3483</v>
      </c>
      <c r="B537" s="1" t="str" cm="1">
        <f t="array" ref="B537">IF(A537="","",_xlfn.IFS(COUNTIF($U:$U,A537)&gt;0,"All uploaded",COUNTIF($V:$V,A537)&gt;0,"Partly uploaded",COUNTIF($W:$X,A537)&gt;0,"Not uploaded",TRUE,"Not classified"))</f>
        <v>All uploaded</v>
      </c>
      <c r="C537" s="1" t="str" cm="1">
        <f t="array" ref="C537">_xlfn.SWITCH(TRIM(I537),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37" s="1" t="s">
        <v>0</v>
      </c>
      <c r="E537" s="1" t="s">
        <v>3</v>
      </c>
      <c r="F537" s="1" t="str" cm="1">
        <f t="array" ref="F537">_xlfn.LET(
_xlpm.status,UPPER(TRIM(B537&amp;"")),
_xlpm.risk,UPPER(TRIM(C537&amp;"")),
_xlpm.notify,UPPER(TRIM(D537&amp;"")),
_xlpm.form,UPPER(TRIM(E537&amp;"")),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37" s="1" t="str">
        <f t="shared" si="8"/>
        <v>NA</v>
      </c>
      <c r="H537" s="5" t="s">
        <v>3487</v>
      </c>
      <c r="I537" s="1" t="s">
        <v>22</v>
      </c>
      <c r="J537" s="1" t="s">
        <v>3486</v>
      </c>
      <c r="K537" s="1" t="s">
        <v>3482</v>
      </c>
      <c r="L537" s="1" t="s">
        <v>22</v>
      </c>
      <c r="M537" s="1" t="s">
        <v>77</v>
      </c>
      <c r="N537" s="1" t="s">
        <v>3484</v>
      </c>
      <c r="O537" s="1" t="s">
        <v>19</v>
      </c>
      <c r="P537" s="1" t="s">
        <v>18</v>
      </c>
      <c r="Q537" s="1" t="s">
        <v>20</v>
      </c>
      <c r="R537" s="1" t="s">
        <v>3485</v>
      </c>
      <c r="S537" s="1">
        <v>1</v>
      </c>
      <c r="T537" s="1" t="s">
        <v>3488</v>
      </c>
    </row>
    <row r="538" spans="1:20">
      <c r="A538" s="1" t="s">
        <v>3499</v>
      </c>
      <c r="B538" s="1" t="str" cm="1">
        <f t="array" ref="B538">IF(A538="","",_xlfn.IFS(COUNTIF($U:$U,A538)&gt;0,"All uploaded",COUNTIF($V:$V,A538)&gt;0,"Partly uploaded",COUNTIF($W:$X,A538)&gt;0,"Not uploaded",TRUE,"Not classified"))</f>
        <v>Partly uploaded</v>
      </c>
      <c r="C538" s="1" t="str" cm="1">
        <f t="array" ref="C538">_xlfn.SWITCH(TRIM(I538),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38" s="1" t="s">
        <v>0</v>
      </c>
      <c r="E538" s="1" t="s">
        <v>3</v>
      </c>
      <c r="F538" s="1" t="str" cm="1">
        <f t="array" ref="F538">_xlfn.LET(
_xlpm.status,UPPER(TRIM(B538&amp;"")),
_xlpm.risk,UPPER(TRIM(C538&amp;"")),
_xlpm.notify,UPPER(TRIM(D538&amp;"")),
_xlpm.form,UPPER(TRIM(E538&amp;"")),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38" s="1" t="str">
        <f t="shared" si="8"/>
        <v>NA</v>
      </c>
      <c r="H538" s="5" t="s">
        <v>3504</v>
      </c>
      <c r="I538" s="1" t="s">
        <v>22</v>
      </c>
      <c r="J538" s="1" t="s">
        <v>3503</v>
      </c>
      <c r="K538" s="1" t="s">
        <v>3493</v>
      </c>
      <c r="L538" s="1" t="s">
        <v>22</v>
      </c>
      <c r="M538" s="1" t="s">
        <v>77</v>
      </c>
      <c r="N538" s="1" t="s">
        <v>3500</v>
      </c>
      <c r="O538" s="1" t="s">
        <v>19</v>
      </c>
      <c r="P538" s="1" t="s">
        <v>18</v>
      </c>
      <c r="Q538" s="1" t="s">
        <v>20</v>
      </c>
      <c r="R538" s="1" t="s">
        <v>3502</v>
      </c>
      <c r="S538" s="1">
        <v>2</v>
      </c>
      <c r="T538" s="1" t="s">
        <v>3505</v>
      </c>
    </row>
    <row r="539" spans="1:20">
      <c r="A539" s="1" t="s">
        <v>3494</v>
      </c>
      <c r="B539" s="1" t="str" cm="1">
        <f t="array" ref="B539">IF(A539="","",_xlfn.IFS(COUNTIF($U:$U,A539)&gt;0,"All uploaded",COUNTIF($V:$V,A539)&gt;0,"Partly uploaded",COUNTIF($W:$X,A539)&gt;0,"Not uploaded",TRUE,"Not classified"))</f>
        <v>Partly uploaded</v>
      </c>
      <c r="C539" s="1" t="str" cm="1">
        <f t="array" ref="C539">_xlfn.SWITCH(TRIM(I539),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39" s="1" t="s">
        <v>1</v>
      </c>
      <c r="E539" s="1" t="s">
        <v>3</v>
      </c>
      <c r="F539" s="1" t="str" cm="1">
        <f t="array" ref="F539">_xlfn.LET(
_xlpm.status,UPPER(TRIM(B539&amp;"")),
_xlpm.risk,UPPER(TRIM(C539&amp;"")),
_xlpm.notify,UPPER(TRIM(D539&amp;"")),
_xlpm.form,UPPER(TRIM(E539&amp;"")),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39" s="1" t="str">
        <f t="shared" si="8"/>
        <v>NA</v>
      </c>
      <c r="H539" s="5" t="s">
        <v>3497</v>
      </c>
      <c r="I539" s="1" t="s">
        <v>23</v>
      </c>
      <c r="J539" s="1" t="s">
        <v>3496</v>
      </c>
      <c r="K539" s="1" t="s">
        <v>3493</v>
      </c>
      <c r="L539" s="1" t="s">
        <v>23</v>
      </c>
      <c r="M539" s="1" t="s">
        <v>28</v>
      </c>
      <c r="N539" s="1" t="s">
        <v>3495</v>
      </c>
      <c r="O539" s="1" t="s">
        <v>19</v>
      </c>
      <c r="P539" s="1" t="s">
        <v>18</v>
      </c>
      <c r="Q539" s="1" t="s">
        <v>20</v>
      </c>
      <c r="R539" s="1" t="s">
        <v>3470</v>
      </c>
      <c r="S539" s="1">
        <v>2</v>
      </c>
      <c r="T539" s="1" t="s">
        <v>3498</v>
      </c>
    </row>
    <row r="540" spans="1:20">
      <c r="A540" s="1" t="s">
        <v>3507</v>
      </c>
      <c r="B540" s="1" t="str" cm="1">
        <f t="array" ref="B540">IF(A540="","",_xlfn.IFS(COUNTIF($U:$U,A540)&gt;0,"All uploaded",COUNTIF($V:$V,A540)&gt;0,"Partly uploaded",COUNTIF($W:$X,A540)&gt;0,"Not uploaded",TRUE,"Not classified"))</f>
        <v>Partly uploaded</v>
      </c>
      <c r="C540" s="1" t="str" cm="1">
        <f t="array" ref="C540">_xlfn.SWITCH(TRIM(I540),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40" s="1" t="s">
        <v>0</v>
      </c>
      <c r="E540" s="1" t="s">
        <v>4</v>
      </c>
      <c r="F540" s="1" t="str" cm="1">
        <f t="array" ref="F540">_xlfn.LET(
_xlpm.status,UPPER(TRIM(B540&amp;"")),
_xlpm.risk,UPPER(TRIM(C540&amp;"")),
_xlpm.notify,UPPER(TRIM(D540&amp;"")),
_xlpm.form,UPPER(TRIM(E540&amp;"")),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40" s="1" t="str">
        <f t="shared" si="8"/>
        <v>NA</v>
      </c>
      <c r="H540" s="5" t="s">
        <v>3511</v>
      </c>
      <c r="I540" s="1" t="s">
        <v>23</v>
      </c>
      <c r="J540" s="1" t="s">
        <v>3510</v>
      </c>
      <c r="K540" s="1" t="s">
        <v>3506</v>
      </c>
      <c r="L540" s="1" t="s">
        <v>23</v>
      </c>
      <c r="M540" s="1" t="s">
        <v>77</v>
      </c>
      <c r="N540" s="1" t="s">
        <v>3508</v>
      </c>
      <c r="O540" s="1" t="s">
        <v>19</v>
      </c>
      <c r="P540" s="1" t="s">
        <v>18</v>
      </c>
      <c r="Q540" s="1" t="s">
        <v>20</v>
      </c>
      <c r="R540" s="1" t="s">
        <v>3509</v>
      </c>
      <c r="S540" s="1">
        <v>1</v>
      </c>
      <c r="T540" s="1" t="s">
        <v>3512</v>
      </c>
    </row>
    <row r="541" spans="1:20">
      <c r="A541" s="1" t="s">
        <v>3547</v>
      </c>
      <c r="B541" s="1" t="str" cm="1">
        <f t="array" ref="B541">IF(A541="","",_xlfn.IFS(COUNTIF($U:$U,A541)&gt;0,"All uploaded",COUNTIF($V:$V,A541)&gt;0,"Partly uploaded",COUNTIF($W:$X,A541)&gt;0,"Not uploaded",TRUE,"Not classified"))</f>
        <v>Partly uploaded</v>
      </c>
      <c r="C541" s="1" t="str" cm="1">
        <f t="array" ref="C541">_xlfn.SWITCH(TRIM(I541),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41" s="1" t="s">
        <v>1</v>
      </c>
      <c r="E541" s="1" t="s">
        <v>3</v>
      </c>
      <c r="F541" s="1" t="str" cm="1">
        <f t="array" ref="F541">_xlfn.LET(
_xlpm.status,UPPER(TRIM(B541&amp;"")),
_xlpm.risk,UPPER(TRIM(C541&amp;"")),
_xlpm.notify,UPPER(TRIM(D541&amp;"")),
_xlpm.form,UPPER(TRIM(E541&amp;"")),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41" s="1" t="str">
        <f t="shared" si="8"/>
        <v>NA</v>
      </c>
      <c r="H541" s="5" t="s">
        <v>3549</v>
      </c>
      <c r="I541" s="1" t="s">
        <v>50</v>
      </c>
      <c r="J541" s="1" t="s">
        <v>3548</v>
      </c>
      <c r="K541" s="1" t="s">
        <v>3546</v>
      </c>
      <c r="L541" s="1" t="s">
        <v>50</v>
      </c>
      <c r="M541" s="1" t="s">
        <v>75</v>
      </c>
      <c r="N541" s="1" t="s">
        <v>2707</v>
      </c>
      <c r="O541" s="1" t="s">
        <v>19</v>
      </c>
      <c r="P541" s="1" t="s">
        <v>18</v>
      </c>
      <c r="Q541" s="1" t="s">
        <v>20</v>
      </c>
      <c r="R541" s="1" t="s">
        <v>3093</v>
      </c>
      <c r="S541" s="1">
        <v>31</v>
      </c>
      <c r="T541" s="1" t="s">
        <v>3550</v>
      </c>
    </row>
    <row r="542" spans="1:20">
      <c r="A542" s="1" t="s">
        <v>3567</v>
      </c>
      <c r="B542" s="1" t="str" cm="1">
        <f t="array" ref="B542">IF(A542="","",_xlfn.IFS(COUNTIF($U:$U,A542)&gt;0,"All uploaded",COUNTIF($V:$V,A542)&gt;0,"Partly uploaded",COUNTIF($W:$X,A542)&gt;0,"Not uploaded",TRUE,"Not classified"))</f>
        <v>Partly uploaded</v>
      </c>
      <c r="C542" s="1" t="str" cm="1">
        <f t="array" ref="C542">_xlfn.SWITCH(TRIM(I542),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42" s="1" t="s">
        <v>0</v>
      </c>
      <c r="E542" s="1" t="s">
        <v>3</v>
      </c>
      <c r="F542" s="1" t="str" cm="1">
        <f t="array" ref="F542">_xlfn.LET(
_xlpm.status,UPPER(TRIM(B542&amp;"")),
_xlpm.risk,UPPER(TRIM(C542&amp;"")),
_xlpm.notify,UPPER(TRIM(D542&amp;"")),
_xlpm.form,UPPER(TRIM(E542&amp;"")),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42" s="1" t="str">
        <f t="shared" si="8"/>
        <v>NA</v>
      </c>
      <c r="H542" s="5" t="s">
        <v>3571</v>
      </c>
      <c r="I542" s="1" t="s">
        <v>22</v>
      </c>
      <c r="J542" s="1" t="s">
        <v>3570</v>
      </c>
      <c r="K542" s="1" t="s">
        <v>3566</v>
      </c>
      <c r="L542" s="1" t="s">
        <v>22</v>
      </c>
      <c r="M542" s="1" t="s">
        <v>77</v>
      </c>
      <c r="N542" s="1" t="s">
        <v>3568</v>
      </c>
      <c r="O542" s="1" t="s">
        <v>19</v>
      </c>
      <c r="P542" s="1" t="s">
        <v>18</v>
      </c>
      <c r="Q542" s="1" t="s">
        <v>20</v>
      </c>
      <c r="R542" s="1" t="s">
        <v>3569</v>
      </c>
      <c r="S542" s="1">
        <v>1</v>
      </c>
      <c r="T542" s="1" t="s">
        <v>2853</v>
      </c>
    </row>
    <row r="543" spans="1:20">
      <c r="A543" s="1" t="s">
        <v>3561</v>
      </c>
      <c r="B543" s="1" t="str" cm="1">
        <f t="array" ref="B543">IF(A543="","",_xlfn.IFS(COUNTIF($U:$U,A543)&gt;0,"All uploaded",COUNTIF($V:$V,A543)&gt;0,"Partly uploaded",COUNTIF($W:$X,A543)&gt;0,"Not uploaded",TRUE,"Not classified"))</f>
        <v>Partly uploaded</v>
      </c>
      <c r="C543" s="1" t="str" cm="1">
        <f t="array" ref="C543">_xlfn.SWITCH(TRIM(I543),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43" s="1" t="s">
        <v>1</v>
      </c>
      <c r="E543" s="1" t="s">
        <v>3</v>
      </c>
      <c r="F543" s="1" t="str" cm="1">
        <f t="array" ref="F543">_xlfn.LET(
_xlpm.status,UPPER(TRIM(B543&amp;"")),
_xlpm.risk,UPPER(TRIM(C543&amp;"")),
_xlpm.notify,UPPER(TRIM(D543&amp;"")),
_xlpm.form,UPPER(TRIM(E543&amp;"")),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43" s="1" t="str">
        <f t="shared" si="8"/>
        <v>NA</v>
      </c>
      <c r="H543" s="5" t="s">
        <v>3564</v>
      </c>
      <c r="I543" s="1" t="s">
        <v>23</v>
      </c>
      <c r="J543" s="1" t="s">
        <v>3563</v>
      </c>
      <c r="K543" s="1" t="s">
        <v>3560</v>
      </c>
      <c r="L543" s="1" t="s">
        <v>23</v>
      </c>
      <c r="M543" s="1" t="s">
        <v>28</v>
      </c>
      <c r="N543" s="1" t="s">
        <v>2588</v>
      </c>
      <c r="O543" s="1" t="s">
        <v>19</v>
      </c>
      <c r="P543" s="1" t="s">
        <v>18</v>
      </c>
      <c r="Q543" s="1" t="s">
        <v>20</v>
      </c>
      <c r="R543" s="1" t="s">
        <v>3562</v>
      </c>
      <c r="S543" s="1">
        <v>1</v>
      </c>
      <c r="T543" s="1" t="s">
        <v>3565</v>
      </c>
    </row>
    <row r="544" spans="1:20">
      <c r="A544" s="1" t="s">
        <v>3578</v>
      </c>
      <c r="B544" s="1" t="str" cm="1">
        <f t="array" ref="B544">IF(A544="","",_xlfn.IFS(COUNTIF($U:$U,A544)&gt;0,"All uploaded",COUNTIF($V:$V,A544)&gt;0,"Partly uploaded",COUNTIF($W:$X,A544)&gt;0,"Not uploaded",TRUE,"Not classified"))</f>
        <v>Partly uploaded</v>
      </c>
      <c r="C544" s="1" t="str" cm="1">
        <f t="array" ref="C544">_xlfn.SWITCH(TRIM(I544),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44" s="1" t="s">
        <v>0</v>
      </c>
      <c r="E544" s="1" t="s">
        <v>3</v>
      </c>
      <c r="F544" s="1" t="str" cm="1">
        <f t="array" ref="F544">_xlfn.LET(
_xlpm.status,UPPER(TRIM(B544&amp;"")),
_xlpm.risk,UPPER(TRIM(C544&amp;"")),
_xlpm.notify,UPPER(TRIM(D544&amp;"")),
_xlpm.form,UPPER(TRIM(E544&amp;"")),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44" s="1" t="str">
        <f t="shared" si="8"/>
        <v>NA</v>
      </c>
      <c r="H544" s="5" t="s">
        <v>3581</v>
      </c>
      <c r="I544" s="1" t="s">
        <v>25</v>
      </c>
      <c r="J544" s="1" t="s">
        <v>3580</v>
      </c>
      <c r="K544" s="1" t="s">
        <v>3577</v>
      </c>
      <c r="L544" s="1" t="s">
        <v>25</v>
      </c>
      <c r="M544" s="1" t="s">
        <v>28</v>
      </c>
      <c r="N544" s="1" t="s">
        <v>3579</v>
      </c>
      <c r="O544" s="1" t="s">
        <v>19</v>
      </c>
      <c r="P544" s="1" t="s">
        <v>18</v>
      </c>
      <c r="Q544" s="1" t="s">
        <v>20</v>
      </c>
      <c r="R544" s="1" t="s">
        <v>3231</v>
      </c>
      <c r="S544" s="1">
        <v>1</v>
      </c>
      <c r="T544" s="1" t="s">
        <v>3582</v>
      </c>
    </row>
    <row r="545" spans="1:20">
      <c r="A545" s="1" t="s">
        <v>3586</v>
      </c>
      <c r="B545" s="1" t="str" cm="1">
        <f t="array" ref="B545">IF(A545="","",_xlfn.IFS(COUNTIF($U:$U,A545)&gt;0,"All uploaded",COUNTIF($V:$V,A545)&gt;0,"Partly uploaded",COUNTIF($W:$X,A545)&gt;0,"Not uploaded",TRUE,"Not classified"))</f>
        <v>Partly uploaded</v>
      </c>
      <c r="C545" s="1" t="str" cm="1">
        <f t="array" ref="C545">_xlfn.SWITCH(TRIM(I545),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45" s="1" t="s">
        <v>0</v>
      </c>
      <c r="E545" s="1" t="s">
        <v>3</v>
      </c>
      <c r="F545" s="1" t="str" cm="1">
        <f t="array" ref="F545">_xlfn.LET(
_xlpm.status,UPPER(TRIM(B545&amp;"")),
_xlpm.risk,UPPER(TRIM(C545&amp;"")),
_xlpm.notify,UPPER(TRIM(D545&amp;"")),
_xlpm.form,UPPER(TRIM(E545&amp;"")),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45" s="1" t="str">
        <f t="shared" si="8"/>
        <v>NA</v>
      </c>
      <c r="H545" s="5" t="s">
        <v>3589</v>
      </c>
      <c r="I545" s="1" t="s">
        <v>27</v>
      </c>
      <c r="J545" s="1" t="s">
        <v>3588</v>
      </c>
      <c r="K545" s="1" t="s">
        <v>3585</v>
      </c>
      <c r="L545" s="1" t="s">
        <v>27</v>
      </c>
      <c r="M545" s="1" t="s">
        <v>28</v>
      </c>
      <c r="N545" s="1" t="s">
        <v>3587</v>
      </c>
      <c r="O545" s="1" t="s">
        <v>19</v>
      </c>
      <c r="P545" s="1" t="s">
        <v>18</v>
      </c>
      <c r="Q545" s="1" t="s">
        <v>20</v>
      </c>
      <c r="R545" s="1" t="s">
        <v>3231</v>
      </c>
      <c r="S545" s="1">
        <v>1</v>
      </c>
      <c r="T545" s="1" t="s">
        <v>3590</v>
      </c>
    </row>
    <row r="546" spans="1:20">
      <c r="A546" s="1" t="s">
        <v>3592</v>
      </c>
      <c r="B546" s="1" t="str" cm="1">
        <f t="array" ref="B546">IF(A546="","",_xlfn.IFS(COUNTIF($U:$U,A546)&gt;0,"All uploaded",COUNTIF($V:$V,A546)&gt;0,"Partly uploaded",COUNTIF($W:$X,A546)&gt;0,"Not uploaded",TRUE,"Not classified"))</f>
        <v>All uploaded</v>
      </c>
      <c r="C546" s="1" t="str" cm="1">
        <f t="array" ref="C546">_xlfn.SWITCH(TRIM(I546),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46" s="1" t="s">
        <v>1</v>
      </c>
      <c r="E546" s="1" t="s">
        <v>3</v>
      </c>
      <c r="F546" s="1" t="str" cm="1">
        <f t="array" ref="F546">_xlfn.LET(
_xlpm.status,UPPER(TRIM(B546&amp;"")),
_xlpm.risk,UPPER(TRIM(C546&amp;"")),
_xlpm.notify,UPPER(TRIM(D546&amp;"")),
_xlpm.form,UPPER(TRIM(E546&amp;"")),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46" s="1" t="str">
        <f t="shared" si="8"/>
        <v>NA</v>
      </c>
      <c r="H546" s="5" t="s">
        <v>3595</v>
      </c>
      <c r="I546" s="1" t="s">
        <v>23</v>
      </c>
      <c r="J546" s="1" t="s">
        <v>3594</v>
      </c>
      <c r="K546" s="1" t="s">
        <v>3591</v>
      </c>
      <c r="L546" s="1" t="s">
        <v>23</v>
      </c>
      <c r="M546" s="1" t="s">
        <v>28</v>
      </c>
      <c r="N546" s="1" t="s">
        <v>42</v>
      </c>
      <c r="O546" s="1" t="s">
        <v>19</v>
      </c>
      <c r="P546" s="1" t="s">
        <v>18</v>
      </c>
      <c r="Q546" s="1" t="s">
        <v>20</v>
      </c>
      <c r="R546" s="1" t="s">
        <v>3593</v>
      </c>
      <c r="S546" s="1">
        <v>2</v>
      </c>
      <c r="T546" s="1" t="s">
        <v>3596</v>
      </c>
    </row>
    <row r="547" spans="1:20">
      <c r="A547" s="1" t="s">
        <v>3597</v>
      </c>
      <c r="B547" s="1" t="str" cm="1">
        <f t="array" ref="B547">IF(A547="","",_xlfn.IFS(COUNTIF($U:$U,A547)&gt;0,"All uploaded",COUNTIF($V:$V,A547)&gt;0,"Partly uploaded",COUNTIF($W:$X,A547)&gt;0,"Not uploaded",TRUE,"Not classified"))</f>
        <v>Partly uploaded</v>
      </c>
      <c r="C547" s="1" t="str" cm="1">
        <f t="array" ref="C547">_xlfn.SWITCH(TRIM(I547),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47" s="1" t="s">
        <v>1</v>
      </c>
      <c r="E547" s="1" t="s">
        <v>3</v>
      </c>
      <c r="F547" s="1" t="str" cm="1">
        <f t="array" ref="F547">_xlfn.LET(
_xlpm.status,UPPER(TRIM(B547&amp;"")),
_xlpm.risk,UPPER(TRIM(C547&amp;"")),
_xlpm.notify,UPPER(TRIM(D547&amp;"")),
_xlpm.form,UPPER(TRIM(E547&amp;"")),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47" s="1" t="str">
        <f t="shared" si="8"/>
        <v>NA</v>
      </c>
      <c r="H547" s="5" t="s">
        <v>3600</v>
      </c>
      <c r="I547" s="1" t="s">
        <v>23</v>
      </c>
      <c r="J547" s="1" t="s">
        <v>3599</v>
      </c>
      <c r="K547" s="1" t="s">
        <v>3591</v>
      </c>
      <c r="L547" s="1" t="s">
        <v>23</v>
      </c>
      <c r="M547" s="1" t="s">
        <v>28</v>
      </c>
      <c r="N547" s="1" t="s">
        <v>3598</v>
      </c>
      <c r="O547" s="1" t="s">
        <v>19</v>
      </c>
      <c r="P547" s="1" t="s">
        <v>18</v>
      </c>
      <c r="Q547" s="1" t="s">
        <v>20</v>
      </c>
      <c r="R547" s="1" t="s">
        <v>3356</v>
      </c>
      <c r="S547" s="1">
        <v>1</v>
      </c>
      <c r="T547" s="1" t="s">
        <v>3601</v>
      </c>
    </row>
    <row r="548" spans="1:20">
      <c r="A548" s="1" t="s">
        <v>3608</v>
      </c>
      <c r="B548" s="1" t="str" cm="1">
        <f t="array" ref="B548">IF(A548="","",_xlfn.IFS(COUNTIF($U:$U,A548)&gt;0,"All uploaded",COUNTIF($V:$V,A548)&gt;0,"Partly uploaded",COUNTIF($W:$X,A548)&gt;0,"Not uploaded",TRUE,"Not classified"))</f>
        <v>Partly uploaded</v>
      </c>
      <c r="C548" s="1" t="str" cm="1">
        <f t="array" ref="C548">_xlfn.SWITCH(TRIM(I548),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48" s="1" t="s">
        <v>1</v>
      </c>
      <c r="E548" s="1" t="s">
        <v>3</v>
      </c>
      <c r="F548" s="1" t="str" cm="1">
        <f t="array" ref="F548">_xlfn.LET(
_xlpm.status,UPPER(TRIM(B548&amp;"")),
_xlpm.risk,UPPER(TRIM(C548&amp;"")),
_xlpm.notify,UPPER(TRIM(D548&amp;"")),
_xlpm.form,UPPER(TRIM(E548&amp;"")),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48" s="1" t="str">
        <f t="shared" si="8"/>
        <v>NA</v>
      </c>
      <c r="H548" s="5" t="s">
        <v>3612</v>
      </c>
      <c r="I548" s="1" t="s">
        <v>23</v>
      </c>
      <c r="J548" s="1" t="s">
        <v>3611</v>
      </c>
      <c r="K548" s="1" t="s">
        <v>3607</v>
      </c>
      <c r="L548" s="1" t="s">
        <v>23</v>
      </c>
      <c r="M548" s="1" t="s">
        <v>28</v>
      </c>
      <c r="N548" s="1" t="s">
        <v>3609</v>
      </c>
      <c r="O548" s="1" t="s">
        <v>19</v>
      </c>
      <c r="P548" s="1" t="s">
        <v>18</v>
      </c>
      <c r="Q548" s="1" t="s">
        <v>20</v>
      </c>
      <c r="R548" s="1" t="s">
        <v>3610</v>
      </c>
      <c r="S548" s="1">
        <v>6</v>
      </c>
      <c r="T548" s="1" t="s">
        <v>3613</v>
      </c>
    </row>
    <row r="549" spans="1:20">
      <c r="A549" s="1" t="s">
        <v>3620</v>
      </c>
      <c r="B549" s="1" t="str" cm="1">
        <f t="array" ref="B549">IF(A549="","",_xlfn.IFS(COUNTIF($U:$U,A549)&gt;0,"All uploaded",COUNTIF($V:$V,A549)&gt;0,"Partly uploaded",COUNTIF($W:$X,A549)&gt;0,"Not uploaded",TRUE,"Not classified"))</f>
        <v>Partly uploaded</v>
      </c>
      <c r="C549" s="1" t="str" cm="1">
        <f t="array" ref="C549">_xlfn.SWITCH(TRIM(I549),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49" s="1" t="s">
        <v>1</v>
      </c>
      <c r="E549" s="1" t="s">
        <v>3</v>
      </c>
      <c r="F549" s="1" t="str" cm="1">
        <f t="array" ref="F549">_xlfn.LET(
_xlpm.status,UPPER(TRIM(B549&amp;"")),
_xlpm.risk,UPPER(TRIM(C549&amp;"")),
_xlpm.notify,UPPER(TRIM(D549&amp;"")),
_xlpm.form,UPPER(TRIM(E549&amp;"")),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49" s="1" t="str">
        <f t="shared" si="8"/>
        <v>NA</v>
      </c>
      <c r="H549" s="5" t="s">
        <v>3626</v>
      </c>
      <c r="I549" s="1" t="s">
        <v>22</v>
      </c>
      <c r="J549" s="1" t="s">
        <v>3625</v>
      </c>
      <c r="K549" s="1" t="s">
        <v>3619</v>
      </c>
      <c r="L549" s="1" t="s">
        <v>22</v>
      </c>
      <c r="M549" s="1" t="s">
        <v>77</v>
      </c>
      <c r="N549" s="1" t="s">
        <v>3621</v>
      </c>
      <c r="O549" s="1" t="s">
        <v>19</v>
      </c>
      <c r="P549" s="1" t="s">
        <v>18</v>
      </c>
      <c r="Q549" s="1" t="s">
        <v>20</v>
      </c>
      <c r="R549" s="1" t="s">
        <v>3624</v>
      </c>
      <c r="S549" s="1">
        <v>1</v>
      </c>
      <c r="T549" s="1" t="s">
        <v>3627</v>
      </c>
    </row>
    <row r="550" spans="1:20">
      <c r="A550" s="1" t="s">
        <v>3652</v>
      </c>
      <c r="B550" s="1" t="str" cm="1">
        <f t="array" ref="B550">IF(A550="","",_xlfn.IFS(COUNTIF($U:$U,A550)&gt;0,"All uploaded",COUNTIF($V:$V,A550)&gt;0,"Partly uploaded",COUNTIF($W:$X,A550)&gt;0,"Not uploaded",TRUE,"Not classified"))</f>
        <v>Partly uploaded</v>
      </c>
      <c r="C550" s="1" t="str" cm="1">
        <f t="array" ref="C550">_xlfn.SWITCH(TRIM(I550),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50" s="1" t="s">
        <v>1</v>
      </c>
      <c r="E550" s="1" t="s">
        <v>3</v>
      </c>
      <c r="F550" s="1" t="str" cm="1">
        <f t="array" ref="F550">_xlfn.LET(
_xlpm.status,UPPER(TRIM(B550&amp;"")),
_xlpm.risk,UPPER(TRIM(C550&amp;"")),
_xlpm.notify,UPPER(TRIM(D550&amp;"")),
_xlpm.form,UPPER(TRIM(E550&amp;"")),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50" s="1" t="str">
        <f t="shared" si="8"/>
        <v>NA</v>
      </c>
      <c r="H550" s="5" t="s">
        <v>3656</v>
      </c>
      <c r="I550" s="1" t="s">
        <v>23</v>
      </c>
      <c r="J550" s="1" t="s">
        <v>3655</v>
      </c>
      <c r="K550" s="1" t="s">
        <v>3644</v>
      </c>
      <c r="L550" s="1" t="s">
        <v>23</v>
      </c>
      <c r="M550" s="1" t="s">
        <v>28</v>
      </c>
      <c r="N550" s="1" t="s">
        <v>3653</v>
      </c>
      <c r="O550" s="1" t="s">
        <v>19</v>
      </c>
      <c r="P550" s="1" t="s">
        <v>18</v>
      </c>
      <c r="Q550" s="1" t="s">
        <v>20</v>
      </c>
      <c r="R550" s="1" t="s">
        <v>3654</v>
      </c>
      <c r="S550" s="1">
        <v>2</v>
      </c>
      <c r="T550" s="1" t="s">
        <v>3657</v>
      </c>
    </row>
    <row r="551" spans="1:20">
      <c r="A551" s="1" t="s">
        <v>3667</v>
      </c>
      <c r="B551" s="1" t="str" cm="1">
        <f t="array" ref="B551">IF(A551="","",_xlfn.IFS(COUNTIF($U:$U,A551)&gt;0,"All uploaded",COUNTIF($V:$V,A551)&gt;0,"Partly uploaded",COUNTIF($W:$X,A551)&gt;0,"Not uploaded",TRUE,"Not classified"))</f>
        <v>Partly uploaded</v>
      </c>
      <c r="C551" s="1" t="str" cm="1">
        <f t="array" ref="C551">_xlfn.SWITCH(TRIM(I551),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51" s="1" t="s">
        <v>1</v>
      </c>
      <c r="E551" s="1" t="s">
        <v>3</v>
      </c>
      <c r="F551" s="1" t="str" cm="1">
        <f t="array" ref="F551">_xlfn.LET(
_xlpm.status,UPPER(TRIM(B551&amp;"")),
_xlpm.risk,UPPER(TRIM(C551&amp;"")),
_xlpm.notify,UPPER(TRIM(D551&amp;"")),
_xlpm.form,UPPER(TRIM(E551&amp;"")),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551" s="1" t="str">
        <f t="shared" si="8"/>
        <v>NA</v>
      </c>
      <c r="H551" s="5" t="s">
        <v>3669</v>
      </c>
      <c r="I551" s="1" t="s">
        <v>10</v>
      </c>
      <c r="J551" s="1" t="s">
        <v>3668</v>
      </c>
      <c r="K551" s="1" t="s">
        <v>3666</v>
      </c>
      <c r="L551" s="1" t="s">
        <v>10</v>
      </c>
      <c r="M551" s="1" t="s">
        <v>75</v>
      </c>
      <c r="N551" s="1" t="s">
        <v>3378</v>
      </c>
      <c r="O551" s="1" t="s">
        <v>19</v>
      </c>
      <c r="P551" s="1" t="s">
        <v>18</v>
      </c>
      <c r="Q551" s="1" t="s">
        <v>20</v>
      </c>
      <c r="R551" s="1" t="s">
        <v>3502</v>
      </c>
      <c r="S551" s="1">
        <v>1</v>
      </c>
      <c r="T551" s="1" t="s">
        <v>3670</v>
      </c>
    </row>
    <row r="552" spans="1:20">
      <c r="A552" s="1" t="s">
        <v>3675</v>
      </c>
      <c r="B552" s="1" t="str" cm="1">
        <f t="array" ref="B552">IF(A552="","",_xlfn.IFS(COUNTIF($U:$U,A552)&gt;0,"All uploaded",COUNTIF($V:$V,A552)&gt;0,"Partly uploaded",COUNTIF($W:$X,A552)&gt;0,"Not uploaded",TRUE,"Not classified"))</f>
        <v>Partly uploaded</v>
      </c>
      <c r="C552" s="1" t="str" cm="1">
        <f t="array" ref="C552">_xlfn.SWITCH(TRIM(I552),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52" s="1" t="s">
        <v>1</v>
      </c>
      <c r="E552" s="1" t="s">
        <v>3</v>
      </c>
      <c r="F552" s="1" t="str" cm="1">
        <f t="array" ref="F552">_xlfn.LET(
_xlpm.status,UPPER(TRIM(B552&amp;"")),
_xlpm.risk,UPPER(TRIM(C552&amp;"")),
_xlpm.notify,UPPER(TRIM(D552&amp;"")),
_xlpm.form,UPPER(TRIM(E552&amp;"")),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52" s="1" t="str">
        <f t="shared" si="8"/>
        <v>NA</v>
      </c>
      <c r="H552" s="5" t="s">
        <v>3679</v>
      </c>
      <c r="I552" s="1" t="s">
        <v>23</v>
      </c>
      <c r="J552" s="1" t="s">
        <v>3678</v>
      </c>
      <c r="K552" s="1" t="s">
        <v>3674</v>
      </c>
      <c r="L552" s="1" t="s">
        <v>23</v>
      </c>
      <c r="M552" s="1" t="s">
        <v>28</v>
      </c>
      <c r="N552" s="1" t="s">
        <v>3676</v>
      </c>
      <c r="O552" s="1" t="s">
        <v>19</v>
      </c>
      <c r="P552" s="1" t="s">
        <v>18</v>
      </c>
      <c r="Q552" s="1" t="s">
        <v>20</v>
      </c>
      <c r="R552" s="1" t="s">
        <v>3677</v>
      </c>
      <c r="S552" s="1">
        <v>14</v>
      </c>
      <c r="T552" s="1" t="s">
        <v>3680</v>
      </c>
    </row>
    <row r="553" spans="1:20">
      <c r="A553" s="1" t="s">
        <v>3688</v>
      </c>
      <c r="B553" s="1" t="str" cm="1">
        <f t="array" ref="B553">IF(A553="","",_xlfn.IFS(COUNTIF($U:$U,A553)&gt;0,"All uploaded",COUNTIF($V:$V,A553)&gt;0,"Partly uploaded",COUNTIF($W:$X,A553)&gt;0,"Not uploaded",TRUE,"Not classified"))</f>
        <v>Partly uploaded</v>
      </c>
      <c r="C553" s="1" t="str" cm="1">
        <f t="array" ref="C553">_xlfn.SWITCH(TRIM(I553),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53" s="1" t="s">
        <v>1</v>
      </c>
      <c r="E553" s="1" t="s">
        <v>3</v>
      </c>
      <c r="F553" s="1" t="str" cm="1">
        <f t="array" ref="F553">_xlfn.LET(
_xlpm.status,UPPER(TRIM(B553&amp;"")),
_xlpm.risk,UPPER(TRIM(C553&amp;"")),
_xlpm.notify,UPPER(TRIM(D553&amp;"")),
_xlpm.form,UPPER(TRIM(E553&amp;"")),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53" s="1" t="str">
        <f t="shared" si="8"/>
        <v>NA</v>
      </c>
      <c r="H553" s="5" t="s">
        <v>3691</v>
      </c>
      <c r="I553" s="1" t="s">
        <v>23</v>
      </c>
      <c r="J553" s="1" t="s">
        <v>3690</v>
      </c>
      <c r="K553" s="1" t="s">
        <v>3686</v>
      </c>
      <c r="L553" s="1" t="s">
        <v>23</v>
      </c>
      <c r="M553" s="1" t="s">
        <v>28</v>
      </c>
      <c r="N553" s="1" t="s">
        <v>3146</v>
      </c>
      <c r="O553" s="1" t="s">
        <v>19</v>
      </c>
      <c r="P553" s="1" t="s">
        <v>18</v>
      </c>
      <c r="Q553" s="1" t="s">
        <v>20</v>
      </c>
      <c r="R553" s="1" t="s">
        <v>3689</v>
      </c>
      <c r="S553" s="1">
        <v>5</v>
      </c>
      <c r="T553" s="1" t="s">
        <v>3692</v>
      </c>
    </row>
    <row r="554" spans="1:20">
      <c r="A554" s="1" t="s">
        <v>3688</v>
      </c>
      <c r="B554" s="1" t="str" cm="1">
        <f t="array" ref="B554">IF(A554="","",_xlfn.IFS(COUNTIF($U:$U,A554)&gt;0,"All uploaded",COUNTIF($V:$V,A554)&gt;0,"Partly uploaded",COUNTIF($W:$X,A554)&gt;0,"Not uploaded",TRUE,"Not classified"))</f>
        <v>Partly uploaded</v>
      </c>
      <c r="C554" s="1" t="str" cm="1">
        <f t="array" ref="C554">_xlfn.SWITCH(TRIM(I554),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54" s="1" t="s">
        <v>1</v>
      </c>
      <c r="E554" s="1" t="s">
        <v>5</v>
      </c>
      <c r="F554" s="1" t="str" cm="1">
        <f t="array" ref="F554">_xlfn.LET(
_xlpm.status,UPPER(TRIM(B554&amp;"")),
_xlpm.risk,UPPER(TRIM(C554&amp;"")),
_xlpm.notify,UPPER(TRIM(D554&amp;"")),
_xlpm.form,UPPER(TRIM(E554&amp;"")),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processing canceled</v>
      </c>
      <c r="G554" s="1" t="str">
        <f t="shared" si="8"/>
        <v>NA</v>
      </c>
      <c r="H554" s="5" t="s">
        <v>3691</v>
      </c>
      <c r="I554" s="1" t="s">
        <v>23</v>
      </c>
      <c r="J554" s="1" t="s">
        <v>3693</v>
      </c>
      <c r="K554" s="1" t="s">
        <v>3686</v>
      </c>
      <c r="L554" s="1" t="s">
        <v>23</v>
      </c>
      <c r="M554" s="1" t="s">
        <v>28</v>
      </c>
      <c r="N554" s="1" t="s">
        <v>3146</v>
      </c>
      <c r="O554" s="1" t="s">
        <v>19</v>
      </c>
      <c r="P554" s="1" t="s">
        <v>18</v>
      </c>
      <c r="Q554" s="1" t="s">
        <v>20</v>
      </c>
      <c r="R554" s="1" t="s">
        <v>3485</v>
      </c>
      <c r="S554" s="1">
        <v>5</v>
      </c>
      <c r="T554" s="1" t="s">
        <v>3692</v>
      </c>
    </row>
    <row r="555" spans="1:20">
      <c r="A555" s="1" t="s">
        <v>3728</v>
      </c>
      <c r="B555" s="1" t="str" cm="1">
        <f t="array" ref="B555">IF(A555="","",_xlfn.IFS(COUNTIF($U:$U,A555)&gt;0,"All uploaded",COUNTIF($V:$V,A555)&gt;0,"Partly uploaded",COUNTIF($W:$X,A555)&gt;0,"Not uploaded",TRUE,"Not classified"))</f>
        <v>Partly uploaded</v>
      </c>
      <c r="C555" s="1" t="str" cm="1">
        <f t="array" ref="C555">_xlfn.SWITCH(TRIM(I555),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55" s="1" t="s">
        <v>1</v>
      </c>
      <c r="E555" s="1" t="s">
        <v>3</v>
      </c>
      <c r="F555" s="1" t="str" cm="1">
        <f t="array" ref="F555">_xlfn.LET(
_xlpm.status,UPPER(TRIM(B555&amp;"")),
_xlpm.risk,UPPER(TRIM(C555&amp;"")),
_xlpm.notify,UPPER(TRIM(D555&amp;"")),
_xlpm.form,UPPER(TRIM(E555&amp;"")),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55" s="1" t="str">
        <f t="shared" si="8"/>
        <v>NA</v>
      </c>
      <c r="H555" s="5" t="s">
        <v>3732</v>
      </c>
      <c r="I555" s="1" t="s">
        <v>35</v>
      </c>
      <c r="J555" s="1" t="s">
        <v>3731</v>
      </c>
      <c r="K555" s="1" t="s">
        <v>3727</v>
      </c>
      <c r="L555" s="1" t="s">
        <v>35</v>
      </c>
      <c r="M555" s="1" t="s">
        <v>75</v>
      </c>
      <c r="N555" s="1" t="s">
        <v>3729</v>
      </c>
      <c r="O555" s="1" t="s">
        <v>19</v>
      </c>
      <c r="P555" s="1" t="s">
        <v>18</v>
      </c>
      <c r="Q555" s="1" t="s">
        <v>20</v>
      </c>
      <c r="R555" s="1" t="s">
        <v>3730</v>
      </c>
      <c r="S555" s="1">
        <v>10</v>
      </c>
      <c r="T555" s="1" t="s">
        <v>3733</v>
      </c>
    </row>
    <row r="556" spans="1:20">
      <c r="A556" s="1" t="s">
        <v>3735</v>
      </c>
      <c r="B556" s="1" t="str" cm="1">
        <f t="array" ref="B556">IF(A556="","",_xlfn.IFS(COUNTIF($U:$U,A556)&gt;0,"All uploaded",COUNTIF($V:$V,A556)&gt;0,"Partly uploaded",COUNTIF($W:$X,A556)&gt;0,"Not uploaded",TRUE,"Not classified"))</f>
        <v>Partly uploaded</v>
      </c>
      <c r="C556" s="1" t="str" cm="1">
        <f t="array" ref="C556">_xlfn.SWITCH(TRIM(I556),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56" s="1" t="s">
        <v>1</v>
      </c>
      <c r="E556" s="1" t="s">
        <v>3</v>
      </c>
      <c r="F556" s="1" t="str" cm="1">
        <f t="array" ref="F556">_xlfn.LET(
_xlpm.status,UPPER(TRIM(B556&amp;"")),
_xlpm.risk,UPPER(TRIM(C556&amp;"")),
_xlpm.notify,UPPER(TRIM(D556&amp;"")),
_xlpm.form,UPPER(TRIM(E556&amp;"")),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56" s="1" t="str">
        <f t="shared" si="8"/>
        <v>NA</v>
      </c>
      <c r="H556" s="5" t="s">
        <v>3737</v>
      </c>
      <c r="I556" s="1" t="s">
        <v>23</v>
      </c>
      <c r="J556" s="1" t="s">
        <v>3736</v>
      </c>
      <c r="K556" s="1" t="s">
        <v>3734</v>
      </c>
      <c r="L556" s="1" t="s">
        <v>23</v>
      </c>
      <c r="M556" s="1" t="s">
        <v>28</v>
      </c>
      <c r="N556" s="1" t="s">
        <v>2246</v>
      </c>
      <c r="O556" s="1" t="s">
        <v>19</v>
      </c>
      <c r="P556" s="1" t="s">
        <v>18</v>
      </c>
      <c r="Q556" s="1" t="s">
        <v>20</v>
      </c>
      <c r="R556" s="1" t="s">
        <v>3730</v>
      </c>
      <c r="S556" s="1">
        <v>3</v>
      </c>
      <c r="T556" s="1" t="s">
        <v>3738</v>
      </c>
    </row>
    <row r="557" spans="1:20">
      <c r="A557" s="1" t="s">
        <v>3762</v>
      </c>
      <c r="B557" s="1" t="str" cm="1">
        <f t="array" ref="B557">IF(A557="","",_xlfn.IFS(COUNTIF($U:$U,A557)&gt;0,"All uploaded",COUNTIF($V:$V,A557)&gt;0,"Partly uploaded",COUNTIF($W:$X,A557)&gt;0,"Not uploaded",TRUE,"Not classified"))</f>
        <v>Partly uploaded</v>
      </c>
      <c r="C557" s="1" t="str" cm="1">
        <f t="array" ref="C557">_xlfn.SWITCH(TRIM(I557),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57" s="1" t="s">
        <v>1</v>
      </c>
      <c r="E557" s="1" t="s">
        <v>3</v>
      </c>
      <c r="F557" s="1" t="str" cm="1">
        <f t="array" ref="F557">_xlfn.LET(
_xlpm.status,UPPER(TRIM(B557&amp;"")),
_xlpm.risk,UPPER(TRIM(C557&amp;"")),
_xlpm.notify,UPPER(TRIM(D557&amp;"")),
_xlpm.form,UPPER(TRIM(E557&amp;"")),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57" s="1" t="str">
        <f t="shared" si="8"/>
        <v>NA</v>
      </c>
      <c r="H557" s="5" t="s">
        <v>3762</v>
      </c>
      <c r="I557" s="1" t="s">
        <v>35</v>
      </c>
      <c r="J557" s="1" t="s">
        <v>3765</v>
      </c>
      <c r="K557" s="1" t="s">
        <v>3757</v>
      </c>
      <c r="L557" s="1" t="s">
        <v>35</v>
      </c>
      <c r="M557" s="1" t="s">
        <v>75</v>
      </c>
      <c r="N557" s="1" t="s">
        <v>3763</v>
      </c>
      <c r="O557" s="1" t="s">
        <v>19</v>
      </c>
      <c r="P557" s="1" t="s">
        <v>18</v>
      </c>
      <c r="Q557" s="1" t="s">
        <v>20</v>
      </c>
      <c r="R557" s="1" t="s">
        <v>3764</v>
      </c>
      <c r="S557" s="1">
        <v>1</v>
      </c>
      <c r="T557" s="1" t="s">
        <v>3766</v>
      </c>
    </row>
    <row r="558" spans="1:20">
      <c r="A558" s="1" t="s">
        <v>3774</v>
      </c>
      <c r="B558" s="1" t="str" cm="1">
        <f t="array" ref="B558">IF(A558="","",_xlfn.IFS(COUNTIF($U:$U,A558)&gt;0,"All uploaded",COUNTIF($V:$V,A558)&gt;0,"Partly uploaded",COUNTIF($W:$X,A558)&gt;0,"Not uploaded",TRUE,"Not classified"))</f>
        <v>Partly uploaded</v>
      </c>
      <c r="C558" s="1" t="str" cm="1">
        <f t="array" ref="C558">_xlfn.SWITCH(TRIM(I558),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58" s="1" t="s">
        <v>1</v>
      </c>
      <c r="E558" s="1" t="s">
        <v>3</v>
      </c>
      <c r="F558" s="1" t="str" cm="1">
        <f t="array" ref="F558">_xlfn.LET(
_xlpm.status,UPPER(TRIM(B558&amp;"")),
_xlpm.risk,UPPER(TRIM(C558&amp;"")),
_xlpm.notify,UPPER(TRIM(D558&amp;"")),
_xlpm.form,UPPER(TRIM(E558&amp;"")),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58" s="1" t="str">
        <f t="shared" si="8"/>
        <v>NA</v>
      </c>
      <c r="H558" s="5" t="s">
        <v>3777</v>
      </c>
      <c r="I558" s="1" t="s">
        <v>23</v>
      </c>
      <c r="J558" s="1" t="s">
        <v>3776</v>
      </c>
      <c r="K558" s="1" t="s">
        <v>3773</v>
      </c>
      <c r="L558" s="1" t="s">
        <v>23</v>
      </c>
      <c r="M558" s="1" t="s">
        <v>28</v>
      </c>
      <c r="N558" s="1" t="s">
        <v>3775</v>
      </c>
      <c r="O558" s="1" t="s">
        <v>19</v>
      </c>
      <c r="P558" s="1" t="s">
        <v>18</v>
      </c>
      <c r="Q558" s="1" t="s">
        <v>20</v>
      </c>
      <c r="R558" s="1" t="s">
        <v>3348</v>
      </c>
      <c r="S558" s="1">
        <v>2</v>
      </c>
      <c r="T558" s="1" t="s">
        <v>3778</v>
      </c>
    </row>
    <row r="559" spans="1:20">
      <c r="A559" s="1" t="s">
        <v>3786</v>
      </c>
      <c r="B559" s="1" t="str" cm="1">
        <f t="array" ref="B559">IF(A559="","",_xlfn.IFS(COUNTIF($U:$U,A559)&gt;0,"All uploaded",COUNTIF($V:$V,A559)&gt;0,"Partly uploaded",COUNTIF($W:$X,A559)&gt;0,"Not uploaded",TRUE,"Not classified"))</f>
        <v>Partly uploaded</v>
      </c>
      <c r="C559" s="1" t="str" cm="1">
        <f t="array" ref="C559">_xlfn.SWITCH(TRIM(I559),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59" s="1" t="s">
        <v>1</v>
      </c>
      <c r="E559" s="1" t="s">
        <v>3</v>
      </c>
      <c r="F559" s="1" t="str" cm="1">
        <f t="array" ref="F559">_xlfn.LET(
_xlpm.status,UPPER(TRIM(B559&amp;"")),
_xlpm.risk,UPPER(TRIM(C559&amp;"")),
_xlpm.notify,UPPER(TRIM(D559&amp;"")),
_xlpm.form,UPPER(TRIM(E559&amp;"")),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59" s="1" t="str">
        <f t="shared" si="8"/>
        <v>NA</v>
      </c>
      <c r="H559" s="5" t="s">
        <v>3789</v>
      </c>
      <c r="I559" s="1" t="s">
        <v>23</v>
      </c>
      <c r="J559" s="1" t="s">
        <v>3788</v>
      </c>
      <c r="K559" s="1" t="s">
        <v>3785</v>
      </c>
      <c r="L559" s="1" t="s">
        <v>23</v>
      </c>
      <c r="M559" s="1" t="s">
        <v>28</v>
      </c>
      <c r="N559" s="1" t="s">
        <v>3463</v>
      </c>
      <c r="O559" s="1" t="s">
        <v>19</v>
      </c>
      <c r="P559" s="1" t="s">
        <v>18</v>
      </c>
      <c r="Q559" s="1" t="s">
        <v>20</v>
      </c>
      <c r="R559" s="1" t="s">
        <v>3787</v>
      </c>
      <c r="S559" s="1">
        <v>2</v>
      </c>
      <c r="T559" s="1" t="s">
        <v>3790</v>
      </c>
    </row>
    <row r="560" spans="1:20">
      <c r="A560" s="1" t="s">
        <v>3800</v>
      </c>
      <c r="B560" s="1" t="str" cm="1">
        <f t="array" ref="B560">IF(A560="","",_xlfn.IFS(COUNTIF($U:$U,A560)&gt;0,"All uploaded",COUNTIF($V:$V,A560)&gt;0,"Partly uploaded",COUNTIF($W:$X,A560)&gt;0,"Not uploaded",TRUE,"Not classified"))</f>
        <v>Partly uploaded</v>
      </c>
      <c r="C560" s="1" t="str" cm="1">
        <f t="array" ref="C560">_xlfn.SWITCH(TRIM(I560),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60" s="1" t="s">
        <v>1</v>
      </c>
      <c r="E560" s="1" t="s">
        <v>3</v>
      </c>
      <c r="F560" s="1" t="str" cm="1">
        <f t="array" ref="F560">_xlfn.LET(
_xlpm.status,UPPER(TRIM(B560&amp;"")),
_xlpm.risk,UPPER(TRIM(C560&amp;"")),
_xlpm.notify,UPPER(TRIM(D560&amp;"")),
_xlpm.form,UPPER(TRIM(E560&amp;"")),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60" s="1" t="str">
        <f t="shared" si="8"/>
        <v>NA</v>
      </c>
      <c r="H560" s="5" t="s">
        <v>3804</v>
      </c>
      <c r="I560" s="1" t="s">
        <v>23</v>
      </c>
      <c r="J560" s="1" t="s">
        <v>3803</v>
      </c>
      <c r="K560" s="1" t="s">
        <v>3799</v>
      </c>
      <c r="L560" s="1" t="s">
        <v>23</v>
      </c>
      <c r="M560" s="1" t="s">
        <v>28</v>
      </c>
      <c r="N560" s="1" t="s">
        <v>3801</v>
      </c>
      <c r="O560" s="1" t="s">
        <v>19</v>
      </c>
      <c r="P560" s="1" t="s">
        <v>18</v>
      </c>
      <c r="Q560" s="1" t="s">
        <v>20</v>
      </c>
      <c r="R560" s="1" t="s">
        <v>3802</v>
      </c>
      <c r="S560" s="1">
        <v>7</v>
      </c>
      <c r="T560" s="1" t="s">
        <v>3805</v>
      </c>
    </row>
    <row r="561" spans="1:20">
      <c r="A561" s="1" t="s">
        <v>3807</v>
      </c>
      <c r="B561" s="1" t="str" cm="1">
        <f t="array" ref="B561">IF(A561="","",_xlfn.IFS(COUNTIF($U:$U,A561)&gt;0,"All uploaded",COUNTIF($V:$V,A561)&gt;0,"Partly uploaded",COUNTIF($W:$X,A561)&gt;0,"Not uploaded",TRUE,"Not classified"))</f>
        <v>All uploaded</v>
      </c>
      <c r="C561" s="1" t="str" cm="1">
        <f t="array" ref="C561">_xlfn.SWITCH(TRIM(I561),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61" s="1" t="s">
        <v>1</v>
      </c>
      <c r="E561" s="1" t="s">
        <v>3</v>
      </c>
      <c r="F561" s="1" t="str" cm="1">
        <f t="array" ref="F561">_xlfn.LET(
_xlpm.status,UPPER(TRIM(B561&amp;"")),
_xlpm.risk,UPPER(TRIM(C561&amp;"")),
_xlpm.notify,UPPER(TRIM(D561&amp;"")),
_xlpm.form,UPPER(TRIM(E561&amp;"")),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for unknown reason</v>
      </c>
      <c r="G561" s="1" t="str">
        <f t="shared" si="8"/>
        <v>NA</v>
      </c>
      <c r="H561" s="5" t="s">
        <v>3810</v>
      </c>
      <c r="I561" s="1" t="s">
        <v>23</v>
      </c>
      <c r="J561" s="1" t="s">
        <v>3809</v>
      </c>
      <c r="K561" s="1" t="s">
        <v>3806</v>
      </c>
      <c r="L561" s="1" t="s">
        <v>23</v>
      </c>
      <c r="M561" s="1" t="s">
        <v>28</v>
      </c>
      <c r="N561" s="1" t="s">
        <v>3808</v>
      </c>
      <c r="O561" s="1" t="s">
        <v>19</v>
      </c>
      <c r="P561" s="1" t="s">
        <v>18</v>
      </c>
      <c r="Q561" s="1" t="s">
        <v>20</v>
      </c>
      <c r="R561" s="1" t="s">
        <v>3802</v>
      </c>
      <c r="S561" s="1">
        <v>2</v>
      </c>
      <c r="T561" s="1" t="s">
        <v>3811</v>
      </c>
    </row>
    <row r="562" spans="1:20">
      <c r="A562" s="1" t="s">
        <v>3837</v>
      </c>
      <c r="B562" s="1" t="str" cm="1">
        <f t="array" ref="B562">IF(A562="","",_xlfn.IFS(COUNTIF($U:$U,A562)&gt;0,"All uploaded",COUNTIF($V:$V,A562)&gt;0,"Partly uploaded",COUNTIF($W:$X,A562)&gt;0,"Not uploaded",TRUE,"Not classified"))</f>
        <v>All uploaded</v>
      </c>
      <c r="C562" s="1" t="str" cm="1">
        <f t="array" ref="C562">_xlfn.SWITCH(TRIM(I562),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62" s="1" t="s">
        <v>1</v>
      </c>
      <c r="E562" s="1" t="s">
        <v>3</v>
      </c>
      <c r="F562" s="1" t="str" cm="1">
        <f t="array" ref="F562">_xlfn.LET(
_xlpm.status,UPPER(TRIM(B562&amp;"")),
_xlpm.risk,UPPER(TRIM(C562&amp;"")),
_xlpm.notify,UPPER(TRIM(D562&amp;"")),
_xlpm.form,UPPER(TRIM(E562&amp;"")),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not yet processed with potentially wrong risk level</v>
      </c>
      <c r="G562" s="1" t="str">
        <f t="shared" si="8"/>
        <v>NA</v>
      </c>
      <c r="H562" s="5" t="s">
        <v>3840</v>
      </c>
      <c r="I562" s="1" t="s">
        <v>10</v>
      </c>
      <c r="J562" s="1" t="s">
        <v>3839</v>
      </c>
      <c r="K562" s="1" t="s">
        <v>3830</v>
      </c>
      <c r="L562" s="1" t="s">
        <v>10</v>
      </c>
      <c r="M562" s="1" t="s">
        <v>75</v>
      </c>
      <c r="N562" s="1" t="s">
        <v>3378</v>
      </c>
      <c r="O562" s="1" t="s">
        <v>19</v>
      </c>
      <c r="P562" s="1" t="s">
        <v>18</v>
      </c>
      <c r="Q562" s="1" t="s">
        <v>20</v>
      </c>
      <c r="R562" s="1" t="s">
        <v>3838</v>
      </c>
      <c r="S562" s="1">
        <v>8</v>
      </c>
      <c r="T562" s="1" t="s">
        <v>3841</v>
      </c>
    </row>
    <row r="563" spans="1:20">
      <c r="A563" s="1" t="s">
        <v>166</v>
      </c>
      <c r="B563" s="1" t="str" cm="1">
        <f t="array" ref="B563">IF(A563="","",_xlfn.IFS(COUNTIF($U:$U,A563)&gt;0,"All uploaded",COUNTIF($V:$V,A563)&gt;0,"Partly uploaded",COUNTIF($W:$X,A563)&gt;0,"Not uploaded",TRUE,"Not classified"))</f>
        <v>Partly uploaded</v>
      </c>
      <c r="C563" s="1" t="str" cm="1">
        <f t="array" ref="C563">_xlfn.SWITCH(TRIM(I563),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63" s="1" t="s">
        <v>1</v>
      </c>
      <c r="E563" s="1" t="s">
        <v>4</v>
      </c>
      <c r="F563" s="1" t="str" cm="1">
        <f t="array" ref="F563">_xlfn.LET(
_xlpm.status,UPPER(TRIM(B563&amp;"")),
_xlpm.risk,UPPER(TRIM(C563&amp;"")),
_xlpm.notify,UPPER(TRIM(D563&amp;"")),
_xlpm.form,UPPER(TRIM(E563&amp;"")),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63" s="1" t="str">
        <f t="shared" si="8"/>
        <v>NA</v>
      </c>
      <c r="H563" s="5" t="s">
        <v>175</v>
      </c>
      <c r="I563" s="1" t="s">
        <v>167</v>
      </c>
      <c r="J563" s="1" t="s">
        <v>174</v>
      </c>
      <c r="K563" s="1" t="s">
        <v>165</v>
      </c>
      <c r="L563" s="1" t="s">
        <v>25</v>
      </c>
      <c r="M563" s="1" t="s">
        <v>77</v>
      </c>
      <c r="N563" s="1" t="s">
        <v>168</v>
      </c>
      <c r="O563" s="1" t="s">
        <v>19</v>
      </c>
      <c r="P563" s="1" t="s">
        <v>18</v>
      </c>
      <c r="Q563" s="1" t="s">
        <v>20</v>
      </c>
      <c r="R563" s="1" t="s">
        <v>173</v>
      </c>
      <c r="S563" s="1">
        <v>10</v>
      </c>
      <c r="T563" s="1" t="s">
        <v>172</v>
      </c>
    </row>
    <row r="564" spans="1:20">
      <c r="A564" s="1" t="s">
        <v>249</v>
      </c>
      <c r="B564" s="1" t="str" cm="1">
        <f t="array" ref="B564">IF(A564="","",_xlfn.IFS(COUNTIF($U:$U,A564)&gt;0,"All uploaded",COUNTIF($V:$V,A564)&gt;0,"Partly uploaded",COUNTIF($W:$X,A564)&gt;0,"Not uploaded",TRUE,"Not classified"))</f>
        <v>Partly uploaded</v>
      </c>
      <c r="C564" s="1" t="str" cm="1">
        <f t="array" ref="C564">_xlfn.SWITCH(TRIM(I564),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64" s="1" t="s">
        <v>0</v>
      </c>
      <c r="E564" s="1" t="s">
        <v>4</v>
      </c>
      <c r="F564" s="1" t="str" cm="1">
        <f t="array" ref="F564">_xlfn.LET(
_xlpm.status,UPPER(TRIM(B564&amp;"")),
_xlpm.risk,UPPER(TRIM(C564&amp;"")),
_xlpm.notify,UPPER(TRIM(D564&amp;"")),
_xlpm.form,UPPER(TRIM(E564&amp;"")),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64" s="1" t="str">
        <f t="shared" si="8"/>
        <v>NA</v>
      </c>
      <c r="H564" s="5" t="s">
        <v>257</v>
      </c>
      <c r="I564" s="1" t="s">
        <v>29</v>
      </c>
      <c r="J564" s="1" t="s">
        <v>256</v>
      </c>
      <c r="K564" s="1" t="s">
        <v>248</v>
      </c>
      <c r="L564" s="1" t="s">
        <v>23</v>
      </c>
      <c r="M564" s="1" t="s">
        <v>28</v>
      </c>
      <c r="N564" s="1" t="s">
        <v>250</v>
      </c>
      <c r="O564" s="1" t="s">
        <v>19</v>
      </c>
      <c r="P564" s="1" t="s">
        <v>18</v>
      </c>
      <c r="Q564" s="1" t="s">
        <v>20</v>
      </c>
      <c r="R564" s="1" t="s">
        <v>255</v>
      </c>
      <c r="S564" s="1">
        <v>4</v>
      </c>
      <c r="T564" s="1" t="s">
        <v>253</v>
      </c>
    </row>
    <row r="565" spans="1:20">
      <c r="A565" s="1" t="s">
        <v>420</v>
      </c>
      <c r="B565" s="1" t="str" cm="1">
        <f t="array" ref="B565">IF(A565="","",_xlfn.IFS(COUNTIF($U:$U,A565)&gt;0,"All uploaded",COUNTIF($V:$V,A565)&gt;0,"Partly uploaded",COUNTIF($W:$X,A565)&gt;0,"Not uploaded",TRUE,"Not classified"))</f>
        <v>Partly uploaded</v>
      </c>
      <c r="C565" s="1" t="str" cm="1">
        <f t="array" ref="C565">_xlfn.SWITCH(TRIM(I565),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65" s="1" t="s">
        <v>1</v>
      </c>
      <c r="E565" s="1" t="s">
        <v>4</v>
      </c>
      <c r="F565" s="1" t="str" cm="1">
        <f t="array" ref="F565">_xlfn.LET(
_xlpm.status,UPPER(TRIM(B565&amp;"")),
_xlpm.risk,UPPER(TRIM(C565&amp;"")),
_xlpm.notify,UPPER(TRIM(D565&amp;"")),
_xlpm.form,UPPER(TRIM(E565&amp;"")),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with potentially wrong risk level</v>
      </c>
      <c r="G565" s="1" t="str">
        <f t="shared" si="8"/>
        <v>Required</v>
      </c>
      <c r="H565" s="5" t="s">
        <v>427</v>
      </c>
      <c r="I565" s="1" t="s">
        <v>87</v>
      </c>
      <c r="J565" s="1" t="s">
        <v>426</v>
      </c>
      <c r="K565" s="1" t="s">
        <v>419</v>
      </c>
      <c r="L565" s="1" t="s">
        <v>27</v>
      </c>
      <c r="M565" s="1" t="s">
        <v>28</v>
      </c>
      <c r="N565" s="1" t="s">
        <v>421</v>
      </c>
      <c r="O565" s="1" t="s">
        <v>19</v>
      </c>
      <c r="P565" s="1" t="s">
        <v>18</v>
      </c>
      <c r="Q565" s="1" t="s">
        <v>20</v>
      </c>
      <c r="R565" s="1" t="s">
        <v>425</v>
      </c>
      <c r="S565" s="1">
        <v>6</v>
      </c>
      <c r="T565" s="1" t="s">
        <v>424</v>
      </c>
    </row>
    <row r="566" spans="1:20" s="9" customFormat="1">
      <c r="A566" s="7" t="s">
        <v>1404</v>
      </c>
      <c r="B566" s="1" t="str" cm="1">
        <f t="array" ref="B566">IF(A566="","",_xlfn.IFS(COUNTIF($U:$U,A566)&gt;0,"All uploaded",COUNTIF($V:$V,A566)&gt;0,"Partly uploaded",COUNTIF($W:$X,A566)&gt;0,"Not uploaded",TRUE,"Not classified"))</f>
        <v>Partly uploaded</v>
      </c>
      <c r="C566" s="7" t="str" cm="1">
        <f t="array" ref="C566">_xlfn.SWITCH(TRIM(I566),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66" s="7" t="s">
        <v>0</v>
      </c>
      <c r="E566" s="7" t="s">
        <v>4</v>
      </c>
      <c r="F566" s="1" t="str" cm="1">
        <f t="array" ref="F566">_xlfn.LET(
_xlpm.status,UPPER(TRIM(B566&amp;"")),
_xlpm.risk,UPPER(TRIM(C566&amp;"")),
_xlpm.notify,UPPER(TRIM(D566&amp;"")),
_xlpm.form,UPPER(TRIM(E566&amp;"")),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Delta rejected for unknown reason</v>
      </c>
      <c r="G566" s="1" t="str">
        <f t="shared" si="8"/>
        <v>Required</v>
      </c>
      <c r="H566" s="8" t="s">
        <v>1411</v>
      </c>
      <c r="I566" s="7" t="s">
        <v>27</v>
      </c>
      <c r="J566" s="7" t="s">
        <v>1410</v>
      </c>
      <c r="K566" s="7" t="s">
        <v>1398</v>
      </c>
      <c r="L566" s="7" t="s">
        <v>27</v>
      </c>
      <c r="M566" s="7" t="s">
        <v>28</v>
      </c>
      <c r="N566" s="7" t="s">
        <v>1405</v>
      </c>
      <c r="O566" s="7" t="s">
        <v>19</v>
      </c>
      <c r="P566" s="7" t="s">
        <v>18</v>
      </c>
      <c r="Q566" s="7" t="s">
        <v>20</v>
      </c>
      <c r="R566" s="7" t="s">
        <v>96</v>
      </c>
      <c r="S566" s="7">
        <v>3</v>
      </c>
      <c r="T566" s="7" t="s">
        <v>1409</v>
      </c>
    </row>
    <row r="567" spans="1:20">
      <c r="A567" s="1" t="s">
        <v>158</v>
      </c>
      <c r="B567" s="1" t="str" cm="1">
        <f t="array" ref="B567">IF(A567="","",_xlfn.IFS(COUNTIF($U:$U,A567)&gt;0,"All uploaded",COUNTIF($V:$V,A567)&gt;0,"Partly uploaded",COUNTIF($W:$X,A567)&gt;0,"Not uploaded",TRUE,"Not classified"))</f>
        <v>Partly uploaded</v>
      </c>
      <c r="C567" s="1" t="str" cm="1">
        <f t="array" ref="C567">_xlfn.SWITCH(TRIM(I567),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67" s="1"/>
      <c r="E567" s="1"/>
      <c r="F567" s="1" t="str" cm="1">
        <f t="array" ref="F567">_xlfn.LET(
_xlpm.status,UPPER(TRIM(B567&amp;"")),
_xlpm.risk,UPPER(TRIM(C567&amp;"")),
_xlpm.notify,UPPER(TRIM(D567&amp;"")),
_xlpm.form,UPPER(TRIM(E567&amp;"")),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67" s="1" t="str">
        <f t="shared" si="8"/>
        <v>NA</v>
      </c>
      <c r="H567" s="5"/>
      <c r="I567" s="1" t="s">
        <v>29</v>
      </c>
      <c r="J567" s="1"/>
      <c r="K567" s="1" t="s">
        <v>157</v>
      </c>
      <c r="L567" s="1" t="s">
        <v>10</v>
      </c>
      <c r="M567" s="1"/>
      <c r="N567" s="1" t="s">
        <v>159</v>
      </c>
      <c r="O567" s="1" t="s">
        <v>19</v>
      </c>
      <c r="P567" s="1" t="s">
        <v>18</v>
      </c>
      <c r="Q567" s="1" t="s">
        <v>20</v>
      </c>
      <c r="R567" s="1"/>
      <c r="S567" s="1"/>
      <c r="T567" s="1"/>
    </row>
    <row r="568" spans="1:20">
      <c r="A568" s="1" t="s">
        <v>166</v>
      </c>
      <c r="B568" s="1" t="str" cm="1">
        <f t="array" ref="B568">IF(A568="","",_xlfn.IFS(COUNTIF($U:$U,A568)&gt;0,"All uploaded",COUNTIF($V:$V,A568)&gt;0,"Partly uploaded",COUNTIF($W:$X,A568)&gt;0,"Not uploaded",TRUE,"Not classified"))</f>
        <v>Partly uploaded</v>
      </c>
      <c r="C568" s="1" t="str" cm="1">
        <f t="array" ref="C568">_xlfn.SWITCH(TRIM(I568),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68" s="1"/>
      <c r="E568" s="1"/>
      <c r="F568" s="1" t="str" cm="1">
        <f t="array" ref="F568">_xlfn.LET(
_xlpm.status,UPPER(TRIM(B568&amp;"")),
_xlpm.risk,UPPER(TRIM(C568&amp;"")),
_xlpm.notify,UPPER(TRIM(D568&amp;"")),
_xlpm.form,UPPER(TRIM(E568&amp;"")),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68" s="1" t="str">
        <f t="shared" si="8"/>
        <v>NA</v>
      </c>
      <c r="H568" s="5"/>
      <c r="I568" s="1" t="s">
        <v>167</v>
      </c>
      <c r="J568" s="1"/>
      <c r="K568" s="1" t="s">
        <v>165</v>
      </c>
      <c r="L568" s="1" t="s">
        <v>25</v>
      </c>
      <c r="M568" s="1"/>
      <c r="N568" s="1" t="s">
        <v>168</v>
      </c>
      <c r="O568" s="1" t="s">
        <v>19</v>
      </c>
      <c r="P568" s="1" t="s">
        <v>18</v>
      </c>
      <c r="Q568" s="1" t="s">
        <v>20</v>
      </c>
      <c r="R568" s="1"/>
      <c r="S568" s="1"/>
      <c r="T568" s="1"/>
    </row>
    <row r="569" spans="1:20">
      <c r="A569" s="1" t="s">
        <v>194</v>
      </c>
      <c r="B569" s="1" t="str" cm="1">
        <f t="array" ref="B569">IF(A569="","",_xlfn.IFS(COUNTIF($U:$U,A569)&gt;0,"All uploaded",COUNTIF($V:$V,A569)&gt;0,"Partly uploaded",COUNTIF($W:$X,A569)&gt;0,"Not uploaded",TRUE,"Not classified"))</f>
        <v>Not uploaded</v>
      </c>
      <c r="C569" s="1" t="str" cm="1">
        <f t="array" ref="C569">_xlfn.SWITCH(TRIM(I569),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69" s="1"/>
      <c r="E569" s="1"/>
      <c r="F569" s="1" t="str" cm="1">
        <f t="array" ref="F569">_xlfn.LET(
_xlpm.status,UPPER(TRIM(B569&amp;"")),
_xlpm.risk,UPPER(TRIM(C569&amp;"")),
_xlpm.notify,UPPER(TRIM(D569&amp;"")),
_xlpm.form,UPPER(TRIM(E569&amp;"")),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69" s="1" t="str">
        <f t="shared" si="8"/>
        <v>Required</v>
      </c>
      <c r="H569" s="5"/>
      <c r="I569" s="1" t="s">
        <v>54</v>
      </c>
      <c r="J569" s="1"/>
      <c r="K569" s="1" t="s">
        <v>193</v>
      </c>
      <c r="L569" s="1" t="s">
        <v>22</v>
      </c>
      <c r="M569" s="1"/>
      <c r="N569" s="1" t="s">
        <v>195</v>
      </c>
      <c r="O569" s="1" t="s">
        <v>19</v>
      </c>
      <c r="P569" s="1" t="s">
        <v>18</v>
      </c>
      <c r="Q569" s="1" t="s">
        <v>20</v>
      </c>
      <c r="R569" s="1"/>
      <c r="S569" s="1"/>
      <c r="T569" s="1"/>
    </row>
    <row r="570" spans="1:20">
      <c r="A570" s="1" t="s">
        <v>197</v>
      </c>
      <c r="B570" s="1" t="str" cm="1">
        <f t="array" ref="B570">IF(A570="","",_xlfn.IFS(COUNTIF($U:$U,A570)&gt;0,"All uploaded",COUNTIF($V:$V,A570)&gt;0,"Partly uploaded",COUNTIF($W:$X,A570)&gt;0,"Not uploaded",TRUE,"Not classified"))</f>
        <v>Partly uploaded</v>
      </c>
      <c r="C570" s="1" t="str" cm="1">
        <f t="array" ref="C570">_xlfn.SWITCH(TRIM(I570),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70" s="1"/>
      <c r="E570" s="1"/>
      <c r="F570" s="1" t="str" cm="1">
        <f t="array" ref="F570">_xlfn.LET(
_xlpm.status,UPPER(TRIM(B570&amp;"")),
_xlpm.risk,UPPER(TRIM(C570&amp;"")),
_xlpm.notify,UPPER(TRIM(D570&amp;"")),
_xlpm.form,UPPER(TRIM(E570&amp;"")),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70" s="1" t="str">
        <f t="shared" si="8"/>
        <v>Required</v>
      </c>
      <c r="H570" s="5"/>
      <c r="I570" s="1" t="s">
        <v>54</v>
      </c>
      <c r="J570" s="1"/>
      <c r="K570" s="1" t="s">
        <v>196</v>
      </c>
      <c r="L570" s="1" t="s">
        <v>22</v>
      </c>
      <c r="M570" s="1"/>
      <c r="N570" s="1" t="s">
        <v>198</v>
      </c>
      <c r="O570" s="1" t="s">
        <v>19</v>
      </c>
      <c r="P570" s="1" t="s">
        <v>18</v>
      </c>
      <c r="Q570" s="1" t="s">
        <v>20</v>
      </c>
      <c r="R570" s="1"/>
      <c r="S570" s="1"/>
      <c r="T570" s="1"/>
    </row>
    <row r="571" spans="1:20">
      <c r="A571" s="1" t="s">
        <v>210</v>
      </c>
      <c r="B571" s="1" t="str" cm="1">
        <f t="array" ref="B571">IF(A571="","",_xlfn.IFS(COUNTIF($U:$U,A571)&gt;0,"All uploaded",COUNTIF($V:$V,A571)&gt;0,"Partly uploaded",COUNTIF($W:$X,A571)&gt;0,"Not uploaded",TRUE,"Not classified"))</f>
        <v>Partly uploaded</v>
      </c>
      <c r="C571" s="1" t="str" cm="1">
        <f t="array" ref="C571">_xlfn.SWITCH(TRIM(I571),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71" s="1"/>
      <c r="E571" s="1"/>
      <c r="F571" s="1" t="str" cm="1">
        <f t="array" ref="F571">_xlfn.LET(
_xlpm.status,UPPER(TRIM(B571&amp;"")),
_xlpm.risk,UPPER(TRIM(C571&amp;"")),
_xlpm.notify,UPPER(TRIM(D571&amp;"")),
_xlpm.form,UPPER(TRIM(E571&amp;"")),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71" s="1" t="str">
        <f t="shared" si="8"/>
        <v>Required</v>
      </c>
      <c r="H571" s="5"/>
      <c r="I571" s="1" t="s">
        <v>54</v>
      </c>
      <c r="J571" s="1"/>
      <c r="K571" s="1" t="s">
        <v>196</v>
      </c>
      <c r="L571" s="1" t="s">
        <v>22</v>
      </c>
      <c r="M571" s="1"/>
      <c r="N571" s="1" t="s">
        <v>211</v>
      </c>
      <c r="O571" s="1" t="s">
        <v>19</v>
      </c>
      <c r="P571" s="1" t="s">
        <v>18</v>
      </c>
      <c r="Q571" s="1" t="s">
        <v>20</v>
      </c>
      <c r="R571" s="1"/>
      <c r="S571" s="1"/>
      <c r="T571" s="1"/>
    </row>
    <row r="572" spans="1:20">
      <c r="A572" s="1" t="s">
        <v>222</v>
      </c>
      <c r="B572" s="1" t="str" cm="1">
        <f t="array" ref="B572">IF(A572="","",_xlfn.IFS(COUNTIF($U:$U,A572)&gt;0,"All uploaded",COUNTIF($V:$V,A572)&gt;0,"Partly uploaded",COUNTIF($W:$X,A572)&gt;0,"Not uploaded",TRUE,"Not classified"))</f>
        <v>Not uploaded</v>
      </c>
      <c r="C572" s="1" t="str" cm="1">
        <f t="array" ref="C572">_xlfn.SWITCH(TRIM(I572),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572" s="1"/>
      <c r="E572" s="1"/>
      <c r="F572" s="1" t="str" cm="1">
        <f t="array" ref="F572">_xlfn.LET(
_xlpm.status,UPPER(TRIM(B572&amp;"")),
_xlpm.risk,UPPER(TRIM(C572&amp;"")),
_xlpm.notify,UPPER(TRIM(D572&amp;"")),
_xlpm.form,UPPER(TRIM(E572&amp;"")),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572" s="1" t="str">
        <f t="shared" si="8"/>
        <v>NA</v>
      </c>
      <c r="H572" s="5"/>
      <c r="I572" s="1" t="s">
        <v>37</v>
      </c>
      <c r="J572" s="1"/>
      <c r="K572" s="1" t="s">
        <v>221</v>
      </c>
      <c r="L572" s="1" t="s">
        <v>21</v>
      </c>
      <c r="M572" s="1"/>
      <c r="N572" s="1" t="s">
        <v>83</v>
      </c>
      <c r="O572" s="1" t="s">
        <v>19</v>
      </c>
      <c r="P572" s="1" t="s">
        <v>18</v>
      </c>
      <c r="Q572" s="1" t="s">
        <v>20</v>
      </c>
      <c r="R572" s="1"/>
      <c r="S572" s="1"/>
      <c r="T572" s="1"/>
    </row>
    <row r="573" spans="1:20">
      <c r="A573" s="1" t="s">
        <v>224</v>
      </c>
      <c r="B573" s="1" t="str" cm="1">
        <f t="array" ref="B573">IF(A573="","",_xlfn.IFS(COUNTIF($U:$U,A573)&gt;0,"All uploaded",COUNTIF($V:$V,A573)&gt;0,"Partly uploaded",COUNTIF($W:$X,A573)&gt;0,"Not uploaded",TRUE,"Not classified"))</f>
        <v>Partly uploaded</v>
      </c>
      <c r="C573" s="1" t="str" cm="1">
        <f t="array" ref="C573">_xlfn.SWITCH(TRIM(I573),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73" s="1"/>
      <c r="E573" s="1"/>
      <c r="F573" s="1" t="str" cm="1">
        <f t="array" ref="F573">_xlfn.LET(
_xlpm.status,UPPER(TRIM(B573&amp;"")),
_xlpm.risk,UPPER(TRIM(C573&amp;"")),
_xlpm.notify,UPPER(TRIM(D573&amp;"")),
_xlpm.form,UPPER(TRIM(E573&amp;"")),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73" s="1" t="str">
        <f t="shared" si="8"/>
        <v>NA</v>
      </c>
      <c r="H573" s="5"/>
      <c r="I573" s="1" t="s">
        <v>29</v>
      </c>
      <c r="J573" s="1"/>
      <c r="K573" s="1" t="s">
        <v>223</v>
      </c>
      <c r="L573" s="1" t="s">
        <v>35</v>
      </c>
      <c r="M573" s="1"/>
      <c r="N573" s="1" t="s">
        <v>46</v>
      </c>
      <c r="O573" s="1" t="s">
        <v>19</v>
      </c>
      <c r="P573" s="1" t="s">
        <v>18</v>
      </c>
      <c r="Q573" s="1" t="s">
        <v>20</v>
      </c>
      <c r="R573" s="1"/>
      <c r="S573" s="1"/>
      <c r="T573" s="1"/>
    </row>
    <row r="574" spans="1:20">
      <c r="A574" s="1" t="s">
        <v>225</v>
      </c>
      <c r="B574" s="1" t="str" cm="1">
        <f t="array" ref="B574">IF(A574="","",_xlfn.IFS(COUNTIF($U:$U,A574)&gt;0,"All uploaded",COUNTIF($V:$V,A574)&gt;0,"Partly uploaded",COUNTIF($W:$X,A574)&gt;0,"Not uploaded",TRUE,"Not classified"))</f>
        <v>Partly uploaded</v>
      </c>
      <c r="C574" s="1" t="str" cm="1">
        <f t="array" ref="C574">_xlfn.SWITCH(TRIM(I574),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74" s="1"/>
      <c r="E574" s="1"/>
      <c r="F574" s="1" t="str" cm="1">
        <f t="array" ref="F574">_xlfn.LET(
_xlpm.status,UPPER(TRIM(B574&amp;"")),
_xlpm.risk,UPPER(TRIM(C574&amp;"")),
_xlpm.notify,UPPER(TRIM(D574&amp;"")),
_xlpm.form,UPPER(TRIM(E574&amp;"")),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74" s="1" t="str">
        <f t="shared" si="8"/>
        <v>Required</v>
      </c>
      <c r="H574" s="5"/>
      <c r="I574" s="1" t="s">
        <v>226</v>
      </c>
      <c r="J574" s="1"/>
      <c r="K574" s="1" t="s">
        <v>223</v>
      </c>
      <c r="L574" s="1" t="s">
        <v>27</v>
      </c>
      <c r="M574" s="1"/>
      <c r="N574" s="1" t="s">
        <v>113</v>
      </c>
      <c r="O574" s="1" t="s">
        <v>19</v>
      </c>
      <c r="P574" s="1" t="s">
        <v>18</v>
      </c>
      <c r="Q574" s="1" t="s">
        <v>20</v>
      </c>
      <c r="R574" s="1"/>
      <c r="S574" s="1"/>
      <c r="T574" s="1"/>
    </row>
    <row r="575" spans="1:20">
      <c r="A575" s="1" t="s">
        <v>231</v>
      </c>
      <c r="B575" s="1" t="str" cm="1">
        <f t="array" ref="B575">IF(A575="","",_xlfn.IFS(COUNTIF($U:$U,A575)&gt;0,"All uploaded",COUNTIF($V:$V,A575)&gt;0,"Partly uploaded",COUNTIF($W:$X,A575)&gt;0,"Not uploaded",TRUE,"Not classified"))</f>
        <v>Not uploaded</v>
      </c>
      <c r="C575" s="1" t="str" cm="1">
        <f t="array" ref="C575">_xlfn.SWITCH(TRIM(I575),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575" s="1"/>
      <c r="E575" s="1"/>
      <c r="F575" s="1" t="str" cm="1">
        <f t="array" ref="F575">_xlfn.LET(
_xlpm.status,UPPER(TRIM(B575&amp;"")),
_xlpm.risk,UPPER(TRIM(C575&amp;"")),
_xlpm.notify,UPPER(TRIM(D575&amp;"")),
_xlpm.form,UPPER(TRIM(E575&amp;"")),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575" s="1" t="str">
        <f t="shared" si="8"/>
        <v>NA</v>
      </c>
      <c r="H575" s="5"/>
      <c r="I575" s="1" t="s">
        <v>37</v>
      </c>
      <c r="J575" s="1"/>
      <c r="K575" s="1" t="s">
        <v>223</v>
      </c>
      <c r="L575" s="1" t="s">
        <v>21</v>
      </c>
      <c r="M575" s="1"/>
      <c r="N575" s="1" t="s">
        <v>232</v>
      </c>
      <c r="O575" s="1" t="s">
        <v>19</v>
      </c>
      <c r="P575" s="1" t="s">
        <v>18</v>
      </c>
      <c r="Q575" s="1" t="s">
        <v>20</v>
      </c>
      <c r="R575" s="1"/>
      <c r="S575" s="1"/>
      <c r="T575" s="1"/>
    </row>
    <row r="576" spans="1:20">
      <c r="A576" s="1" t="s">
        <v>236</v>
      </c>
      <c r="B576" s="1" t="str" cm="1">
        <f t="array" ref="B576">IF(A576="","",_xlfn.IFS(COUNTIF($U:$U,A576)&gt;0,"All uploaded",COUNTIF($V:$V,A576)&gt;0,"Partly uploaded",COUNTIF($W:$X,A576)&gt;0,"Not uploaded",TRUE,"Not classified"))</f>
        <v>Not uploaded</v>
      </c>
      <c r="C576" s="1" t="str" cm="1">
        <f t="array" ref="C576">_xlfn.SWITCH(TRIM(I576),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576" s="1"/>
      <c r="E576" s="1"/>
      <c r="F576" s="1" t="str" cm="1">
        <f t="array" ref="F576">_xlfn.LET(
_xlpm.status,UPPER(TRIM(B576&amp;"")),
_xlpm.risk,UPPER(TRIM(C576&amp;"")),
_xlpm.notify,UPPER(TRIM(D576&amp;"")),
_xlpm.form,UPPER(TRIM(E576&amp;"")),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576" s="1" t="str">
        <f t="shared" si="8"/>
        <v>NA</v>
      </c>
      <c r="H576" s="5"/>
      <c r="I576" s="1" t="s">
        <v>37</v>
      </c>
      <c r="J576" s="1"/>
      <c r="K576" s="1" t="s">
        <v>223</v>
      </c>
      <c r="L576" s="1" t="s">
        <v>21</v>
      </c>
      <c r="M576" s="1"/>
      <c r="N576" s="1" t="s">
        <v>237</v>
      </c>
      <c r="O576" s="1" t="s">
        <v>19</v>
      </c>
      <c r="P576" s="1" t="s">
        <v>18</v>
      </c>
      <c r="Q576" s="1" t="s">
        <v>20</v>
      </c>
      <c r="R576" s="1"/>
      <c r="S576" s="1"/>
      <c r="T576" s="1"/>
    </row>
    <row r="577" spans="1:20">
      <c r="A577" s="1" t="s">
        <v>238</v>
      </c>
      <c r="B577" s="1" t="str" cm="1">
        <f t="array" ref="B577">IF(A577="","",_xlfn.IFS(COUNTIF($U:$U,A577)&gt;0,"All uploaded",COUNTIF($V:$V,A577)&gt;0,"Partly uploaded",COUNTIF($W:$X,A577)&gt;0,"Not uploaded",TRUE,"Not classified"))</f>
        <v>Not uploaded</v>
      </c>
      <c r="C577" s="1" t="str" cm="1">
        <f t="array" ref="C577">_xlfn.SWITCH(TRIM(I577),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77" s="1"/>
      <c r="E577" s="1"/>
      <c r="F577" s="1" t="str" cm="1">
        <f t="array" ref="F577">_xlfn.LET(
_xlpm.status,UPPER(TRIM(B577&amp;"")),
_xlpm.risk,UPPER(TRIM(C577&amp;"")),
_xlpm.notify,UPPER(TRIM(D577&amp;"")),
_xlpm.form,UPPER(TRIM(E577&amp;"")),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77" s="1" t="str">
        <f t="shared" si="8"/>
        <v>Required</v>
      </c>
      <c r="H577" s="5"/>
      <c r="I577" s="1" t="s">
        <v>101</v>
      </c>
      <c r="J577" s="1"/>
      <c r="K577" s="1" t="s">
        <v>223</v>
      </c>
      <c r="L577" s="1" t="s">
        <v>27</v>
      </c>
      <c r="M577" s="1"/>
      <c r="N577" s="1" t="s">
        <v>113</v>
      </c>
      <c r="O577" s="1" t="s">
        <v>19</v>
      </c>
      <c r="P577" s="1" t="s">
        <v>18</v>
      </c>
      <c r="Q577" s="1" t="s">
        <v>20</v>
      </c>
      <c r="R577" s="1"/>
      <c r="S577" s="1"/>
      <c r="T577" s="1"/>
    </row>
    <row r="578" spans="1:20">
      <c r="A578" s="1" t="s">
        <v>240</v>
      </c>
      <c r="B578" s="1" t="str" cm="1">
        <f t="array" ref="B578">IF(A578="","",_xlfn.IFS(COUNTIF($U:$U,A578)&gt;0,"All uploaded",COUNTIF($V:$V,A578)&gt;0,"Partly uploaded",COUNTIF($W:$X,A578)&gt;0,"Not uploaded",TRUE,"Not classified"))</f>
        <v>Partly uploaded</v>
      </c>
      <c r="C578" s="1" t="str" cm="1">
        <f t="array" ref="C578">_xlfn.SWITCH(TRIM(I578),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78" s="1"/>
      <c r="E578" s="1"/>
      <c r="F578" s="1" t="str" cm="1">
        <f t="array" ref="F578">_xlfn.LET(
_xlpm.status,UPPER(TRIM(B578&amp;"")),
_xlpm.risk,UPPER(TRIM(C578&amp;"")),
_xlpm.notify,UPPER(TRIM(D578&amp;"")),
_xlpm.form,UPPER(TRIM(E578&amp;"")),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78" s="1" t="str">
        <f t="shared" si="8"/>
        <v>Required</v>
      </c>
      <c r="H578" s="5"/>
      <c r="I578" s="1" t="s">
        <v>54</v>
      </c>
      <c r="J578" s="1"/>
      <c r="K578" s="1" t="s">
        <v>239</v>
      </c>
      <c r="L578" s="1" t="s">
        <v>22</v>
      </c>
      <c r="M578" s="1"/>
      <c r="N578" s="1" t="s">
        <v>241</v>
      </c>
      <c r="O578" s="1" t="s">
        <v>19</v>
      </c>
      <c r="P578" s="1" t="s">
        <v>18</v>
      </c>
      <c r="Q578" s="1" t="s">
        <v>20</v>
      </c>
      <c r="R578" s="1"/>
      <c r="S578" s="1"/>
      <c r="T578" s="1"/>
    </row>
    <row r="579" spans="1:20">
      <c r="A579" s="1" t="s">
        <v>258</v>
      </c>
      <c r="B579" s="1" t="str" cm="1">
        <f t="array" ref="B579">IF(A579="","",_xlfn.IFS(COUNTIF($U:$U,A579)&gt;0,"All uploaded",COUNTIF($V:$V,A579)&gt;0,"Partly uploaded",COUNTIF($W:$X,A579)&gt;0,"Not uploaded",TRUE,"Not classified"))</f>
        <v>Partly uploaded</v>
      </c>
      <c r="C579" s="1" t="str" cm="1">
        <f t="array" ref="C579">_xlfn.SWITCH(TRIM(I579),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79" s="1"/>
      <c r="E579" s="1"/>
      <c r="F579" s="1" t="str" cm="1">
        <f t="array" ref="F579">_xlfn.LET(
_xlpm.status,UPPER(TRIM(B579&amp;"")),
_xlpm.risk,UPPER(TRIM(C579&amp;"")),
_xlpm.notify,UPPER(TRIM(D579&amp;"")),
_xlpm.form,UPPER(TRIM(E579&amp;"")),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79" s="1" t="str">
        <f t="shared" ref="G579:G640" si="9">IF(AND(UPPER(TRIM(C579&amp;""))="MAJOR",OR(TRIM(D579&amp;"")="",UPPER(TRIM(E579&amp;""))="REJECT")),"Required","NA")</f>
        <v>NA</v>
      </c>
      <c r="H579" s="5"/>
      <c r="I579" s="1" t="s">
        <v>29</v>
      </c>
      <c r="J579" s="1"/>
      <c r="K579" s="1" t="s">
        <v>248</v>
      </c>
      <c r="L579" s="1" t="s">
        <v>10</v>
      </c>
      <c r="M579" s="1"/>
      <c r="N579" s="1" t="s">
        <v>84</v>
      </c>
      <c r="O579" s="1" t="s">
        <v>19</v>
      </c>
      <c r="P579" s="1" t="s">
        <v>18</v>
      </c>
      <c r="Q579" s="1" t="s">
        <v>20</v>
      </c>
      <c r="R579" s="1"/>
      <c r="S579" s="1"/>
      <c r="T579" s="1"/>
    </row>
    <row r="580" spans="1:20">
      <c r="A580" s="1" t="s">
        <v>263</v>
      </c>
      <c r="B580" s="1" t="str" cm="1">
        <f t="array" ref="B580">IF(A580="","",_xlfn.IFS(COUNTIF($U:$U,A580)&gt;0,"All uploaded",COUNTIF($V:$V,A580)&gt;0,"Partly uploaded",COUNTIF($W:$X,A580)&gt;0,"Not uploaded",TRUE,"Not classified"))</f>
        <v>Not uploaded</v>
      </c>
      <c r="C580" s="1" t="str" cm="1">
        <f t="array" ref="C580">_xlfn.SWITCH(TRIM(I580),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80" s="1"/>
      <c r="E580" s="1"/>
      <c r="F580" s="1" t="str" cm="1">
        <f t="array" ref="F580">_xlfn.LET(
_xlpm.status,UPPER(TRIM(B580&amp;"")),
_xlpm.risk,UPPER(TRIM(C580&amp;"")),
_xlpm.notify,UPPER(TRIM(D580&amp;"")),
_xlpm.form,UPPER(TRIM(E580&amp;"")),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80" s="1" t="str">
        <f t="shared" si="9"/>
        <v>Required</v>
      </c>
      <c r="H580" s="5"/>
      <c r="I580" s="1" t="s">
        <v>26</v>
      </c>
      <c r="J580" s="1"/>
      <c r="K580" s="1" t="s">
        <v>248</v>
      </c>
      <c r="L580" s="1" t="s">
        <v>25</v>
      </c>
      <c r="M580" s="1"/>
      <c r="N580" s="1" t="s">
        <v>40</v>
      </c>
      <c r="O580" s="1" t="s">
        <v>19</v>
      </c>
      <c r="P580" s="1" t="s">
        <v>18</v>
      </c>
      <c r="Q580" s="1" t="s">
        <v>20</v>
      </c>
      <c r="R580" s="1"/>
      <c r="S580" s="1"/>
      <c r="T580" s="1"/>
    </row>
    <row r="581" spans="1:20">
      <c r="A581" s="1" t="s">
        <v>264</v>
      </c>
      <c r="B581" s="1" t="str" cm="1">
        <f t="array" ref="B581">IF(A581="","",_xlfn.IFS(COUNTIF($U:$U,A581)&gt;0,"All uploaded",COUNTIF($V:$V,A581)&gt;0,"Partly uploaded",COUNTIF($W:$X,A581)&gt;0,"Not uploaded",TRUE,"Not classified"))</f>
        <v>Not uploaded</v>
      </c>
      <c r="C581" s="1" t="str" cm="1">
        <f t="array" ref="C581">_xlfn.SWITCH(TRIM(I581),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581" s="1"/>
      <c r="E581" s="1"/>
      <c r="F581" s="1" t="str" cm="1">
        <f t="array" ref="F581">_xlfn.LET(
_xlpm.status,UPPER(TRIM(B581&amp;"")),
_xlpm.risk,UPPER(TRIM(C581&amp;"")),
_xlpm.notify,UPPER(TRIM(D581&amp;"")),
_xlpm.form,UPPER(TRIM(E581&amp;"")),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581" s="1" t="str">
        <f t="shared" si="9"/>
        <v>NA</v>
      </c>
      <c r="H581" s="5"/>
      <c r="I581" s="1" t="s">
        <v>37</v>
      </c>
      <c r="J581" s="1"/>
      <c r="K581" s="1" t="s">
        <v>248</v>
      </c>
      <c r="L581" s="1" t="s">
        <v>21</v>
      </c>
      <c r="M581" s="1"/>
      <c r="N581" s="1" t="s">
        <v>83</v>
      </c>
      <c r="O581" s="1" t="s">
        <v>19</v>
      </c>
      <c r="P581" s="1" t="s">
        <v>18</v>
      </c>
      <c r="Q581" s="1" t="s">
        <v>20</v>
      </c>
      <c r="R581" s="1"/>
      <c r="S581" s="1"/>
      <c r="T581" s="1"/>
    </row>
    <row r="582" spans="1:20">
      <c r="A582" s="1" t="s">
        <v>249</v>
      </c>
      <c r="B582" s="1" t="str" cm="1">
        <f t="array" ref="B582">IF(A582="","",_xlfn.IFS(COUNTIF($U:$U,A582)&gt;0,"All uploaded",COUNTIF($V:$V,A582)&gt;0,"Partly uploaded",COUNTIF($W:$X,A582)&gt;0,"Not uploaded",TRUE,"Not classified"))</f>
        <v>Partly uploaded</v>
      </c>
      <c r="C582" s="1" t="str" cm="1">
        <f t="array" ref="C582">_xlfn.SWITCH(TRIM(I582),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82" s="1"/>
      <c r="E582" s="1"/>
      <c r="F582" s="1" t="str" cm="1">
        <f t="array" ref="F582">_xlfn.LET(
_xlpm.status,UPPER(TRIM(B582&amp;"")),
_xlpm.risk,UPPER(TRIM(C582&amp;"")),
_xlpm.notify,UPPER(TRIM(D582&amp;"")),
_xlpm.form,UPPER(TRIM(E582&amp;"")),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82" s="1" t="str">
        <f t="shared" si="9"/>
        <v>NA</v>
      </c>
      <c r="H582" s="5"/>
      <c r="I582" s="1" t="s">
        <v>29</v>
      </c>
      <c r="J582" s="1"/>
      <c r="K582" s="1" t="s">
        <v>248</v>
      </c>
      <c r="L582" s="1" t="s">
        <v>23</v>
      </c>
      <c r="M582" s="1"/>
      <c r="N582" s="1" t="s">
        <v>250</v>
      </c>
      <c r="O582" s="1" t="s">
        <v>19</v>
      </c>
      <c r="P582" s="1" t="s">
        <v>18</v>
      </c>
      <c r="Q582" s="1" t="s">
        <v>20</v>
      </c>
      <c r="R582" s="1"/>
      <c r="S582" s="1"/>
      <c r="T582" s="1"/>
    </row>
    <row r="583" spans="1:20">
      <c r="A583" s="1" t="s">
        <v>266</v>
      </c>
      <c r="B583" s="1" t="str" cm="1">
        <f t="array" ref="B583">IF(A583="","",_xlfn.IFS(COUNTIF($U:$U,A583)&gt;0,"All uploaded",COUNTIF($V:$V,A583)&gt;0,"Partly uploaded",COUNTIF($W:$X,A583)&gt;0,"Not uploaded",TRUE,"Not classified"))</f>
        <v>Partly uploaded</v>
      </c>
      <c r="C583" s="1" t="str" cm="1">
        <f t="array" ref="C583">_xlfn.SWITCH(TRIM(I583),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83" s="1"/>
      <c r="E583" s="1"/>
      <c r="F583" s="1" t="str" cm="1">
        <f t="array" ref="F583">_xlfn.LET(
_xlpm.status,UPPER(TRIM(B583&amp;"")),
_xlpm.risk,UPPER(TRIM(C583&amp;"")),
_xlpm.notify,UPPER(TRIM(D583&amp;"")),
_xlpm.form,UPPER(TRIM(E583&amp;"")),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83" s="1" t="str">
        <f t="shared" si="9"/>
        <v>Required</v>
      </c>
      <c r="H583" s="5"/>
      <c r="I583" s="1" t="s">
        <v>54</v>
      </c>
      <c r="J583" s="1"/>
      <c r="K583" s="1" t="s">
        <v>265</v>
      </c>
      <c r="L583" s="1" t="s">
        <v>22</v>
      </c>
      <c r="M583" s="1"/>
      <c r="N583" s="1" t="s">
        <v>267</v>
      </c>
      <c r="O583" s="1" t="s">
        <v>19</v>
      </c>
      <c r="P583" s="1" t="s">
        <v>18</v>
      </c>
      <c r="Q583" s="1" t="s">
        <v>20</v>
      </c>
      <c r="R583" s="1"/>
      <c r="S583" s="1"/>
      <c r="T583" s="1"/>
    </row>
    <row r="584" spans="1:20">
      <c r="A584" s="1" t="s">
        <v>268</v>
      </c>
      <c r="B584" s="1" t="str" cm="1">
        <f t="array" ref="B584">IF(A584="","",_xlfn.IFS(COUNTIF($U:$U,A584)&gt;0,"All uploaded",COUNTIF($V:$V,A584)&gt;0,"Partly uploaded",COUNTIF($W:$X,A584)&gt;0,"Not uploaded",TRUE,"Not classified"))</f>
        <v>Partly uploaded</v>
      </c>
      <c r="C584" s="1" t="str" cm="1">
        <f t="array" ref="C584">_xlfn.SWITCH(TRIM(I584),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84" s="1"/>
      <c r="E584" s="1"/>
      <c r="F584" s="1" t="str" cm="1">
        <f t="array" ref="F584">_xlfn.LET(
_xlpm.status,UPPER(TRIM(B584&amp;"")),
_xlpm.risk,UPPER(TRIM(C584&amp;"")),
_xlpm.notify,UPPER(TRIM(D584&amp;"")),
_xlpm.form,UPPER(TRIM(E584&amp;"")),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84" s="1" t="str">
        <f t="shared" si="9"/>
        <v>Required</v>
      </c>
      <c r="H584" s="5"/>
      <c r="I584" s="1" t="s">
        <v>54</v>
      </c>
      <c r="J584" s="1"/>
      <c r="K584" s="1" t="s">
        <v>265</v>
      </c>
      <c r="L584" s="1" t="s">
        <v>22</v>
      </c>
      <c r="M584" s="1"/>
      <c r="N584" s="1" t="s">
        <v>269</v>
      </c>
      <c r="O584" s="1" t="s">
        <v>19</v>
      </c>
      <c r="P584" s="1" t="s">
        <v>18</v>
      </c>
      <c r="Q584" s="1" t="s">
        <v>20</v>
      </c>
      <c r="R584" s="1"/>
      <c r="S584" s="1"/>
      <c r="T584" s="1"/>
    </row>
    <row r="585" spans="1:20">
      <c r="A585" s="1" t="s">
        <v>277</v>
      </c>
      <c r="B585" s="1" t="str" cm="1">
        <f t="array" ref="B585">IF(A585="","",_xlfn.IFS(COUNTIF($U:$U,A585)&gt;0,"All uploaded",COUNTIF($V:$V,A585)&gt;0,"Partly uploaded",COUNTIF($W:$X,A585)&gt;0,"Not uploaded",TRUE,"Not classified"))</f>
        <v>Partly uploaded</v>
      </c>
      <c r="C585" s="1" t="str" cm="1">
        <f t="array" ref="C585">_xlfn.SWITCH(TRIM(I585),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85" s="1"/>
      <c r="E585" s="1"/>
      <c r="F585" s="1" t="str" cm="1">
        <f t="array" ref="F585">_xlfn.LET(
_xlpm.status,UPPER(TRIM(B585&amp;"")),
_xlpm.risk,UPPER(TRIM(C585&amp;"")),
_xlpm.notify,UPPER(TRIM(D585&amp;"")),
_xlpm.form,UPPER(TRIM(E585&amp;"")),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85" s="1" t="str">
        <f t="shared" si="9"/>
        <v>NA</v>
      </c>
      <c r="H585" s="5"/>
      <c r="I585" s="1" t="s">
        <v>29</v>
      </c>
      <c r="J585" s="1"/>
      <c r="K585" s="1" t="s">
        <v>276</v>
      </c>
      <c r="L585" s="1" t="s">
        <v>25</v>
      </c>
      <c r="M585" s="1"/>
      <c r="N585" s="1" t="s">
        <v>278</v>
      </c>
      <c r="O585" s="1" t="s">
        <v>30</v>
      </c>
      <c r="P585" s="1" t="s">
        <v>63</v>
      </c>
      <c r="Q585" s="1" t="s">
        <v>64</v>
      </c>
      <c r="R585" s="1"/>
      <c r="S585" s="1"/>
      <c r="T585" s="1"/>
    </row>
    <row r="586" spans="1:20">
      <c r="A586" s="1" t="s">
        <v>286</v>
      </c>
      <c r="B586" s="1" t="str" cm="1">
        <f t="array" ref="B586">IF(A586="","",_xlfn.IFS(COUNTIF($U:$U,A586)&gt;0,"All uploaded",COUNTIF($V:$V,A586)&gt;0,"Partly uploaded",COUNTIF($W:$X,A586)&gt;0,"Not uploaded",TRUE,"Not classified"))</f>
        <v>Partly uploaded</v>
      </c>
      <c r="C586" s="1" t="str" cm="1">
        <f t="array" ref="C586">_xlfn.SWITCH(TRIM(I586),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86" s="1"/>
      <c r="E586" s="1"/>
      <c r="F586" s="1" t="str" cm="1">
        <f t="array" ref="F586">_xlfn.LET(
_xlpm.status,UPPER(TRIM(B586&amp;"")),
_xlpm.risk,UPPER(TRIM(C586&amp;"")),
_xlpm.notify,UPPER(TRIM(D586&amp;"")),
_xlpm.form,UPPER(TRIM(E586&amp;"")),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86" s="1" t="str">
        <f t="shared" si="9"/>
        <v>NA</v>
      </c>
      <c r="H586" s="5"/>
      <c r="I586" s="1" t="s">
        <v>29</v>
      </c>
      <c r="J586" s="1"/>
      <c r="K586" s="1" t="s">
        <v>282</v>
      </c>
      <c r="L586" s="1" t="s">
        <v>10</v>
      </c>
      <c r="M586" s="1"/>
      <c r="N586" s="1" t="s">
        <v>55</v>
      </c>
      <c r="O586" s="1" t="s">
        <v>19</v>
      </c>
      <c r="P586" s="1" t="s">
        <v>18</v>
      </c>
      <c r="Q586" s="1" t="s">
        <v>20</v>
      </c>
      <c r="R586" s="1"/>
      <c r="S586" s="1"/>
      <c r="T586" s="1"/>
    </row>
    <row r="587" spans="1:20">
      <c r="A587" s="1" t="s">
        <v>291</v>
      </c>
      <c r="B587" s="1" t="str" cm="1">
        <f t="array" ref="B587">IF(A587="","",_xlfn.IFS(COUNTIF($U:$U,A587)&gt;0,"All uploaded",COUNTIF($V:$V,A587)&gt;0,"Partly uploaded",COUNTIF($W:$X,A587)&gt;0,"Not uploaded",TRUE,"Not classified"))</f>
        <v>Not uploaded</v>
      </c>
      <c r="C587" s="1" t="str" cm="1">
        <f t="array" ref="C587">_xlfn.SWITCH(TRIM(I587),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87" s="1"/>
      <c r="E587" s="1"/>
      <c r="F587" s="1" t="str" cm="1">
        <f t="array" ref="F587">_xlfn.LET(
_xlpm.status,UPPER(TRIM(B587&amp;"")),
_xlpm.risk,UPPER(TRIM(C587&amp;"")),
_xlpm.notify,UPPER(TRIM(D587&amp;"")),
_xlpm.form,UPPER(TRIM(E587&amp;"")),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87" s="1" t="str">
        <f t="shared" si="9"/>
        <v>NA</v>
      </c>
      <c r="H587" s="5"/>
      <c r="I587" s="1" t="s">
        <v>29</v>
      </c>
      <c r="J587" s="1"/>
      <c r="K587" s="1" t="s">
        <v>282</v>
      </c>
      <c r="L587" s="1" t="s">
        <v>35</v>
      </c>
      <c r="M587" s="1"/>
      <c r="N587" s="1" t="s">
        <v>85</v>
      </c>
      <c r="O587" s="1" t="s">
        <v>19</v>
      </c>
      <c r="P587" s="1" t="s">
        <v>18</v>
      </c>
      <c r="Q587" s="1" t="s">
        <v>20</v>
      </c>
      <c r="R587" s="1"/>
      <c r="S587" s="1"/>
      <c r="T587" s="1"/>
    </row>
    <row r="588" spans="1:20">
      <c r="A588" s="1" t="s">
        <v>293</v>
      </c>
      <c r="B588" s="1" t="str" cm="1">
        <f t="array" ref="B588">IF(A588="","",_xlfn.IFS(COUNTIF($U:$U,A588)&gt;0,"All uploaded",COUNTIF($V:$V,A588)&gt;0,"Partly uploaded",COUNTIF($W:$X,A588)&gt;0,"Not uploaded",TRUE,"Not classified"))</f>
        <v>Partly uploaded</v>
      </c>
      <c r="C588" s="1" t="str" cm="1">
        <f t="array" ref="C588">_xlfn.SWITCH(TRIM(I588),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88" s="1"/>
      <c r="E588" s="1"/>
      <c r="F588" s="1" t="str" cm="1">
        <f t="array" ref="F588">_xlfn.LET(
_xlpm.status,UPPER(TRIM(B588&amp;"")),
_xlpm.risk,UPPER(TRIM(C588&amp;"")),
_xlpm.notify,UPPER(TRIM(D588&amp;"")),
_xlpm.form,UPPER(TRIM(E588&amp;"")),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88" s="1" t="str">
        <f t="shared" si="9"/>
        <v>NA</v>
      </c>
      <c r="H588" s="5"/>
      <c r="I588" s="1" t="s">
        <v>29</v>
      </c>
      <c r="J588" s="1"/>
      <c r="K588" s="1" t="s">
        <v>292</v>
      </c>
      <c r="L588" s="1" t="s">
        <v>23</v>
      </c>
      <c r="M588" s="1"/>
      <c r="N588" s="1" t="s">
        <v>294</v>
      </c>
      <c r="O588" s="1" t="s">
        <v>19</v>
      </c>
      <c r="P588" s="1" t="s">
        <v>18</v>
      </c>
      <c r="Q588" s="1" t="s">
        <v>20</v>
      </c>
      <c r="R588" s="1"/>
      <c r="S588" s="1"/>
      <c r="T588" s="1"/>
    </row>
    <row r="589" spans="1:20">
      <c r="A589" s="1" t="s">
        <v>298</v>
      </c>
      <c r="B589" s="1" t="str" cm="1">
        <f t="array" ref="B589">IF(A589="","",_xlfn.IFS(COUNTIF($U:$U,A589)&gt;0,"All uploaded",COUNTIF($V:$V,A589)&gt;0,"Partly uploaded",COUNTIF($W:$X,A589)&gt;0,"Not uploaded",TRUE,"Not classified"))</f>
        <v>Not uploaded</v>
      </c>
      <c r="C589" s="1" t="str" cm="1">
        <f t="array" ref="C589">_xlfn.SWITCH(TRIM(I589),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89" s="1"/>
      <c r="E589" s="1"/>
      <c r="F589" s="1" t="str" cm="1">
        <f t="array" ref="F589">_xlfn.LET(
_xlpm.status,UPPER(TRIM(B589&amp;"")),
_xlpm.risk,UPPER(TRIM(C589&amp;"")),
_xlpm.notify,UPPER(TRIM(D589&amp;"")),
_xlpm.form,UPPER(TRIM(E589&amp;"")),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89" s="1" t="str">
        <f t="shared" si="9"/>
        <v>NA</v>
      </c>
      <c r="H589" s="5"/>
      <c r="I589" s="1" t="s">
        <v>39</v>
      </c>
      <c r="J589" s="1"/>
      <c r="K589" s="1" t="s">
        <v>292</v>
      </c>
      <c r="L589" s="1" t="s">
        <v>24</v>
      </c>
      <c r="M589" s="1"/>
      <c r="N589" s="1" t="s">
        <v>299</v>
      </c>
      <c r="O589" s="1" t="s">
        <v>19</v>
      </c>
      <c r="P589" s="1" t="s">
        <v>18</v>
      </c>
      <c r="Q589" s="1" t="s">
        <v>20</v>
      </c>
      <c r="R589" s="1"/>
      <c r="S589" s="1"/>
      <c r="T589" s="1"/>
    </row>
    <row r="590" spans="1:20">
      <c r="A590" s="1" t="s">
        <v>307</v>
      </c>
      <c r="B590" s="1" t="str" cm="1">
        <f t="array" ref="B590">IF(A590="","",_xlfn.IFS(COUNTIF($U:$U,A590)&gt;0,"All uploaded",COUNTIF($V:$V,A590)&gt;0,"Partly uploaded",COUNTIF($W:$X,A590)&gt;0,"Not uploaded",TRUE,"Not classified"))</f>
        <v>Partly uploaded</v>
      </c>
      <c r="C590" s="1" t="str" cm="1">
        <f t="array" ref="C590">_xlfn.SWITCH(TRIM(I590),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90" s="1"/>
      <c r="E590" s="1"/>
      <c r="F590" s="1" t="str" cm="1">
        <f t="array" ref="F590">_xlfn.LET(
_xlpm.status,UPPER(TRIM(B590&amp;"")),
_xlpm.risk,UPPER(TRIM(C590&amp;"")),
_xlpm.notify,UPPER(TRIM(D590&amp;"")),
_xlpm.form,UPPER(TRIM(E590&amp;"")),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90" s="1" t="str">
        <f t="shared" si="9"/>
        <v>NA</v>
      </c>
      <c r="H590" s="5"/>
      <c r="I590" s="1" t="s">
        <v>29</v>
      </c>
      <c r="J590" s="1"/>
      <c r="K590" s="1" t="s">
        <v>306</v>
      </c>
      <c r="L590" s="1" t="s">
        <v>10</v>
      </c>
      <c r="M590" s="1"/>
      <c r="N590" s="1" t="s">
        <v>51</v>
      </c>
      <c r="O590" s="1" t="s">
        <v>19</v>
      </c>
      <c r="P590" s="1" t="s">
        <v>18</v>
      </c>
      <c r="Q590" s="1" t="s">
        <v>20</v>
      </c>
      <c r="R590" s="1"/>
      <c r="S590" s="1"/>
      <c r="T590" s="1"/>
    </row>
    <row r="591" spans="1:20">
      <c r="A591" s="1" t="s">
        <v>312</v>
      </c>
      <c r="B591" s="1" t="str" cm="1">
        <f t="array" ref="B591">IF(A591="","",_xlfn.IFS(COUNTIF($U:$U,A591)&gt;0,"All uploaded",COUNTIF($V:$V,A591)&gt;0,"Partly uploaded",COUNTIF($W:$X,A591)&gt;0,"Not uploaded",TRUE,"Not classified"))</f>
        <v>Partly uploaded</v>
      </c>
      <c r="C591" s="1" t="str" cm="1">
        <f t="array" ref="C591">_xlfn.SWITCH(TRIM(I591),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91" s="1"/>
      <c r="E591" s="1"/>
      <c r="F591" s="1" t="str" cm="1">
        <f t="array" ref="F591">_xlfn.LET(
_xlpm.status,UPPER(TRIM(B591&amp;"")),
_xlpm.risk,UPPER(TRIM(C591&amp;"")),
_xlpm.notify,UPPER(TRIM(D591&amp;"")),
_xlpm.form,UPPER(TRIM(E591&amp;"")),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91" s="1" t="str">
        <f t="shared" si="9"/>
        <v>NA</v>
      </c>
      <c r="H591" s="5"/>
      <c r="I591" s="1" t="s">
        <v>29</v>
      </c>
      <c r="J591" s="1"/>
      <c r="K591" s="1" t="s">
        <v>306</v>
      </c>
      <c r="L591" s="1" t="s">
        <v>10</v>
      </c>
      <c r="M591" s="1"/>
      <c r="N591" s="1" t="s">
        <v>313</v>
      </c>
      <c r="O591" s="1" t="s">
        <v>19</v>
      </c>
      <c r="P591" s="1" t="s">
        <v>18</v>
      </c>
      <c r="Q591" s="1" t="s">
        <v>20</v>
      </c>
      <c r="R591" s="1"/>
      <c r="S591" s="1"/>
      <c r="T591" s="1"/>
    </row>
    <row r="592" spans="1:20">
      <c r="A592" s="1" t="s">
        <v>321</v>
      </c>
      <c r="B592" s="1" t="str" cm="1">
        <f t="array" ref="B592">IF(A592="","",_xlfn.IFS(COUNTIF($U:$U,A592)&gt;0,"All uploaded",COUNTIF($V:$V,A592)&gt;0,"Partly uploaded",COUNTIF($W:$X,A592)&gt;0,"Not uploaded",TRUE,"Not classified"))</f>
        <v>Not uploaded</v>
      </c>
      <c r="C592" s="1" t="str" cm="1">
        <f t="array" ref="C592">_xlfn.SWITCH(TRIM(I592),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592" s="1"/>
      <c r="E592" s="1"/>
      <c r="F592" s="1" t="str" cm="1">
        <f t="array" ref="F592">_xlfn.LET(
_xlpm.status,UPPER(TRIM(B592&amp;"")),
_xlpm.risk,UPPER(TRIM(C592&amp;"")),
_xlpm.notify,UPPER(TRIM(D592&amp;"")),
_xlpm.form,UPPER(TRIM(E592&amp;"")),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592" s="1" t="str">
        <f t="shared" si="9"/>
        <v>NA</v>
      </c>
      <c r="H592" s="5"/>
      <c r="I592" s="1" t="s">
        <v>37</v>
      </c>
      <c r="J592" s="1"/>
      <c r="K592" s="1" t="s">
        <v>320</v>
      </c>
      <c r="L592" s="1" t="s">
        <v>21</v>
      </c>
      <c r="M592" s="1"/>
      <c r="N592" s="1" t="s">
        <v>322</v>
      </c>
      <c r="O592" s="1" t="s">
        <v>19</v>
      </c>
      <c r="P592" s="1" t="s">
        <v>18</v>
      </c>
      <c r="Q592" s="1" t="s">
        <v>20</v>
      </c>
      <c r="R592" s="1"/>
      <c r="S592" s="1"/>
      <c r="T592" s="1"/>
    </row>
    <row r="593" spans="1:20">
      <c r="A593" s="1" t="s">
        <v>323</v>
      </c>
      <c r="B593" s="1" t="str" cm="1">
        <f t="array" ref="B593">IF(A593="","",_xlfn.IFS(COUNTIF($U:$U,A593)&gt;0,"All uploaded",COUNTIF($V:$V,A593)&gt;0,"Partly uploaded",COUNTIF($W:$X,A593)&gt;0,"Not uploaded",TRUE,"Not classified"))</f>
        <v>Not uploaded</v>
      </c>
      <c r="C593" s="1" t="str" cm="1">
        <f t="array" ref="C593">_xlfn.SWITCH(TRIM(I593),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593" s="1"/>
      <c r="E593" s="1"/>
      <c r="F593" s="1" t="str" cm="1">
        <f t="array" ref="F593">_xlfn.LET(
_xlpm.status,UPPER(TRIM(B593&amp;"")),
_xlpm.risk,UPPER(TRIM(C593&amp;"")),
_xlpm.notify,UPPER(TRIM(D593&amp;"")),
_xlpm.form,UPPER(TRIM(E593&amp;"")),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593" s="1" t="str">
        <f t="shared" si="9"/>
        <v>NA</v>
      </c>
      <c r="H593" s="5"/>
      <c r="I593" s="1" t="s">
        <v>37</v>
      </c>
      <c r="J593" s="1"/>
      <c r="K593" s="1" t="s">
        <v>320</v>
      </c>
      <c r="L593" s="1" t="s">
        <v>21</v>
      </c>
      <c r="M593" s="1"/>
      <c r="N593" s="1" t="s">
        <v>83</v>
      </c>
      <c r="O593" s="1" t="s">
        <v>19</v>
      </c>
      <c r="P593" s="1" t="s">
        <v>18</v>
      </c>
      <c r="Q593" s="1" t="s">
        <v>20</v>
      </c>
      <c r="R593" s="1"/>
      <c r="S593" s="1"/>
      <c r="T593" s="1"/>
    </row>
    <row r="594" spans="1:20">
      <c r="A594" s="1" t="s">
        <v>325</v>
      </c>
      <c r="B594" s="1" t="str" cm="1">
        <f t="array" ref="B594">IF(A594="","",_xlfn.IFS(COUNTIF($U:$U,A594)&gt;0,"All uploaded",COUNTIF($V:$V,A594)&gt;0,"Partly uploaded",COUNTIF($W:$X,A594)&gt;0,"Not uploaded",TRUE,"Not classified"))</f>
        <v>Partly uploaded</v>
      </c>
      <c r="C594" s="1" t="str" cm="1">
        <f t="array" ref="C594">_xlfn.SWITCH(TRIM(I594),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94" s="1"/>
      <c r="E594" s="1"/>
      <c r="F594" s="1" t="str" cm="1">
        <f t="array" ref="F594">_xlfn.LET(
_xlpm.status,UPPER(TRIM(B594&amp;"")),
_xlpm.risk,UPPER(TRIM(C594&amp;"")),
_xlpm.notify,UPPER(TRIM(D594&amp;"")),
_xlpm.form,UPPER(TRIM(E594&amp;"")),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94" s="1" t="str">
        <f t="shared" si="9"/>
        <v>Required</v>
      </c>
      <c r="H594" s="5"/>
      <c r="I594" s="1" t="s">
        <v>54</v>
      </c>
      <c r="J594" s="1"/>
      <c r="K594" s="1" t="s">
        <v>324</v>
      </c>
      <c r="L594" s="1" t="s">
        <v>22</v>
      </c>
      <c r="M594" s="1"/>
      <c r="N594" s="1" t="s">
        <v>326</v>
      </c>
      <c r="O594" s="1" t="s">
        <v>19</v>
      </c>
      <c r="P594" s="1" t="s">
        <v>18</v>
      </c>
      <c r="Q594" s="1" t="s">
        <v>20</v>
      </c>
      <c r="R594" s="1"/>
      <c r="S594" s="1"/>
      <c r="T594" s="1"/>
    </row>
    <row r="595" spans="1:20">
      <c r="A595" s="1" t="s">
        <v>327</v>
      </c>
      <c r="B595" s="1" t="str" cm="1">
        <f t="array" ref="B595">IF(A595="","",_xlfn.IFS(COUNTIF($U:$U,A595)&gt;0,"All uploaded",COUNTIF($V:$V,A595)&gt;0,"Partly uploaded",COUNTIF($W:$X,A595)&gt;0,"Not uploaded",TRUE,"Not classified"))</f>
        <v>Not uploaded</v>
      </c>
      <c r="C595" s="1" t="str" cm="1">
        <f t="array" ref="C595">_xlfn.SWITCH(TRIM(I595),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95" s="1"/>
      <c r="E595" s="1"/>
      <c r="F595" s="1" t="str" cm="1">
        <f t="array" ref="F595">_xlfn.LET(
_xlpm.status,UPPER(TRIM(B595&amp;"")),
_xlpm.risk,UPPER(TRIM(C595&amp;"")),
_xlpm.notify,UPPER(TRIM(D595&amp;"")),
_xlpm.form,UPPER(TRIM(E595&amp;"")),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95" s="1" t="str">
        <f t="shared" si="9"/>
        <v>NA</v>
      </c>
      <c r="H595" s="5"/>
      <c r="I595" s="1" t="s">
        <v>29</v>
      </c>
      <c r="J595" s="1"/>
      <c r="K595" s="1" t="s">
        <v>324</v>
      </c>
      <c r="L595" s="1" t="s">
        <v>10</v>
      </c>
      <c r="M595" s="1"/>
      <c r="N595" s="1" t="s">
        <v>36</v>
      </c>
      <c r="O595" s="1" t="s">
        <v>19</v>
      </c>
      <c r="P595" s="1" t="s">
        <v>18</v>
      </c>
      <c r="Q595" s="1" t="s">
        <v>20</v>
      </c>
      <c r="R595" s="1"/>
      <c r="S595" s="1"/>
      <c r="T595" s="1"/>
    </row>
    <row r="596" spans="1:20">
      <c r="A596" s="1" t="s">
        <v>341</v>
      </c>
      <c r="B596" s="1" t="str" cm="1">
        <f t="array" ref="B596">IF(A596="","",_xlfn.IFS(COUNTIF($U:$U,A596)&gt;0,"All uploaded",COUNTIF($V:$V,A596)&gt;0,"Partly uploaded",COUNTIF($W:$X,A596)&gt;0,"Not uploaded",TRUE,"Not classified"))</f>
        <v>Not uploaded</v>
      </c>
      <c r="C596" s="1" t="str" cm="1">
        <f t="array" ref="C596">_xlfn.SWITCH(TRIM(I596),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96" s="1"/>
      <c r="E596" s="1"/>
      <c r="F596" s="1" t="str" cm="1">
        <f t="array" ref="F596">_xlfn.LET(
_xlpm.status,UPPER(TRIM(B596&amp;"")),
_xlpm.risk,UPPER(TRIM(C596&amp;"")),
_xlpm.notify,UPPER(TRIM(D596&amp;"")),
_xlpm.form,UPPER(TRIM(E596&amp;"")),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96" s="1" t="str">
        <f t="shared" si="9"/>
        <v>Required</v>
      </c>
      <c r="H596" s="5"/>
      <c r="I596" s="1" t="s">
        <v>342</v>
      </c>
      <c r="J596" s="1"/>
      <c r="K596" s="1" t="s">
        <v>324</v>
      </c>
      <c r="L596" s="1" t="s">
        <v>27</v>
      </c>
      <c r="M596" s="1"/>
      <c r="N596" s="1" t="s">
        <v>119</v>
      </c>
      <c r="O596" s="1" t="s">
        <v>19</v>
      </c>
      <c r="P596" s="1" t="s">
        <v>18</v>
      </c>
      <c r="Q596" s="1" t="s">
        <v>20</v>
      </c>
      <c r="R596" s="1"/>
      <c r="S596" s="1"/>
      <c r="T596" s="1"/>
    </row>
    <row r="597" spans="1:20">
      <c r="A597" s="1" t="s">
        <v>336</v>
      </c>
      <c r="B597" s="1" t="str" cm="1">
        <f t="array" ref="B597">IF(A597="","",_xlfn.IFS(COUNTIF($U:$U,A597)&gt;0,"All uploaded",COUNTIF($V:$V,A597)&gt;0,"Partly uploaded",COUNTIF($W:$X,A597)&gt;0,"Not uploaded",TRUE,"Not classified"))</f>
        <v>Partly uploaded</v>
      </c>
      <c r="C597" s="1" t="str" cm="1">
        <f t="array" ref="C597">_xlfn.SWITCH(TRIM(I597),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97" s="1"/>
      <c r="E597" s="1"/>
      <c r="F597" s="1" t="str" cm="1">
        <f t="array" ref="F597">_xlfn.LET(
_xlpm.status,UPPER(TRIM(B597&amp;"")),
_xlpm.risk,UPPER(TRIM(C597&amp;"")),
_xlpm.notify,UPPER(TRIM(D597&amp;"")),
_xlpm.form,UPPER(TRIM(E597&amp;"")),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97" s="1" t="str">
        <f t="shared" si="9"/>
        <v>Required</v>
      </c>
      <c r="H597" s="5"/>
      <c r="I597" s="1" t="s">
        <v>101</v>
      </c>
      <c r="J597" s="1"/>
      <c r="K597" s="1" t="s">
        <v>324</v>
      </c>
      <c r="L597" s="1" t="s">
        <v>27</v>
      </c>
      <c r="M597" s="1"/>
      <c r="N597" s="1" t="s">
        <v>337</v>
      </c>
      <c r="O597" s="1" t="s">
        <v>19</v>
      </c>
      <c r="P597" s="1" t="s">
        <v>18</v>
      </c>
      <c r="Q597" s="1" t="s">
        <v>20</v>
      </c>
      <c r="R597" s="1"/>
      <c r="S597" s="1"/>
      <c r="T597" s="1"/>
    </row>
    <row r="598" spans="1:20">
      <c r="A598" s="1" t="s">
        <v>348</v>
      </c>
      <c r="B598" s="1" t="str" cm="1">
        <f t="array" ref="B598">IF(A598="","",_xlfn.IFS(COUNTIF($U:$U,A598)&gt;0,"All uploaded",COUNTIF($V:$V,A598)&gt;0,"Partly uploaded",COUNTIF($W:$X,A598)&gt;0,"Not uploaded",TRUE,"Not classified"))</f>
        <v>Not uploaded</v>
      </c>
      <c r="C598" s="1" t="str" cm="1">
        <f t="array" ref="C598">_xlfn.SWITCH(TRIM(I598),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598" s="1"/>
      <c r="E598" s="1"/>
      <c r="F598" s="1" t="str" cm="1">
        <f t="array" ref="F598">_xlfn.LET(
_xlpm.status,UPPER(TRIM(B598&amp;"")),
_xlpm.risk,UPPER(TRIM(C598&amp;"")),
_xlpm.notify,UPPER(TRIM(D598&amp;"")),
_xlpm.form,UPPER(TRIM(E598&amp;"")),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98" s="1" t="str">
        <f t="shared" si="9"/>
        <v>NA</v>
      </c>
      <c r="H598" s="5"/>
      <c r="I598" s="1" t="s">
        <v>66</v>
      </c>
      <c r="J598" s="1"/>
      <c r="K598" s="1" t="s">
        <v>347</v>
      </c>
      <c r="L598" s="1" t="s">
        <v>23</v>
      </c>
      <c r="M598" s="1"/>
      <c r="N598" s="1" t="s">
        <v>349</v>
      </c>
      <c r="O598" s="1" t="s">
        <v>19</v>
      </c>
      <c r="P598" s="1" t="s">
        <v>18</v>
      </c>
      <c r="Q598" s="1" t="s">
        <v>20</v>
      </c>
      <c r="R598" s="1"/>
      <c r="S598" s="1"/>
      <c r="T598" s="1"/>
    </row>
    <row r="599" spans="1:20">
      <c r="A599" s="1" t="s">
        <v>351</v>
      </c>
      <c r="B599" s="1" t="str" cm="1">
        <f t="array" ref="B599">IF(A599="","",_xlfn.IFS(COUNTIF($U:$U,A599)&gt;0,"All uploaded",COUNTIF($V:$V,A599)&gt;0,"Partly uploaded",COUNTIF($W:$X,A599)&gt;0,"Not uploaded",TRUE,"Not classified"))</f>
        <v>Partly uploaded</v>
      </c>
      <c r="C599" s="1" t="str" cm="1">
        <f t="array" ref="C599">_xlfn.SWITCH(TRIM(I599),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599" s="1"/>
      <c r="E599" s="1"/>
      <c r="F599" s="1" t="str" cm="1">
        <f t="array" ref="F599">_xlfn.LET(
_xlpm.status,UPPER(TRIM(B599&amp;"")),
_xlpm.risk,UPPER(TRIM(C599&amp;"")),
_xlpm.notify,UPPER(TRIM(D599&amp;"")),
_xlpm.form,UPPER(TRIM(E599&amp;"")),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599" s="1" t="str">
        <f t="shared" si="9"/>
        <v>Required</v>
      </c>
      <c r="H599" s="5"/>
      <c r="I599" s="1" t="s">
        <v>26</v>
      </c>
      <c r="J599" s="1"/>
      <c r="K599" s="1" t="s">
        <v>350</v>
      </c>
      <c r="L599" s="1" t="s">
        <v>25</v>
      </c>
      <c r="M599" s="1"/>
      <c r="N599" s="1" t="s">
        <v>104</v>
      </c>
      <c r="O599" s="1" t="s">
        <v>19</v>
      </c>
      <c r="P599" s="1" t="s">
        <v>18</v>
      </c>
      <c r="Q599" s="1" t="s">
        <v>20</v>
      </c>
      <c r="R599" s="1"/>
      <c r="S599" s="1"/>
      <c r="T599" s="1"/>
    </row>
    <row r="600" spans="1:20">
      <c r="A600" s="1" t="s">
        <v>356</v>
      </c>
      <c r="B600" s="1" t="str" cm="1">
        <f t="array" ref="B600">IF(A600="","",_xlfn.IFS(COUNTIF($U:$U,A600)&gt;0,"All uploaded",COUNTIF($V:$V,A600)&gt;0,"Partly uploaded",COUNTIF($W:$X,A600)&gt;0,"Not uploaded",TRUE,"Not classified"))</f>
        <v>Partly uploaded</v>
      </c>
      <c r="C600" s="1" t="str" cm="1">
        <f t="array" ref="C600">_xlfn.SWITCH(TRIM(I600),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00" s="1"/>
      <c r="E600" s="1"/>
      <c r="F600" s="1" t="str" cm="1">
        <f t="array" ref="F600">_xlfn.LET(
_xlpm.status,UPPER(TRIM(B600&amp;"")),
_xlpm.risk,UPPER(TRIM(C600&amp;"")),
_xlpm.notify,UPPER(TRIM(D600&amp;"")),
_xlpm.form,UPPER(TRIM(E600&amp;"")),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00" s="1" t="str">
        <f t="shared" si="9"/>
        <v>Required</v>
      </c>
      <c r="H600" s="5"/>
      <c r="I600" s="1" t="s">
        <v>54</v>
      </c>
      <c r="J600" s="1"/>
      <c r="K600" s="1" t="s">
        <v>350</v>
      </c>
      <c r="L600" s="1" t="s">
        <v>22</v>
      </c>
      <c r="M600" s="1"/>
      <c r="N600" s="1" t="s">
        <v>357</v>
      </c>
      <c r="O600" s="1" t="s">
        <v>19</v>
      </c>
      <c r="P600" s="1" t="s">
        <v>18</v>
      </c>
      <c r="Q600" s="1" t="s">
        <v>20</v>
      </c>
      <c r="R600" s="1"/>
      <c r="S600" s="1"/>
      <c r="T600" s="1"/>
    </row>
    <row r="601" spans="1:20">
      <c r="A601" s="1" t="s">
        <v>363</v>
      </c>
      <c r="B601" s="1" t="str" cm="1">
        <f t="array" ref="B601">IF(A601="","",_xlfn.IFS(COUNTIF($U:$U,A601)&gt;0,"All uploaded",COUNTIF($V:$V,A601)&gt;0,"Partly uploaded",COUNTIF($W:$X,A601)&gt;0,"Not uploaded",TRUE,"Not classified"))</f>
        <v>Not uploaded</v>
      </c>
      <c r="C601" s="1" t="str" cm="1">
        <f t="array" ref="C601">_xlfn.SWITCH(TRIM(I601),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01" s="1"/>
      <c r="E601" s="1"/>
      <c r="F601" s="1" t="str" cm="1">
        <f t="array" ref="F601">_xlfn.LET(
_xlpm.status,UPPER(TRIM(B601&amp;"")),
_xlpm.risk,UPPER(TRIM(C601&amp;"")),
_xlpm.notify,UPPER(TRIM(D601&amp;"")),
_xlpm.form,UPPER(TRIM(E601&amp;"")),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01" s="1" t="str">
        <f t="shared" si="9"/>
        <v>NA</v>
      </c>
      <c r="H601" s="5"/>
      <c r="I601" s="1" t="s">
        <v>29</v>
      </c>
      <c r="J601" s="1"/>
      <c r="K601" s="1" t="s">
        <v>362</v>
      </c>
      <c r="L601" s="1" t="s">
        <v>10</v>
      </c>
      <c r="M601" s="1"/>
      <c r="N601" s="1" t="s">
        <v>364</v>
      </c>
      <c r="O601" s="1" t="s">
        <v>19</v>
      </c>
      <c r="P601" s="1" t="s">
        <v>18</v>
      </c>
      <c r="Q601" s="1" t="s">
        <v>20</v>
      </c>
      <c r="R601" s="1"/>
      <c r="S601" s="1"/>
      <c r="T601" s="1"/>
    </row>
    <row r="602" spans="1:20">
      <c r="A602" s="1" t="s">
        <v>372</v>
      </c>
      <c r="B602" s="1" t="str" cm="1">
        <f t="array" ref="B602">IF(A602="","",_xlfn.IFS(COUNTIF($U:$U,A602)&gt;0,"All uploaded",COUNTIF($V:$V,A602)&gt;0,"Partly uploaded",COUNTIF($W:$X,A602)&gt;0,"Not uploaded",TRUE,"Not classified"))</f>
        <v>Not uploaded</v>
      </c>
      <c r="C602" s="1" t="str" cm="1">
        <f t="array" ref="C602">_xlfn.SWITCH(TRIM(I602),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02" s="1"/>
      <c r="E602" s="1"/>
      <c r="F602" s="1" t="str" cm="1">
        <f t="array" ref="F602">_xlfn.LET(
_xlpm.status,UPPER(TRIM(B602&amp;"")),
_xlpm.risk,UPPER(TRIM(C602&amp;"")),
_xlpm.notify,UPPER(TRIM(D602&amp;"")),
_xlpm.form,UPPER(TRIM(E602&amp;"")),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02" s="1" t="str">
        <f t="shared" si="9"/>
        <v>NA</v>
      </c>
      <c r="H602" s="5"/>
      <c r="I602" s="1" t="s">
        <v>37</v>
      </c>
      <c r="J602" s="1"/>
      <c r="K602" s="1" t="s">
        <v>362</v>
      </c>
      <c r="L602" s="1" t="s">
        <v>21</v>
      </c>
      <c r="M602" s="1"/>
      <c r="N602" s="1" t="s">
        <v>373</v>
      </c>
      <c r="O602" s="1" t="s">
        <v>19</v>
      </c>
      <c r="P602" s="1" t="s">
        <v>18</v>
      </c>
      <c r="Q602" s="1" t="s">
        <v>20</v>
      </c>
      <c r="R602" s="1"/>
      <c r="S602" s="1"/>
      <c r="T602" s="1"/>
    </row>
    <row r="603" spans="1:20">
      <c r="A603" s="1" t="s">
        <v>365</v>
      </c>
      <c r="B603" s="1" t="str" cm="1">
        <f t="array" ref="B603">IF(A603="","",_xlfn.IFS(COUNTIF($U:$U,A603)&gt;0,"All uploaded",COUNTIF($V:$V,A603)&gt;0,"Partly uploaded",COUNTIF($W:$X,A603)&gt;0,"Not uploaded",TRUE,"Not classified"))</f>
        <v>Partly uploaded</v>
      </c>
      <c r="C603" s="1" t="str" cm="1">
        <f t="array" ref="C603">_xlfn.SWITCH(TRIM(I603),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03" s="1"/>
      <c r="E603" s="1"/>
      <c r="F603" s="1" t="str" cm="1">
        <f t="array" ref="F603">_xlfn.LET(
_xlpm.status,UPPER(TRIM(B603&amp;"")),
_xlpm.risk,UPPER(TRIM(C603&amp;"")),
_xlpm.notify,UPPER(TRIM(D603&amp;"")),
_xlpm.form,UPPER(TRIM(E603&amp;"")),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03" s="1" t="str">
        <f t="shared" si="9"/>
        <v>NA</v>
      </c>
      <c r="H603" s="5"/>
      <c r="I603" s="1" t="s">
        <v>66</v>
      </c>
      <c r="J603" s="1"/>
      <c r="K603" s="1" t="s">
        <v>362</v>
      </c>
      <c r="L603" s="1" t="s">
        <v>23</v>
      </c>
      <c r="M603" s="1"/>
      <c r="N603" s="1" t="s">
        <v>366</v>
      </c>
      <c r="O603" s="1" t="s">
        <v>19</v>
      </c>
      <c r="P603" s="1" t="s">
        <v>18</v>
      </c>
      <c r="Q603" s="1" t="s">
        <v>20</v>
      </c>
      <c r="R603" s="1"/>
      <c r="S603" s="1"/>
      <c r="T603" s="1"/>
    </row>
    <row r="604" spans="1:20">
      <c r="A604" s="1" t="s">
        <v>375</v>
      </c>
      <c r="B604" s="1" t="str" cm="1">
        <f t="array" ref="B604">IF(A604="","",_xlfn.IFS(COUNTIF($U:$U,A604)&gt;0,"All uploaded",COUNTIF($V:$V,A604)&gt;0,"Partly uploaded",COUNTIF($W:$X,A604)&gt;0,"Not uploaded",TRUE,"Not classified"))</f>
        <v>Not uploaded</v>
      </c>
      <c r="C604" s="1" t="str" cm="1">
        <f t="array" ref="C604">_xlfn.SWITCH(TRIM(I604),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04" s="1"/>
      <c r="E604" s="1"/>
      <c r="F604" s="1" t="str" cm="1">
        <f t="array" ref="F604">_xlfn.LET(
_xlpm.status,UPPER(TRIM(B604&amp;"")),
_xlpm.risk,UPPER(TRIM(C604&amp;"")),
_xlpm.notify,UPPER(TRIM(D604&amp;"")),
_xlpm.form,UPPER(TRIM(E604&amp;"")),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04" s="1" t="str">
        <f t="shared" si="9"/>
        <v>NA</v>
      </c>
      <c r="H604" s="5"/>
      <c r="I604" s="1" t="s">
        <v>37</v>
      </c>
      <c r="J604" s="1"/>
      <c r="K604" s="1" t="s">
        <v>374</v>
      </c>
      <c r="L604" s="1" t="s">
        <v>21</v>
      </c>
      <c r="M604" s="1"/>
      <c r="N604" s="1" t="s">
        <v>376</v>
      </c>
      <c r="O604" s="1" t="s">
        <v>19</v>
      </c>
      <c r="P604" s="1" t="s">
        <v>18</v>
      </c>
      <c r="Q604" s="1" t="s">
        <v>20</v>
      </c>
      <c r="R604" s="1"/>
      <c r="S604" s="1"/>
      <c r="T604" s="1"/>
    </row>
    <row r="605" spans="1:20">
      <c r="A605" s="1" t="s">
        <v>378</v>
      </c>
      <c r="B605" s="1" t="str" cm="1">
        <f t="array" ref="B605">IF(A605="","",_xlfn.IFS(COUNTIF($U:$U,A605)&gt;0,"All uploaded",COUNTIF($V:$V,A605)&gt;0,"Partly uploaded",COUNTIF($W:$X,A605)&gt;0,"Not uploaded",TRUE,"Not classified"))</f>
        <v>Not uploaded</v>
      </c>
      <c r="C605" s="1" t="str" cm="1">
        <f t="array" ref="C605">_xlfn.SWITCH(TRIM(I605),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05" s="1"/>
      <c r="E605" s="1"/>
      <c r="F605" s="1" t="str" cm="1">
        <f t="array" ref="F605">_xlfn.LET(
_xlpm.status,UPPER(TRIM(B605&amp;"")),
_xlpm.risk,UPPER(TRIM(C605&amp;"")),
_xlpm.notify,UPPER(TRIM(D605&amp;"")),
_xlpm.form,UPPER(TRIM(E605&amp;"")),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05" s="1" t="str">
        <f t="shared" si="9"/>
        <v>NA</v>
      </c>
      <c r="H605" s="5"/>
      <c r="I605" s="1" t="s">
        <v>37</v>
      </c>
      <c r="J605" s="1"/>
      <c r="K605" s="1" t="s">
        <v>377</v>
      </c>
      <c r="L605" s="1" t="s">
        <v>21</v>
      </c>
      <c r="M605" s="1"/>
      <c r="N605" s="1" t="s">
        <v>376</v>
      </c>
      <c r="O605" s="1" t="s">
        <v>19</v>
      </c>
      <c r="P605" s="1" t="s">
        <v>18</v>
      </c>
      <c r="Q605" s="1" t="s">
        <v>20</v>
      </c>
      <c r="R605" s="1"/>
      <c r="S605" s="1"/>
      <c r="T605" s="1"/>
    </row>
    <row r="606" spans="1:20">
      <c r="A606" s="1" t="s">
        <v>385</v>
      </c>
      <c r="B606" s="1" t="str" cm="1">
        <f t="array" ref="B606">IF(A606="","",_xlfn.IFS(COUNTIF($U:$U,A606)&gt;0,"All uploaded",COUNTIF($V:$V,A606)&gt;0,"Partly uploaded",COUNTIF($W:$X,A606)&gt;0,"Not uploaded",TRUE,"Not classified"))</f>
        <v>Not uploaded</v>
      </c>
      <c r="C606" s="1" t="str" cm="1">
        <f t="array" ref="C606">_xlfn.SWITCH(TRIM(I606),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06" s="1"/>
      <c r="E606" s="1"/>
      <c r="F606" s="1" t="str" cm="1">
        <f t="array" ref="F606">_xlfn.LET(
_xlpm.status,UPPER(TRIM(B606&amp;"")),
_xlpm.risk,UPPER(TRIM(C606&amp;"")),
_xlpm.notify,UPPER(TRIM(D606&amp;"")),
_xlpm.form,UPPER(TRIM(E606&amp;"")),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06" s="1" t="str">
        <f t="shared" si="9"/>
        <v>Required</v>
      </c>
      <c r="H606" s="5"/>
      <c r="I606" s="1" t="s">
        <v>54</v>
      </c>
      <c r="J606" s="1"/>
      <c r="K606" s="1" t="s">
        <v>379</v>
      </c>
      <c r="L606" s="1" t="s">
        <v>22</v>
      </c>
      <c r="M606" s="1"/>
      <c r="N606" s="1" t="s">
        <v>386</v>
      </c>
      <c r="O606" s="1" t="s">
        <v>19</v>
      </c>
      <c r="P606" s="1" t="s">
        <v>18</v>
      </c>
      <c r="Q606" s="1" t="s">
        <v>20</v>
      </c>
      <c r="R606" s="1"/>
      <c r="S606" s="1"/>
      <c r="T606" s="1"/>
    </row>
    <row r="607" spans="1:20">
      <c r="A607" s="1" t="s">
        <v>380</v>
      </c>
      <c r="B607" s="1" t="str" cm="1">
        <f t="array" ref="B607">IF(A607="","",_xlfn.IFS(COUNTIF($U:$U,A607)&gt;0,"All uploaded",COUNTIF($V:$V,A607)&gt;0,"Partly uploaded",COUNTIF($W:$X,A607)&gt;0,"Not uploaded",TRUE,"Not classified"))</f>
        <v>Partly uploaded</v>
      </c>
      <c r="C607" s="1" t="str" cm="1">
        <f t="array" ref="C607">_xlfn.SWITCH(TRIM(I607),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07" s="1"/>
      <c r="E607" s="1"/>
      <c r="F607" s="1" t="str" cm="1">
        <f t="array" ref="F607">_xlfn.LET(
_xlpm.status,UPPER(TRIM(B607&amp;"")),
_xlpm.risk,UPPER(TRIM(C607&amp;"")),
_xlpm.notify,UPPER(TRIM(D607&amp;"")),
_xlpm.form,UPPER(TRIM(E607&amp;"")),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07" s="1" t="str">
        <f t="shared" si="9"/>
        <v>Required</v>
      </c>
      <c r="H607" s="5"/>
      <c r="I607" s="1" t="s">
        <v>54</v>
      </c>
      <c r="J607" s="1"/>
      <c r="K607" s="1" t="s">
        <v>379</v>
      </c>
      <c r="L607" s="1" t="s">
        <v>22</v>
      </c>
      <c r="M607" s="1"/>
      <c r="N607" s="1" t="s">
        <v>381</v>
      </c>
      <c r="O607" s="1" t="s">
        <v>19</v>
      </c>
      <c r="P607" s="1" t="s">
        <v>18</v>
      </c>
      <c r="Q607" s="1" t="s">
        <v>20</v>
      </c>
      <c r="R607" s="1"/>
      <c r="S607" s="1"/>
      <c r="T607" s="1"/>
    </row>
    <row r="608" spans="1:20">
      <c r="A608" s="1" t="s">
        <v>393</v>
      </c>
      <c r="B608" s="1" t="str" cm="1">
        <f t="array" ref="B608">IF(A608="","",_xlfn.IFS(COUNTIF($U:$U,A608)&gt;0,"All uploaded",COUNTIF($V:$V,A608)&gt;0,"Partly uploaded",COUNTIF($W:$X,A608)&gt;0,"Not uploaded",TRUE,"Not classified"))</f>
        <v>Not uploaded</v>
      </c>
      <c r="C608" s="1" t="str" cm="1">
        <f t="array" ref="C608">_xlfn.SWITCH(TRIM(I608),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08" s="1"/>
      <c r="E608" s="1"/>
      <c r="F608" s="1" t="str" cm="1">
        <f t="array" ref="F608">_xlfn.LET(
_xlpm.status,UPPER(TRIM(B608&amp;"")),
_xlpm.risk,UPPER(TRIM(C608&amp;"")),
_xlpm.notify,UPPER(TRIM(D608&amp;"")),
_xlpm.form,UPPER(TRIM(E608&amp;"")),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08" s="1" t="str">
        <f t="shared" si="9"/>
        <v>Required</v>
      </c>
      <c r="H608" s="5"/>
      <c r="I608" s="1" t="s">
        <v>54</v>
      </c>
      <c r="J608" s="1"/>
      <c r="K608" s="1" t="s">
        <v>379</v>
      </c>
      <c r="L608" s="1" t="s">
        <v>22</v>
      </c>
      <c r="M608" s="1"/>
      <c r="N608" s="1" t="s">
        <v>394</v>
      </c>
      <c r="O608" s="1" t="s">
        <v>19</v>
      </c>
      <c r="P608" s="1" t="s">
        <v>18</v>
      </c>
      <c r="Q608" s="1" t="s">
        <v>20</v>
      </c>
      <c r="R608" s="1"/>
      <c r="S608" s="1"/>
      <c r="T608" s="1"/>
    </row>
    <row r="609" spans="1:20">
      <c r="A609" s="1" t="s">
        <v>402</v>
      </c>
      <c r="B609" s="1" t="str" cm="1">
        <f t="array" ref="B609">IF(A609="","",_xlfn.IFS(COUNTIF($U:$U,A609)&gt;0,"All uploaded",COUNTIF($V:$V,A609)&gt;0,"Partly uploaded",COUNTIF($W:$X,A609)&gt;0,"Not uploaded",TRUE,"Not classified"))</f>
        <v>Not uploaded</v>
      </c>
      <c r="C609" s="1" t="str" cm="1">
        <f t="array" ref="C609">_xlfn.SWITCH(TRIM(I609),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09" s="1"/>
      <c r="E609" s="1"/>
      <c r="F609" s="1" t="str" cm="1">
        <f t="array" ref="F609">_xlfn.LET(
_xlpm.status,UPPER(TRIM(B609&amp;"")),
_xlpm.risk,UPPER(TRIM(C609&amp;"")),
_xlpm.notify,UPPER(TRIM(D609&amp;"")),
_xlpm.form,UPPER(TRIM(E609&amp;"")),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09" s="1" t="str">
        <f t="shared" si="9"/>
        <v>NA</v>
      </c>
      <c r="H609" s="5"/>
      <c r="I609" s="1" t="s">
        <v>37</v>
      </c>
      <c r="J609" s="1"/>
      <c r="K609" s="1" t="s">
        <v>401</v>
      </c>
      <c r="L609" s="1" t="s">
        <v>21</v>
      </c>
      <c r="M609" s="1"/>
      <c r="N609" s="1" t="s">
        <v>376</v>
      </c>
      <c r="O609" s="1" t="s">
        <v>19</v>
      </c>
      <c r="P609" s="1" t="s">
        <v>18</v>
      </c>
      <c r="Q609" s="1" t="s">
        <v>20</v>
      </c>
      <c r="R609" s="1"/>
      <c r="S609" s="1"/>
      <c r="T609" s="1"/>
    </row>
    <row r="610" spans="1:20">
      <c r="A610" s="1" t="s">
        <v>403</v>
      </c>
      <c r="B610" s="1" t="str" cm="1">
        <f t="array" ref="B610">IF(A610="","",_xlfn.IFS(COUNTIF($U:$U,A610)&gt;0,"All uploaded",COUNTIF($V:$V,A610)&gt;0,"Partly uploaded",COUNTIF($W:$X,A610)&gt;0,"Not uploaded",TRUE,"Not classified"))</f>
        <v>Not uploaded</v>
      </c>
      <c r="C610" s="1" t="str" cm="1">
        <f t="array" ref="C610">_xlfn.SWITCH(TRIM(I610),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10" s="1"/>
      <c r="E610" s="1"/>
      <c r="F610" s="1" t="str" cm="1">
        <f t="array" ref="F610">_xlfn.LET(
_xlpm.status,UPPER(TRIM(B610&amp;"")),
_xlpm.risk,UPPER(TRIM(C610&amp;"")),
_xlpm.notify,UPPER(TRIM(D610&amp;"")),
_xlpm.form,UPPER(TRIM(E610&amp;"")),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10" s="1" t="str">
        <f t="shared" si="9"/>
        <v>Required</v>
      </c>
      <c r="H610" s="5"/>
      <c r="I610" s="1" t="s">
        <v>26</v>
      </c>
      <c r="J610" s="1"/>
      <c r="K610" s="1" t="s">
        <v>401</v>
      </c>
      <c r="L610" s="1" t="s">
        <v>25</v>
      </c>
      <c r="M610" s="1"/>
      <c r="N610" s="1" t="s">
        <v>404</v>
      </c>
      <c r="O610" s="1" t="s">
        <v>19</v>
      </c>
      <c r="P610" s="1" t="s">
        <v>18</v>
      </c>
      <c r="Q610" s="1" t="s">
        <v>20</v>
      </c>
      <c r="R610" s="1"/>
      <c r="S610" s="1"/>
      <c r="T610" s="1"/>
    </row>
    <row r="611" spans="1:20">
      <c r="A611" s="1" t="s">
        <v>412</v>
      </c>
      <c r="B611" s="1" t="str" cm="1">
        <f t="array" ref="B611">IF(A611="","",_xlfn.IFS(COUNTIF($U:$U,A611)&gt;0,"All uploaded",COUNTIF($V:$V,A611)&gt;0,"Partly uploaded",COUNTIF($W:$X,A611)&gt;0,"Not uploaded",TRUE,"Not classified"))</f>
        <v>Partly uploaded</v>
      </c>
      <c r="C611" s="1" t="str" cm="1">
        <f t="array" ref="C611">_xlfn.SWITCH(TRIM(I611),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11" s="1"/>
      <c r="E611" s="1"/>
      <c r="F611" s="1" t="str" cm="1">
        <f t="array" ref="F611">_xlfn.LET(
_xlpm.status,UPPER(TRIM(B611&amp;"")),
_xlpm.risk,UPPER(TRIM(C611&amp;"")),
_xlpm.notify,UPPER(TRIM(D611&amp;"")),
_xlpm.form,UPPER(TRIM(E611&amp;"")),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11" s="1" t="str">
        <f t="shared" si="9"/>
        <v>Required</v>
      </c>
      <c r="H611" s="5"/>
      <c r="I611" s="1" t="s">
        <v>26</v>
      </c>
      <c r="J611" s="1"/>
      <c r="K611" s="1" t="s">
        <v>411</v>
      </c>
      <c r="L611" s="1" t="s">
        <v>25</v>
      </c>
      <c r="M611" s="1"/>
      <c r="N611" s="1" t="s">
        <v>104</v>
      </c>
      <c r="O611" s="1" t="s">
        <v>19</v>
      </c>
      <c r="P611" s="1" t="s">
        <v>18</v>
      </c>
      <c r="Q611" s="1" t="s">
        <v>20</v>
      </c>
      <c r="R611" s="1"/>
      <c r="S611" s="1"/>
      <c r="T611" s="1"/>
    </row>
    <row r="612" spans="1:20">
      <c r="A612" s="1" t="s">
        <v>416</v>
      </c>
      <c r="B612" s="1" t="str" cm="1">
        <f t="array" ref="B612">IF(A612="","",_xlfn.IFS(COUNTIF($U:$U,A612)&gt;0,"All uploaded",COUNTIF($V:$V,A612)&gt;0,"Partly uploaded",COUNTIF($W:$X,A612)&gt;0,"Not uploaded",TRUE,"Not classified"))</f>
        <v>Not uploaded</v>
      </c>
      <c r="C612" s="1" t="str" cm="1">
        <f t="array" ref="C612">_xlfn.SWITCH(TRIM(I612),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12" s="1"/>
      <c r="E612" s="1"/>
      <c r="F612" s="1" t="str" cm="1">
        <f t="array" ref="F612">_xlfn.LET(
_xlpm.status,UPPER(TRIM(B612&amp;"")),
_xlpm.risk,UPPER(TRIM(C612&amp;"")),
_xlpm.notify,UPPER(TRIM(D612&amp;"")),
_xlpm.form,UPPER(TRIM(E612&amp;"")),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12" s="1" t="str">
        <f t="shared" si="9"/>
        <v>NA</v>
      </c>
      <c r="H612" s="5"/>
      <c r="I612" s="1" t="s">
        <v>37</v>
      </c>
      <c r="J612" s="1"/>
      <c r="K612" s="1" t="s">
        <v>411</v>
      </c>
      <c r="L612" s="1" t="s">
        <v>21</v>
      </c>
      <c r="M612" s="1"/>
      <c r="N612" s="1" t="s">
        <v>115</v>
      </c>
      <c r="O612" s="1" t="s">
        <v>19</v>
      </c>
      <c r="P612" s="1" t="s">
        <v>18</v>
      </c>
      <c r="Q612" s="1" t="s">
        <v>20</v>
      </c>
      <c r="R612" s="1"/>
      <c r="S612" s="1"/>
      <c r="T612" s="1"/>
    </row>
    <row r="613" spans="1:20">
      <c r="A613" s="1" t="s">
        <v>417</v>
      </c>
      <c r="B613" s="1" t="str" cm="1">
        <f t="array" ref="B613">IF(A613="","",_xlfn.IFS(COUNTIF($U:$U,A613)&gt;0,"All uploaded",COUNTIF($V:$V,A613)&gt;0,"Partly uploaded",COUNTIF($W:$X,A613)&gt;0,"Not uploaded",TRUE,"Not classified"))</f>
        <v>Not uploaded</v>
      </c>
      <c r="C613" s="1" t="str" cm="1">
        <f t="array" ref="C613">_xlfn.SWITCH(TRIM(I613),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13" s="1"/>
      <c r="E613" s="1"/>
      <c r="F613" s="1" t="str" cm="1">
        <f t="array" ref="F613">_xlfn.LET(
_xlpm.status,UPPER(TRIM(B613&amp;"")),
_xlpm.risk,UPPER(TRIM(C613&amp;"")),
_xlpm.notify,UPPER(TRIM(D613&amp;"")),
_xlpm.form,UPPER(TRIM(E613&amp;"")),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13" s="1" t="str">
        <f t="shared" si="9"/>
        <v>Required</v>
      </c>
      <c r="H613" s="5"/>
      <c r="I613" s="1" t="s">
        <v>118</v>
      </c>
      <c r="J613" s="1"/>
      <c r="K613" s="1" t="s">
        <v>411</v>
      </c>
      <c r="L613" s="1" t="s">
        <v>27</v>
      </c>
      <c r="M613" s="1"/>
      <c r="N613" s="1" t="s">
        <v>418</v>
      </c>
      <c r="O613" s="1" t="s">
        <v>19</v>
      </c>
      <c r="P613" s="1" t="s">
        <v>18</v>
      </c>
      <c r="Q613" s="1" t="s">
        <v>20</v>
      </c>
      <c r="R613" s="1"/>
      <c r="S613" s="1"/>
      <c r="T613" s="1"/>
    </row>
    <row r="614" spans="1:20">
      <c r="A614" s="1" t="s">
        <v>432</v>
      </c>
      <c r="B614" s="1" t="str" cm="1">
        <f t="array" ref="B614">IF(A614="","",_xlfn.IFS(COUNTIF($U:$U,A614)&gt;0,"All uploaded",COUNTIF($V:$V,A614)&gt;0,"Partly uploaded",COUNTIF($W:$X,A614)&gt;0,"Not uploaded",TRUE,"Not classified"))</f>
        <v>Not uploaded</v>
      </c>
      <c r="C614" s="1" t="str" cm="1">
        <f t="array" ref="C614">_xlfn.SWITCH(TRIM(I614),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14" s="1"/>
      <c r="E614" s="1"/>
      <c r="F614" s="1" t="str" cm="1">
        <f t="array" ref="F614">_xlfn.LET(
_xlpm.status,UPPER(TRIM(B614&amp;"")),
_xlpm.risk,UPPER(TRIM(C614&amp;"")),
_xlpm.notify,UPPER(TRIM(D614&amp;"")),
_xlpm.form,UPPER(TRIM(E614&amp;"")),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14" s="1" t="str">
        <f t="shared" si="9"/>
        <v>NA</v>
      </c>
      <c r="H614" s="5"/>
      <c r="I614" s="1" t="s">
        <v>37</v>
      </c>
      <c r="J614" s="1"/>
      <c r="K614" s="1" t="s">
        <v>419</v>
      </c>
      <c r="L614" s="1" t="s">
        <v>21</v>
      </c>
      <c r="M614" s="1"/>
      <c r="N614" s="1" t="s">
        <v>153</v>
      </c>
      <c r="O614" s="1" t="s">
        <v>19</v>
      </c>
      <c r="P614" s="1" t="s">
        <v>18</v>
      </c>
      <c r="Q614" s="1" t="s">
        <v>20</v>
      </c>
      <c r="R614" s="1"/>
      <c r="S614" s="1"/>
      <c r="T614" s="1"/>
    </row>
    <row r="615" spans="1:20">
      <c r="A615" s="1" t="s">
        <v>420</v>
      </c>
      <c r="B615" s="1" t="str" cm="1">
        <f t="array" ref="B615">IF(A615="","",_xlfn.IFS(COUNTIF($U:$U,A615)&gt;0,"All uploaded",COUNTIF($V:$V,A615)&gt;0,"Partly uploaded",COUNTIF($W:$X,A615)&gt;0,"Not uploaded",TRUE,"Not classified"))</f>
        <v>Partly uploaded</v>
      </c>
      <c r="C615" s="1" t="str" cm="1">
        <f t="array" ref="C615">_xlfn.SWITCH(TRIM(I615),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15" s="1"/>
      <c r="E615" s="1"/>
      <c r="F615" s="1" t="str" cm="1">
        <f t="array" ref="F615">_xlfn.LET(
_xlpm.status,UPPER(TRIM(B615&amp;"")),
_xlpm.risk,UPPER(TRIM(C615&amp;"")),
_xlpm.notify,UPPER(TRIM(D615&amp;"")),
_xlpm.form,UPPER(TRIM(E615&amp;"")),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15" s="1" t="str">
        <f t="shared" si="9"/>
        <v>Required</v>
      </c>
      <c r="H615" s="5"/>
      <c r="I615" s="1" t="s">
        <v>87</v>
      </c>
      <c r="J615" s="1"/>
      <c r="K615" s="1" t="s">
        <v>419</v>
      </c>
      <c r="L615" s="1" t="s">
        <v>27</v>
      </c>
      <c r="M615" s="1"/>
      <c r="N615" s="1" t="s">
        <v>421</v>
      </c>
      <c r="O615" s="1" t="s">
        <v>19</v>
      </c>
      <c r="P615" s="1" t="s">
        <v>18</v>
      </c>
      <c r="Q615" s="1" t="s">
        <v>20</v>
      </c>
      <c r="R615" s="1"/>
      <c r="S615" s="1"/>
      <c r="T615" s="1"/>
    </row>
    <row r="616" spans="1:20">
      <c r="A616" s="1" t="s">
        <v>437</v>
      </c>
      <c r="B616" s="1" t="str" cm="1">
        <f t="array" ref="B616">IF(A616="","",_xlfn.IFS(COUNTIF($U:$U,A616)&gt;0,"All uploaded",COUNTIF($V:$V,A616)&gt;0,"Partly uploaded",COUNTIF($W:$X,A616)&gt;0,"Not uploaded",TRUE,"Not classified"))</f>
        <v>Not uploaded</v>
      </c>
      <c r="C616" s="1" t="str" cm="1">
        <f t="array" ref="C616">_xlfn.SWITCH(TRIM(I616),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16" s="1"/>
      <c r="E616" s="1"/>
      <c r="F616" s="1" t="str" cm="1">
        <f t="array" ref="F616">_xlfn.LET(
_xlpm.status,UPPER(TRIM(B616&amp;"")),
_xlpm.risk,UPPER(TRIM(C616&amp;"")),
_xlpm.notify,UPPER(TRIM(D616&amp;"")),
_xlpm.form,UPPER(TRIM(E616&amp;"")),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16" s="1" t="str">
        <f t="shared" si="9"/>
        <v>NA</v>
      </c>
      <c r="H616" s="5"/>
      <c r="I616" s="1" t="s">
        <v>37</v>
      </c>
      <c r="J616" s="1"/>
      <c r="K616" s="1" t="s">
        <v>419</v>
      </c>
      <c r="L616" s="1" t="s">
        <v>21</v>
      </c>
      <c r="M616" s="1"/>
      <c r="N616" s="1" t="s">
        <v>83</v>
      </c>
      <c r="O616" s="1" t="s">
        <v>19</v>
      </c>
      <c r="P616" s="1" t="s">
        <v>18</v>
      </c>
      <c r="Q616" s="1" t="s">
        <v>20</v>
      </c>
      <c r="R616" s="1"/>
      <c r="S616" s="1"/>
      <c r="T616" s="1"/>
    </row>
    <row r="617" spans="1:20">
      <c r="A617" s="1" t="s">
        <v>439</v>
      </c>
      <c r="B617" s="1" t="str" cm="1">
        <f t="array" ref="B617">IF(A617="","",_xlfn.IFS(COUNTIF($U:$U,A617)&gt;0,"All uploaded",COUNTIF($V:$V,A617)&gt;0,"Partly uploaded",COUNTIF($W:$X,A617)&gt;0,"Not uploaded",TRUE,"Not classified"))</f>
        <v>Partly uploaded</v>
      </c>
      <c r="C617" s="1" t="str" cm="1">
        <f t="array" ref="C617">_xlfn.SWITCH(TRIM(I617),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17" s="1"/>
      <c r="E617" s="1"/>
      <c r="F617" s="1" t="str" cm="1">
        <f t="array" ref="F617">_xlfn.LET(
_xlpm.status,UPPER(TRIM(B617&amp;"")),
_xlpm.risk,UPPER(TRIM(C617&amp;"")),
_xlpm.notify,UPPER(TRIM(D617&amp;"")),
_xlpm.form,UPPER(TRIM(E617&amp;"")),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17" s="1" t="str">
        <f t="shared" si="9"/>
        <v>Required</v>
      </c>
      <c r="H617" s="5"/>
      <c r="I617" s="1" t="s">
        <v>101</v>
      </c>
      <c r="J617" s="1"/>
      <c r="K617" s="1" t="s">
        <v>438</v>
      </c>
      <c r="L617" s="1" t="s">
        <v>27</v>
      </c>
      <c r="M617" s="1"/>
      <c r="N617" s="1" t="s">
        <v>440</v>
      </c>
      <c r="O617" s="1" t="s">
        <v>19</v>
      </c>
      <c r="P617" s="1" t="s">
        <v>18</v>
      </c>
      <c r="Q617" s="1" t="s">
        <v>20</v>
      </c>
      <c r="R617" s="1"/>
      <c r="S617" s="1"/>
      <c r="T617" s="1"/>
    </row>
    <row r="618" spans="1:20">
      <c r="A618" s="1" t="s">
        <v>463</v>
      </c>
      <c r="B618" s="1" t="str" cm="1">
        <f t="array" ref="B618">IF(A618="","",_xlfn.IFS(COUNTIF($U:$U,A618)&gt;0,"All uploaded",COUNTIF($V:$V,A618)&gt;0,"Partly uploaded",COUNTIF($W:$X,A618)&gt;0,"Not uploaded",TRUE,"Not classified"))</f>
        <v>Not uploaded</v>
      </c>
      <c r="C618" s="1" t="str" cm="1">
        <f t="array" ref="C618">_xlfn.SWITCH(TRIM(I618),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18" s="1"/>
      <c r="E618" s="1"/>
      <c r="F618" s="1" t="str" cm="1">
        <f t="array" ref="F618">_xlfn.LET(
_xlpm.status,UPPER(TRIM(B618&amp;"")),
_xlpm.risk,UPPER(TRIM(C618&amp;"")),
_xlpm.notify,UPPER(TRIM(D618&amp;"")),
_xlpm.form,UPPER(TRIM(E618&amp;"")),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18" s="1" t="str">
        <f t="shared" si="9"/>
        <v>Required</v>
      </c>
      <c r="H618" s="5"/>
      <c r="I618" s="1" t="s">
        <v>98</v>
      </c>
      <c r="J618" s="1"/>
      <c r="K618" s="1" t="s">
        <v>438</v>
      </c>
      <c r="L618" s="1" t="s">
        <v>27</v>
      </c>
      <c r="M618" s="1"/>
      <c r="N618" s="1" t="s">
        <v>449</v>
      </c>
      <c r="O618" s="1" t="s">
        <v>19</v>
      </c>
      <c r="P618" s="1" t="s">
        <v>18</v>
      </c>
      <c r="Q618" s="1" t="s">
        <v>20</v>
      </c>
      <c r="R618" s="1"/>
      <c r="S618" s="1"/>
      <c r="T618" s="1"/>
    </row>
    <row r="619" spans="1:20">
      <c r="A619" s="1" t="s">
        <v>448</v>
      </c>
      <c r="B619" s="1" t="str" cm="1">
        <f t="array" ref="B619">IF(A619="","",_xlfn.IFS(COUNTIF($U:$U,A619)&gt;0,"All uploaded",COUNTIF($V:$V,A619)&gt;0,"Partly uploaded",COUNTIF($W:$X,A619)&gt;0,"Not uploaded",TRUE,"Not classified"))</f>
        <v>Partly uploaded</v>
      </c>
      <c r="C619" s="1" t="str" cm="1">
        <f t="array" ref="C619">_xlfn.SWITCH(TRIM(I619),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19" s="1"/>
      <c r="E619" s="1"/>
      <c r="F619" s="1" t="str" cm="1">
        <f t="array" ref="F619">_xlfn.LET(
_xlpm.status,UPPER(TRIM(B619&amp;"")),
_xlpm.risk,UPPER(TRIM(C619&amp;"")),
_xlpm.notify,UPPER(TRIM(D619&amp;"")),
_xlpm.form,UPPER(TRIM(E619&amp;"")),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19" s="1" t="str">
        <f t="shared" si="9"/>
        <v>Required</v>
      </c>
      <c r="H619" s="5"/>
      <c r="I619" s="1" t="s">
        <v>98</v>
      </c>
      <c r="J619" s="1"/>
      <c r="K619" s="1" t="s">
        <v>438</v>
      </c>
      <c r="L619" s="1" t="s">
        <v>27</v>
      </c>
      <c r="M619" s="1"/>
      <c r="N619" s="1" t="s">
        <v>449</v>
      </c>
      <c r="O619" s="1" t="s">
        <v>19</v>
      </c>
      <c r="P619" s="1" t="s">
        <v>18</v>
      </c>
      <c r="Q619" s="1" t="s">
        <v>20</v>
      </c>
      <c r="R619" s="1"/>
      <c r="S619" s="1"/>
      <c r="T619" s="1"/>
    </row>
    <row r="620" spans="1:20">
      <c r="A620" s="1" t="s">
        <v>464</v>
      </c>
      <c r="B620" s="1" t="str" cm="1">
        <f t="array" ref="B620">IF(A620="","",_xlfn.IFS(COUNTIF($U:$U,A620)&gt;0,"All uploaded",COUNTIF($V:$V,A620)&gt;0,"Partly uploaded",COUNTIF($W:$X,A620)&gt;0,"Not uploaded",TRUE,"Not classified"))</f>
        <v>Not uploaded</v>
      </c>
      <c r="C620" s="1" t="str" cm="1">
        <f t="array" ref="C620">_xlfn.SWITCH(TRIM(I620),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20" s="1"/>
      <c r="E620" s="1"/>
      <c r="F620" s="1" t="str" cm="1">
        <f t="array" ref="F620">_xlfn.LET(
_xlpm.status,UPPER(TRIM(B620&amp;"")),
_xlpm.risk,UPPER(TRIM(C620&amp;"")),
_xlpm.notify,UPPER(TRIM(D620&amp;"")),
_xlpm.form,UPPER(TRIM(E620&amp;"")),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20" s="1" t="str">
        <f t="shared" si="9"/>
        <v>NA</v>
      </c>
      <c r="H620" s="5"/>
      <c r="I620" s="1" t="s">
        <v>37</v>
      </c>
      <c r="J620" s="1"/>
      <c r="K620" s="1" t="s">
        <v>438</v>
      </c>
      <c r="L620" s="1" t="s">
        <v>21</v>
      </c>
      <c r="M620" s="1"/>
      <c r="N620" s="1" t="s">
        <v>83</v>
      </c>
      <c r="O620" s="1" t="s">
        <v>19</v>
      </c>
      <c r="P620" s="1" t="s">
        <v>18</v>
      </c>
      <c r="Q620" s="1" t="s">
        <v>20</v>
      </c>
      <c r="R620" s="1"/>
      <c r="S620" s="1"/>
      <c r="T620" s="1"/>
    </row>
    <row r="621" spans="1:20">
      <c r="A621" s="1" t="s">
        <v>465</v>
      </c>
      <c r="B621" s="1" t="str" cm="1">
        <f t="array" ref="B621">IF(A621="","",_xlfn.IFS(COUNTIF($U:$U,A621)&gt;0,"All uploaded",COUNTIF($V:$V,A621)&gt;0,"Partly uploaded",COUNTIF($W:$X,A621)&gt;0,"Not uploaded",TRUE,"Not classified"))</f>
        <v>Not uploaded</v>
      </c>
      <c r="C621" s="1" t="str" cm="1">
        <f t="array" ref="C621">_xlfn.SWITCH(TRIM(I621),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21" s="1"/>
      <c r="E621" s="1"/>
      <c r="F621" s="1" t="str" cm="1">
        <f t="array" ref="F621">_xlfn.LET(
_xlpm.status,UPPER(TRIM(B621&amp;"")),
_xlpm.risk,UPPER(TRIM(C621&amp;"")),
_xlpm.notify,UPPER(TRIM(D621&amp;"")),
_xlpm.form,UPPER(TRIM(E621&amp;"")),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21" s="1" t="str">
        <f t="shared" si="9"/>
        <v>NA</v>
      </c>
      <c r="H621" s="5"/>
      <c r="I621" s="1" t="s">
        <v>37</v>
      </c>
      <c r="J621" s="1"/>
      <c r="K621" s="1" t="s">
        <v>438</v>
      </c>
      <c r="L621" s="1" t="s">
        <v>21</v>
      </c>
      <c r="M621" s="1"/>
      <c r="N621" s="1" t="s">
        <v>83</v>
      </c>
      <c r="O621" s="1" t="s">
        <v>19</v>
      </c>
      <c r="P621" s="1" t="s">
        <v>18</v>
      </c>
      <c r="Q621" s="1" t="s">
        <v>20</v>
      </c>
      <c r="R621" s="1"/>
      <c r="S621" s="1"/>
      <c r="T621" s="1"/>
    </row>
    <row r="622" spans="1:20">
      <c r="A622" s="1" t="s">
        <v>467</v>
      </c>
      <c r="B622" s="1" t="str" cm="1">
        <f t="array" ref="B622">IF(A622="","",_xlfn.IFS(COUNTIF($U:$U,A622)&gt;0,"All uploaded",COUNTIF($V:$V,A622)&gt;0,"Partly uploaded",COUNTIF($W:$X,A622)&gt;0,"Not uploaded",TRUE,"Not classified"))</f>
        <v>Not uploaded</v>
      </c>
      <c r="C622" s="1" t="str" cm="1">
        <f t="array" ref="C622">_xlfn.SWITCH(TRIM(I622),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22" s="1"/>
      <c r="E622" s="1"/>
      <c r="F622" s="1" t="str" cm="1">
        <f t="array" ref="F622">_xlfn.LET(
_xlpm.status,UPPER(TRIM(B622&amp;"")),
_xlpm.risk,UPPER(TRIM(C622&amp;"")),
_xlpm.notify,UPPER(TRIM(D622&amp;"")),
_xlpm.form,UPPER(TRIM(E622&amp;"")),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22" s="1" t="str">
        <f t="shared" si="9"/>
        <v>NA</v>
      </c>
      <c r="H622" s="5"/>
      <c r="I622" s="1" t="s">
        <v>37</v>
      </c>
      <c r="J622" s="1"/>
      <c r="K622" s="1" t="s">
        <v>466</v>
      </c>
      <c r="L622" s="1" t="s">
        <v>21</v>
      </c>
      <c r="M622" s="1"/>
      <c r="N622" s="1" t="s">
        <v>83</v>
      </c>
      <c r="O622" s="1" t="s">
        <v>19</v>
      </c>
      <c r="P622" s="1" t="s">
        <v>18</v>
      </c>
      <c r="Q622" s="1" t="s">
        <v>20</v>
      </c>
      <c r="R622" s="1"/>
      <c r="S622" s="1"/>
      <c r="T622" s="1"/>
    </row>
    <row r="623" spans="1:20">
      <c r="A623" s="1" t="s">
        <v>468</v>
      </c>
      <c r="B623" s="1" t="str" cm="1">
        <f t="array" ref="B623">IF(A623="","",_xlfn.IFS(COUNTIF($U:$U,A623)&gt;0,"All uploaded",COUNTIF($V:$V,A623)&gt;0,"Partly uploaded",COUNTIF($W:$X,A623)&gt;0,"Not uploaded",TRUE,"Not classified"))</f>
        <v>Not uploaded</v>
      </c>
      <c r="C623" s="1" t="str" cm="1">
        <f t="array" ref="C623">_xlfn.SWITCH(TRIM(I623),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23" s="1"/>
      <c r="E623" s="1"/>
      <c r="F623" s="1" t="str" cm="1">
        <f t="array" ref="F623">_xlfn.LET(
_xlpm.status,UPPER(TRIM(B623&amp;"")),
_xlpm.risk,UPPER(TRIM(C623&amp;"")),
_xlpm.notify,UPPER(TRIM(D623&amp;"")),
_xlpm.form,UPPER(TRIM(E623&amp;"")),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23" s="1" t="str">
        <f t="shared" si="9"/>
        <v>NA</v>
      </c>
      <c r="H623" s="5"/>
      <c r="I623" s="1" t="s">
        <v>37</v>
      </c>
      <c r="J623" s="1"/>
      <c r="K623" s="1" t="s">
        <v>466</v>
      </c>
      <c r="L623" s="1" t="s">
        <v>21</v>
      </c>
      <c r="M623" s="1"/>
      <c r="N623" s="1" t="s">
        <v>83</v>
      </c>
      <c r="O623" s="1" t="s">
        <v>19</v>
      </c>
      <c r="P623" s="1" t="s">
        <v>18</v>
      </c>
      <c r="Q623" s="1" t="s">
        <v>20</v>
      </c>
      <c r="R623" s="1"/>
      <c r="S623" s="1"/>
      <c r="T623" s="1"/>
    </row>
    <row r="624" spans="1:20">
      <c r="A624" s="1" t="s">
        <v>469</v>
      </c>
      <c r="B624" s="1" t="str" cm="1">
        <f t="array" ref="B624">IF(A624="","",_xlfn.IFS(COUNTIF($U:$U,A624)&gt;0,"All uploaded",COUNTIF($V:$V,A624)&gt;0,"Partly uploaded",COUNTIF($W:$X,A624)&gt;0,"Not uploaded",TRUE,"Not classified"))</f>
        <v>Not uploaded</v>
      </c>
      <c r="C624" s="1" t="str" cm="1">
        <f t="array" ref="C624">_xlfn.SWITCH(TRIM(I624),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24" s="1"/>
      <c r="E624" s="1"/>
      <c r="F624" s="1" t="str" cm="1">
        <f t="array" ref="F624">_xlfn.LET(
_xlpm.status,UPPER(TRIM(B624&amp;"")),
_xlpm.risk,UPPER(TRIM(C624&amp;"")),
_xlpm.notify,UPPER(TRIM(D624&amp;"")),
_xlpm.form,UPPER(TRIM(E624&amp;"")),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24" s="1" t="str">
        <f t="shared" si="9"/>
        <v>NA</v>
      </c>
      <c r="H624" s="5"/>
      <c r="I624" s="1" t="s">
        <v>37</v>
      </c>
      <c r="J624" s="1"/>
      <c r="K624" s="1" t="s">
        <v>466</v>
      </c>
      <c r="L624" s="1" t="s">
        <v>21</v>
      </c>
      <c r="M624" s="1"/>
      <c r="N624" s="1" t="s">
        <v>83</v>
      </c>
      <c r="O624" s="1" t="s">
        <v>19</v>
      </c>
      <c r="P624" s="1" t="s">
        <v>18</v>
      </c>
      <c r="Q624" s="1" t="s">
        <v>20</v>
      </c>
      <c r="R624" s="1"/>
      <c r="S624" s="1"/>
      <c r="T624" s="1"/>
    </row>
    <row r="625" spans="1:20">
      <c r="A625" s="1" t="s">
        <v>471</v>
      </c>
      <c r="B625" s="1" t="str" cm="1">
        <f t="array" ref="B625">IF(A625="","",_xlfn.IFS(COUNTIF($U:$U,A625)&gt;0,"All uploaded",COUNTIF($V:$V,A625)&gt;0,"Partly uploaded",COUNTIF($W:$X,A625)&gt;0,"Not uploaded",TRUE,"Not classified"))</f>
        <v>Not uploaded</v>
      </c>
      <c r="C625" s="1" t="str" cm="1">
        <f t="array" ref="C625">_xlfn.SWITCH(TRIM(I625),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25" s="1"/>
      <c r="E625" s="1"/>
      <c r="F625" s="1" t="str" cm="1">
        <f t="array" ref="F625">_xlfn.LET(
_xlpm.status,UPPER(TRIM(B625&amp;"")),
_xlpm.risk,UPPER(TRIM(C625&amp;"")),
_xlpm.notify,UPPER(TRIM(D625&amp;"")),
_xlpm.form,UPPER(TRIM(E625&amp;"")),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25" s="1" t="str">
        <f t="shared" si="9"/>
        <v>NA</v>
      </c>
      <c r="H625" s="5"/>
      <c r="I625" s="1" t="s">
        <v>29</v>
      </c>
      <c r="J625" s="1"/>
      <c r="K625" s="1" t="s">
        <v>470</v>
      </c>
      <c r="L625" s="1" t="s">
        <v>10</v>
      </c>
      <c r="M625" s="1"/>
      <c r="N625" s="1" t="s">
        <v>472</v>
      </c>
      <c r="O625" s="1" t="s">
        <v>19</v>
      </c>
      <c r="P625" s="1" t="s">
        <v>18</v>
      </c>
      <c r="Q625" s="1" t="s">
        <v>20</v>
      </c>
      <c r="R625" s="1"/>
      <c r="S625" s="1"/>
      <c r="T625" s="1"/>
    </row>
    <row r="626" spans="1:20">
      <c r="A626" s="1" t="s">
        <v>474</v>
      </c>
      <c r="B626" s="1" t="str" cm="1">
        <f t="array" ref="B626">IF(A626="","",_xlfn.IFS(COUNTIF($U:$U,A626)&gt;0,"All uploaded",COUNTIF($V:$V,A626)&gt;0,"Partly uploaded",COUNTIF($W:$X,A626)&gt;0,"Not uploaded",TRUE,"Not classified"))</f>
        <v>Not uploaded</v>
      </c>
      <c r="C626" s="1" t="str" cm="1">
        <f t="array" ref="C626">_xlfn.SWITCH(TRIM(I626),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26" s="1"/>
      <c r="E626" s="1"/>
      <c r="F626" s="1" t="str" cm="1">
        <f t="array" ref="F626">_xlfn.LET(
_xlpm.status,UPPER(TRIM(B626&amp;"")),
_xlpm.risk,UPPER(TRIM(C626&amp;"")),
_xlpm.notify,UPPER(TRIM(D626&amp;"")),
_xlpm.form,UPPER(TRIM(E626&amp;"")),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26" s="1" t="str">
        <f t="shared" si="9"/>
        <v>NA</v>
      </c>
      <c r="H626" s="5"/>
      <c r="I626" s="1" t="s">
        <v>29</v>
      </c>
      <c r="J626" s="1"/>
      <c r="K626" s="1" t="s">
        <v>473</v>
      </c>
      <c r="L626" s="1" t="s">
        <v>22</v>
      </c>
      <c r="M626" s="1"/>
      <c r="N626" s="1" t="s">
        <v>475</v>
      </c>
      <c r="O626" s="1" t="s">
        <v>19</v>
      </c>
      <c r="P626" s="1" t="s">
        <v>18</v>
      </c>
      <c r="Q626" s="1" t="s">
        <v>20</v>
      </c>
      <c r="R626" s="1"/>
      <c r="S626" s="1"/>
      <c r="T626" s="1"/>
    </row>
    <row r="627" spans="1:20">
      <c r="A627" s="1" t="s">
        <v>476</v>
      </c>
      <c r="B627" s="1" t="str" cm="1">
        <f t="array" ref="B627">IF(A627="","",_xlfn.IFS(COUNTIF($U:$U,A627)&gt;0,"All uploaded",COUNTIF($V:$V,A627)&gt;0,"Partly uploaded",COUNTIF($W:$X,A627)&gt;0,"Not uploaded",TRUE,"Not classified"))</f>
        <v>Not uploaded</v>
      </c>
      <c r="C627" s="1" t="str" cm="1">
        <f t="array" ref="C627">_xlfn.SWITCH(TRIM(I627),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27" s="1"/>
      <c r="E627" s="1"/>
      <c r="F627" s="1" t="str" cm="1">
        <f t="array" ref="F627">_xlfn.LET(
_xlpm.status,UPPER(TRIM(B627&amp;"")),
_xlpm.risk,UPPER(TRIM(C627&amp;"")),
_xlpm.notify,UPPER(TRIM(D627&amp;"")),
_xlpm.form,UPPER(TRIM(E627&amp;"")),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27" s="1" t="str">
        <f t="shared" si="9"/>
        <v>NA</v>
      </c>
      <c r="H627" s="5"/>
      <c r="I627" s="1" t="s">
        <v>37</v>
      </c>
      <c r="J627" s="1"/>
      <c r="K627" s="1" t="s">
        <v>473</v>
      </c>
      <c r="L627" s="1" t="s">
        <v>21</v>
      </c>
      <c r="M627" s="1"/>
      <c r="N627" s="1" t="s">
        <v>83</v>
      </c>
      <c r="O627" s="1" t="s">
        <v>19</v>
      </c>
      <c r="P627" s="1" t="s">
        <v>18</v>
      </c>
      <c r="Q627" s="1" t="s">
        <v>20</v>
      </c>
      <c r="R627" s="1"/>
      <c r="S627" s="1"/>
      <c r="T627" s="1"/>
    </row>
    <row r="628" spans="1:20">
      <c r="A628" s="1" t="s">
        <v>477</v>
      </c>
      <c r="B628" s="1" t="str" cm="1">
        <f t="array" ref="B628">IF(A628="","",_xlfn.IFS(COUNTIF($U:$U,A628)&gt;0,"All uploaded",COUNTIF($V:$V,A628)&gt;0,"Partly uploaded",COUNTIF($W:$X,A628)&gt;0,"Not uploaded",TRUE,"Not classified"))</f>
        <v>Not uploaded</v>
      </c>
      <c r="C628" s="1" t="str" cm="1">
        <f t="array" ref="C628">_xlfn.SWITCH(TRIM(I628),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28" s="1"/>
      <c r="E628" s="1"/>
      <c r="F628" s="1" t="str" cm="1">
        <f t="array" ref="F628">_xlfn.LET(
_xlpm.status,UPPER(TRIM(B628&amp;"")),
_xlpm.risk,UPPER(TRIM(C628&amp;"")),
_xlpm.notify,UPPER(TRIM(D628&amp;"")),
_xlpm.form,UPPER(TRIM(E628&amp;"")),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28" s="1" t="str">
        <f t="shared" si="9"/>
        <v>Required</v>
      </c>
      <c r="H628" s="5"/>
      <c r="I628" s="1" t="s">
        <v>54</v>
      </c>
      <c r="J628" s="1"/>
      <c r="K628" s="1" t="s">
        <v>473</v>
      </c>
      <c r="L628" s="1" t="s">
        <v>22</v>
      </c>
      <c r="M628" s="1"/>
      <c r="N628" s="1" t="s">
        <v>478</v>
      </c>
      <c r="O628" s="1" t="s">
        <v>19</v>
      </c>
      <c r="P628" s="1" t="s">
        <v>18</v>
      </c>
      <c r="Q628" s="1" t="s">
        <v>20</v>
      </c>
      <c r="R628" s="1"/>
      <c r="S628" s="1"/>
      <c r="T628" s="1"/>
    </row>
    <row r="629" spans="1:20">
      <c r="A629" s="1" t="s">
        <v>492</v>
      </c>
      <c r="B629" s="1" t="str" cm="1">
        <f t="array" ref="B629">IF(A629="","",_xlfn.IFS(COUNTIF($U:$U,A629)&gt;0,"All uploaded",COUNTIF($V:$V,A629)&gt;0,"Partly uploaded",COUNTIF($W:$X,A629)&gt;0,"Not uploaded",TRUE,"Not classified"))</f>
        <v>Partly uploaded</v>
      </c>
      <c r="C629" s="1" t="str" cm="1">
        <f t="array" ref="C629">_xlfn.SWITCH(TRIM(I629),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29" s="1"/>
      <c r="E629" s="1"/>
      <c r="F629" s="1" t="str" cm="1">
        <f t="array" ref="F629">_xlfn.LET(
_xlpm.status,UPPER(TRIM(B629&amp;"")),
_xlpm.risk,UPPER(TRIM(C629&amp;"")),
_xlpm.notify,UPPER(TRIM(D629&amp;"")),
_xlpm.form,UPPER(TRIM(E629&amp;"")),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29" s="1" t="str">
        <f t="shared" si="9"/>
        <v>NA</v>
      </c>
      <c r="H629" s="5"/>
      <c r="I629" s="1" t="s">
        <v>29</v>
      </c>
      <c r="J629" s="1"/>
      <c r="K629" s="1" t="s">
        <v>485</v>
      </c>
      <c r="L629" s="1" t="s">
        <v>23</v>
      </c>
      <c r="M629" s="1"/>
      <c r="N629" s="1" t="s">
        <v>493</v>
      </c>
      <c r="O629" s="1" t="s">
        <v>19</v>
      </c>
      <c r="P629" s="1" t="s">
        <v>18</v>
      </c>
      <c r="Q629" s="1" t="s">
        <v>20</v>
      </c>
      <c r="R629" s="1"/>
      <c r="S629" s="1"/>
      <c r="T629" s="1"/>
    </row>
    <row r="630" spans="1:20">
      <c r="A630" s="1" t="s">
        <v>486</v>
      </c>
      <c r="B630" s="1" t="str" cm="1">
        <f t="array" ref="B630">IF(A630="","",_xlfn.IFS(COUNTIF($U:$U,A630)&gt;0,"All uploaded",COUNTIF($V:$V,A630)&gt;0,"Partly uploaded",COUNTIF($W:$X,A630)&gt;0,"Not uploaded",TRUE,"Not classified"))</f>
        <v>Partly uploaded</v>
      </c>
      <c r="C630" s="1" t="str" cm="1">
        <f t="array" ref="C630">_xlfn.SWITCH(TRIM(I630),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30" s="1"/>
      <c r="E630" s="1"/>
      <c r="F630" s="1" t="str" cm="1">
        <f t="array" ref="F630">_xlfn.LET(
_xlpm.status,UPPER(TRIM(B630&amp;"")),
_xlpm.risk,UPPER(TRIM(C630&amp;"")),
_xlpm.notify,UPPER(TRIM(D630&amp;"")),
_xlpm.form,UPPER(TRIM(E630&amp;"")),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30" s="1" t="str">
        <f t="shared" si="9"/>
        <v>Required</v>
      </c>
      <c r="H630" s="5"/>
      <c r="I630" s="1" t="s">
        <v>54</v>
      </c>
      <c r="J630" s="1"/>
      <c r="K630" s="1" t="s">
        <v>485</v>
      </c>
      <c r="L630" s="1" t="s">
        <v>22</v>
      </c>
      <c r="M630" s="1"/>
      <c r="N630" s="1" t="s">
        <v>487</v>
      </c>
      <c r="O630" s="1" t="s">
        <v>19</v>
      </c>
      <c r="P630" s="1" t="s">
        <v>18</v>
      </c>
      <c r="Q630" s="1" t="s">
        <v>20</v>
      </c>
      <c r="R630" s="1"/>
      <c r="S630" s="1"/>
      <c r="T630" s="1"/>
    </row>
    <row r="631" spans="1:20">
      <c r="A631" s="1" t="s">
        <v>509</v>
      </c>
      <c r="B631" s="1" t="str" cm="1">
        <f t="array" ref="B631">IF(A631="","",_xlfn.IFS(COUNTIF($U:$U,A631)&gt;0,"All uploaded",COUNTIF($V:$V,A631)&gt;0,"Partly uploaded",COUNTIF($W:$X,A631)&gt;0,"Not uploaded",TRUE,"Not classified"))</f>
        <v>Not uploaded</v>
      </c>
      <c r="C631" s="1" t="str" cm="1">
        <f t="array" ref="C631">_xlfn.SWITCH(TRIM(I631),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31" s="1"/>
      <c r="E631" s="1"/>
      <c r="F631" s="1" t="str" cm="1">
        <f t="array" ref="F631">_xlfn.LET(
_xlpm.status,UPPER(TRIM(B631&amp;"")),
_xlpm.risk,UPPER(TRIM(C631&amp;"")),
_xlpm.notify,UPPER(TRIM(D631&amp;"")),
_xlpm.form,UPPER(TRIM(E631&amp;"")),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31" s="1" t="str">
        <f t="shared" si="9"/>
        <v>Required</v>
      </c>
      <c r="H631" s="5"/>
      <c r="I631" s="1" t="s">
        <v>510</v>
      </c>
      <c r="J631" s="1"/>
      <c r="K631" s="1" t="s">
        <v>508</v>
      </c>
      <c r="L631" s="1" t="s">
        <v>25</v>
      </c>
      <c r="M631" s="1"/>
      <c r="N631" s="1" t="s">
        <v>511</v>
      </c>
      <c r="O631" s="1" t="s">
        <v>19</v>
      </c>
      <c r="P631" s="1" t="s">
        <v>18</v>
      </c>
      <c r="Q631" s="1" t="s">
        <v>20</v>
      </c>
      <c r="R631" s="1"/>
      <c r="S631" s="1"/>
      <c r="T631" s="1"/>
    </row>
    <row r="632" spans="1:20">
      <c r="A632" s="1" t="s">
        <v>512</v>
      </c>
      <c r="B632" s="1" t="str" cm="1">
        <f t="array" ref="B632">IF(A632="","",_xlfn.IFS(COUNTIF($U:$U,A632)&gt;0,"All uploaded",COUNTIF($V:$V,A632)&gt;0,"Partly uploaded",COUNTIF($W:$X,A632)&gt;0,"Not uploaded",TRUE,"Not classified"))</f>
        <v>Not uploaded</v>
      </c>
      <c r="C632" s="1" t="str" cm="1">
        <f t="array" ref="C632">_xlfn.SWITCH(TRIM(I632),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32" s="1"/>
      <c r="E632" s="1"/>
      <c r="F632" s="1" t="str" cm="1">
        <f t="array" ref="F632">_xlfn.LET(
_xlpm.status,UPPER(TRIM(B632&amp;"")),
_xlpm.risk,UPPER(TRIM(C632&amp;"")),
_xlpm.notify,UPPER(TRIM(D632&amp;"")),
_xlpm.form,UPPER(TRIM(E632&amp;"")),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32" s="1" t="str">
        <f t="shared" si="9"/>
        <v>Required</v>
      </c>
      <c r="H632" s="5"/>
      <c r="I632" s="1" t="s">
        <v>56</v>
      </c>
      <c r="J632" s="1"/>
      <c r="K632" s="1" t="s">
        <v>508</v>
      </c>
      <c r="L632" s="1" t="s">
        <v>22</v>
      </c>
      <c r="M632" s="1"/>
      <c r="N632" s="1" t="s">
        <v>513</v>
      </c>
      <c r="O632" s="1" t="s">
        <v>19</v>
      </c>
      <c r="P632" s="1" t="s">
        <v>18</v>
      </c>
      <c r="Q632" s="1" t="s">
        <v>20</v>
      </c>
      <c r="R632" s="1"/>
      <c r="S632" s="1"/>
      <c r="T632" s="1"/>
    </row>
    <row r="633" spans="1:20">
      <c r="A633" s="1" t="s">
        <v>514</v>
      </c>
      <c r="B633" s="1" t="str" cm="1">
        <f t="array" ref="B633">IF(A633="","",_xlfn.IFS(COUNTIF($U:$U,A633)&gt;0,"All uploaded",COUNTIF($V:$V,A633)&gt;0,"Partly uploaded",COUNTIF($W:$X,A633)&gt;0,"Not uploaded",TRUE,"Not classified"))</f>
        <v>Not uploaded</v>
      </c>
      <c r="C633" s="1" t="str" cm="1">
        <f t="array" ref="C633">_xlfn.SWITCH(TRIM(I633),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33" s="1"/>
      <c r="E633" s="1"/>
      <c r="F633" s="1" t="str" cm="1">
        <f t="array" ref="F633">_xlfn.LET(
_xlpm.status,UPPER(TRIM(B633&amp;"")),
_xlpm.risk,UPPER(TRIM(C633&amp;"")),
_xlpm.notify,UPPER(TRIM(D633&amp;"")),
_xlpm.form,UPPER(TRIM(E633&amp;"")),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33" s="1" t="str">
        <f t="shared" si="9"/>
        <v>NA</v>
      </c>
      <c r="H633" s="5"/>
      <c r="I633" s="1" t="s">
        <v>37</v>
      </c>
      <c r="J633" s="1"/>
      <c r="K633" s="1" t="s">
        <v>508</v>
      </c>
      <c r="L633" s="1" t="s">
        <v>21</v>
      </c>
      <c r="M633" s="1"/>
      <c r="N633" s="1" t="s">
        <v>83</v>
      </c>
      <c r="O633" s="1" t="s">
        <v>19</v>
      </c>
      <c r="P633" s="1" t="s">
        <v>18</v>
      </c>
      <c r="Q633" s="1" t="s">
        <v>20</v>
      </c>
      <c r="R633" s="1"/>
      <c r="S633" s="1"/>
      <c r="T633" s="1"/>
    </row>
    <row r="634" spans="1:20">
      <c r="A634" s="1" t="s">
        <v>521</v>
      </c>
      <c r="B634" s="1" t="str" cm="1">
        <f t="array" ref="B634">IF(A634="","",_xlfn.IFS(COUNTIF($U:$U,A634)&gt;0,"All uploaded",COUNTIF($V:$V,A634)&gt;0,"Partly uploaded",COUNTIF($W:$X,A634)&gt;0,"Not uploaded",TRUE,"Not classified"))</f>
        <v>Not uploaded</v>
      </c>
      <c r="C634" s="1" t="str" cm="1">
        <f t="array" ref="C634">_xlfn.SWITCH(TRIM(I634),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34" s="1"/>
      <c r="E634" s="1"/>
      <c r="F634" s="1" t="str" cm="1">
        <f t="array" ref="F634">_xlfn.LET(
_xlpm.status,UPPER(TRIM(B634&amp;"")),
_xlpm.risk,UPPER(TRIM(C634&amp;"")),
_xlpm.notify,UPPER(TRIM(D634&amp;"")),
_xlpm.form,UPPER(TRIM(E634&amp;"")),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34" s="1" t="str">
        <f t="shared" si="9"/>
        <v>NA</v>
      </c>
      <c r="H634" s="5"/>
      <c r="I634" s="1" t="s">
        <v>37</v>
      </c>
      <c r="J634" s="1"/>
      <c r="K634" s="1" t="s">
        <v>515</v>
      </c>
      <c r="L634" s="1" t="s">
        <v>21</v>
      </c>
      <c r="M634" s="1"/>
      <c r="N634" s="1" t="s">
        <v>83</v>
      </c>
      <c r="O634" s="1" t="s">
        <v>19</v>
      </c>
      <c r="P634" s="1" t="s">
        <v>18</v>
      </c>
      <c r="Q634" s="1" t="s">
        <v>20</v>
      </c>
      <c r="R634" s="1"/>
      <c r="S634" s="1"/>
      <c r="T634" s="1"/>
    </row>
    <row r="635" spans="1:20">
      <c r="A635" s="1" t="s">
        <v>516</v>
      </c>
      <c r="B635" s="1" t="str" cm="1">
        <f t="array" ref="B635">IF(A635="","",_xlfn.IFS(COUNTIF($U:$U,A635)&gt;0,"All uploaded",COUNTIF($V:$V,A635)&gt;0,"Partly uploaded",COUNTIF($W:$X,A635)&gt;0,"Not uploaded",TRUE,"Not classified"))</f>
        <v>Partly uploaded</v>
      </c>
      <c r="C635" s="1" t="str" cm="1">
        <f t="array" ref="C635">_xlfn.SWITCH(TRIM(I635),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35" s="1"/>
      <c r="E635" s="1"/>
      <c r="F635" s="1" t="str" cm="1">
        <f t="array" ref="F635">_xlfn.LET(
_xlpm.status,UPPER(TRIM(B635&amp;"")),
_xlpm.risk,UPPER(TRIM(C635&amp;"")),
_xlpm.notify,UPPER(TRIM(D635&amp;"")),
_xlpm.form,UPPER(TRIM(E635&amp;"")),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35" s="1" t="str">
        <f t="shared" si="9"/>
        <v>NA</v>
      </c>
      <c r="H635" s="5"/>
      <c r="I635" s="1" t="s">
        <v>29</v>
      </c>
      <c r="J635" s="1"/>
      <c r="K635" s="1" t="s">
        <v>515</v>
      </c>
      <c r="L635" s="1" t="s">
        <v>23</v>
      </c>
      <c r="M635" s="1"/>
      <c r="N635" s="1" t="s">
        <v>250</v>
      </c>
      <c r="O635" s="1" t="s">
        <v>19</v>
      </c>
      <c r="P635" s="1" t="s">
        <v>18</v>
      </c>
      <c r="Q635" s="1" t="s">
        <v>20</v>
      </c>
      <c r="R635" s="1"/>
      <c r="S635" s="1"/>
      <c r="T635" s="1"/>
    </row>
    <row r="636" spans="1:20">
      <c r="A636" s="1" t="s">
        <v>522</v>
      </c>
      <c r="B636" s="1" t="str" cm="1">
        <f t="array" ref="B636">IF(A636="","",_xlfn.IFS(COUNTIF($U:$U,A636)&gt;0,"All uploaded",COUNTIF($V:$V,A636)&gt;0,"Partly uploaded",COUNTIF($W:$X,A636)&gt;0,"Not uploaded",TRUE,"Not classified"))</f>
        <v>Not uploaded</v>
      </c>
      <c r="C636" s="1" t="str" cm="1">
        <f t="array" ref="C636">_xlfn.SWITCH(TRIM(I636),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36" s="1"/>
      <c r="E636" s="1"/>
      <c r="F636" s="1" t="str" cm="1">
        <f t="array" ref="F636">_xlfn.LET(
_xlpm.status,UPPER(TRIM(B636&amp;"")),
_xlpm.risk,UPPER(TRIM(C636&amp;"")),
_xlpm.notify,UPPER(TRIM(D636&amp;"")),
_xlpm.form,UPPER(TRIM(E636&amp;"")),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36" s="1" t="str">
        <f t="shared" si="9"/>
        <v>Required</v>
      </c>
      <c r="H636" s="5"/>
      <c r="I636" s="1" t="s">
        <v>54</v>
      </c>
      <c r="J636" s="1"/>
      <c r="K636" s="1" t="s">
        <v>515</v>
      </c>
      <c r="L636" s="1" t="s">
        <v>22</v>
      </c>
      <c r="M636" s="1"/>
      <c r="N636" s="1" t="s">
        <v>523</v>
      </c>
      <c r="O636" s="1" t="s">
        <v>19</v>
      </c>
      <c r="P636" s="1" t="s">
        <v>18</v>
      </c>
      <c r="Q636" s="1" t="s">
        <v>20</v>
      </c>
      <c r="R636" s="1"/>
      <c r="S636" s="1"/>
      <c r="T636" s="1"/>
    </row>
    <row r="637" spans="1:20">
      <c r="A637" s="1" t="s">
        <v>524</v>
      </c>
      <c r="B637" s="1" t="str" cm="1">
        <f t="array" ref="B637">IF(A637="","",_xlfn.IFS(COUNTIF($U:$U,A637)&gt;0,"All uploaded",COUNTIF($V:$V,A637)&gt;0,"Partly uploaded",COUNTIF($W:$X,A637)&gt;0,"Not uploaded",TRUE,"Not classified"))</f>
        <v>Not uploaded</v>
      </c>
      <c r="C637" s="1" t="str" cm="1">
        <f t="array" ref="C637">_xlfn.SWITCH(TRIM(I637),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37" s="1"/>
      <c r="E637" s="1"/>
      <c r="F637" s="1" t="str" cm="1">
        <f t="array" ref="F637">_xlfn.LET(
_xlpm.status,UPPER(TRIM(B637&amp;"")),
_xlpm.risk,UPPER(TRIM(C637&amp;"")),
_xlpm.notify,UPPER(TRIM(D637&amp;"")),
_xlpm.form,UPPER(TRIM(E637&amp;"")),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37" s="1" t="str">
        <f t="shared" si="9"/>
        <v>NA</v>
      </c>
      <c r="H637" s="5"/>
      <c r="I637" s="1" t="s">
        <v>37</v>
      </c>
      <c r="J637" s="1"/>
      <c r="K637" s="1" t="s">
        <v>515</v>
      </c>
      <c r="L637" s="1" t="s">
        <v>21</v>
      </c>
      <c r="M637" s="1"/>
      <c r="N637" s="1" t="s">
        <v>525</v>
      </c>
      <c r="O637" s="1" t="s">
        <v>19</v>
      </c>
      <c r="P637" s="1" t="s">
        <v>18</v>
      </c>
      <c r="Q637" s="1" t="s">
        <v>20</v>
      </c>
      <c r="R637" s="1"/>
      <c r="S637" s="1"/>
      <c r="T637" s="1"/>
    </row>
    <row r="638" spans="1:20">
      <c r="A638" s="1" t="s">
        <v>536</v>
      </c>
      <c r="B638" s="1" t="str" cm="1">
        <f t="array" ref="B638">IF(A638="","",_xlfn.IFS(COUNTIF($U:$U,A638)&gt;0,"All uploaded",COUNTIF($V:$V,A638)&gt;0,"Partly uploaded",COUNTIF($W:$X,A638)&gt;0,"Not uploaded",TRUE,"Not classified"))</f>
        <v>Not uploaded</v>
      </c>
      <c r="C638" s="1" t="str" cm="1">
        <f t="array" ref="C638">_xlfn.SWITCH(TRIM(I638),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38" s="1"/>
      <c r="E638" s="1"/>
      <c r="F638" s="1" t="str" cm="1">
        <f t="array" ref="F638">_xlfn.LET(
_xlpm.status,UPPER(TRIM(B638&amp;"")),
_xlpm.risk,UPPER(TRIM(C638&amp;"")),
_xlpm.notify,UPPER(TRIM(D638&amp;"")),
_xlpm.form,UPPER(TRIM(E638&amp;"")),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38" s="1" t="str">
        <f t="shared" si="9"/>
        <v>NA</v>
      </c>
      <c r="H638" s="5"/>
      <c r="I638" s="1" t="s">
        <v>37</v>
      </c>
      <c r="J638" s="1"/>
      <c r="K638" s="1" t="s">
        <v>535</v>
      </c>
      <c r="L638" s="1" t="s">
        <v>21</v>
      </c>
      <c r="M638" s="1"/>
      <c r="N638" s="1" t="s">
        <v>83</v>
      </c>
      <c r="O638" s="1" t="s">
        <v>19</v>
      </c>
      <c r="P638" s="1" t="s">
        <v>18</v>
      </c>
      <c r="Q638" s="1" t="s">
        <v>20</v>
      </c>
      <c r="R638" s="1"/>
      <c r="S638" s="1"/>
      <c r="T638" s="1"/>
    </row>
    <row r="639" spans="1:20">
      <c r="A639" s="1" t="s">
        <v>538</v>
      </c>
      <c r="B639" s="1" t="str" cm="1">
        <f t="array" ref="B639">IF(A639="","",_xlfn.IFS(COUNTIF($U:$U,A639)&gt;0,"All uploaded",COUNTIF($V:$V,A639)&gt;0,"Partly uploaded",COUNTIF($W:$X,A639)&gt;0,"Not uploaded",TRUE,"Not classified"))</f>
        <v>Not uploaded</v>
      </c>
      <c r="C639" s="1" t="str" cm="1">
        <f t="array" ref="C639">_xlfn.SWITCH(TRIM(I639),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39" s="1"/>
      <c r="E639" s="1"/>
      <c r="F639" s="1" t="str" cm="1">
        <f t="array" ref="F639">_xlfn.LET(
_xlpm.status,UPPER(TRIM(B639&amp;"")),
_xlpm.risk,UPPER(TRIM(C639&amp;"")),
_xlpm.notify,UPPER(TRIM(D639&amp;"")),
_xlpm.form,UPPER(TRIM(E639&amp;"")),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39" s="1" t="str">
        <f t="shared" si="9"/>
        <v>NA</v>
      </c>
      <c r="H639" s="5"/>
      <c r="I639" s="1" t="s">
        <v>29</v>
      </c>
      <c r="J639" s="1"/>
      <c r="K639" s="1" t="s">
        <v>537</v>
      </c>
      <c r="L639" s="1" t="s">
        <v>35</v>
      </c>
      <c r="M639" s="1"/>
      <c r="N639" s="1" t="s">
        <v>36</v>
      </c>
      <c r="O639" s="1" t="s">
        <v>19</v>
      </c>
      <c r="P639" s="1" t="s">
        <v>18</v>
      </c>
      <c r="Q639" s="1" t="s">
        <v>20</v>
      </c>
      <c r="R639" s="1"/>
      <c r="S639" s="1"/>
      <c r="T639" s="1"/>
    </row>
    <row r="640" spans="1:20">
      <c r="A640" s="1" t="s">
        <v>540</v>
      </c>
      <c r="B640" s="1" t="str" cm="1">
        <f t="array" ref="B640">IF(A640="","",_xlfn.IFS(COUNTIF($U:$U,A640)&gt;0,"All uploaded",COUNTIF($V:$V,A640)&gt;0,"Partly uploaded",COUNTIF($W:$X,A640)&gt;0,"Not uploaded",TRUE,"Not classified"))</f>
        <v>Not uploaded</v>
      </c>
      <c r="C640" s="1" t="str" cm="1">
        <f t="array" ref="C640">_xlfn.SWITCH(TRIM(I640),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40" s="1"/>
      <c r="E640" s="1"/>
      <c r="F640" s="1" t="str" cm="1">
        <f t="array" ref="F640">_xlfn.LET(
_xlpm.status,UPPER(TRIM(B640&amp;"")),
_xlpm.risk,UPPER(TRIM(C640&amp;"")),
_xlpm.notify,UPPER(TRIM(D640&amp;"")),
_xlpm.form,UPPER(TRIM(E640&amp;"")),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40" s="1" t="str">
        <f t="shared" si="9"/>
        <v>NA</v>
      </c>
      <c r="H640" s="5"/>
      <c r="I640" s="1" t="s">
        <v>37</v>
      </c>
      <c r="J640" s="1"/>
      <c r="K640" s="1" t="s">
        <v>539</v>
      </c>
      <c r="L640" s="1" t="s">
        <v>21</v>
      </c>
      <c r="M640" s="1"/>
      <c r="N640" s="1" t="s">
        <v>83</v>
      </c>
      <c r="O640" s="1" t="s">
        <v>19</v>
      </c>
      <c r="P640" s="1" t="s">
        <v>18</v>
      </c>
      <c r="Q640" s="1" t="s">
        <v>20</v>
      </c>
      <c r="R640" s="1"/>
      <c r="S640" s="1"/>
      <c r="T640" s="1"/>
    </row>
    <row r="641" spans="1:20">
      <c r="A641" s="1" t="s">
        <v>542</v>
      </c>
      <c r="B641" s="1" t="str" cm="1">
        <f t="array" ref="B641">IF(A641="","",_xlfn.IFS(COUNTIF($U:$U,A641)&gt;0,"All uploaded",COUNTIF($V:$V,A641)&gt;0,"Partly uploaded",COUNTIF($W:$X,A641)&gt;0,"Not uploaded",TRUE,"Not classified"))</f>
        <v>Not uploaded</v>
      </c>
      <c r="C641" s="1" t="str" cm="1">
        <f t="array" ref="C641">_xlfn.SWITCH(TRIM(I641),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41" s="1"/>
      <c r="E641" s="1"/>
      <c r="F641" s="1" t="str" cm="1">
        <f t="array" ref="F641">_xlfn.LET(
_xlpm.status,UPPER(TRIM(B641&amp;"")),
_xlpm.risk,UPPER(TRIM(C641&amp;"")),
_xlpm.notify,UPPER(TRIM(D641&amp;"")),
_xlpm.form,UPPER(TRIM(E641&amp;"")),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41" s="1" t="str">
        <f t="shared" ref="G641:G704" si="10">IF(AND(UPPER(TRIM(C641&amp;""))="MAJOR",OR(TRIM(D641&amp;"")="",UPPER(TRIM(E641&amp;""))="REJECT")),"Required","NA")</f>
        <v>NA</v>
      </c>
      <c r="H641" s="5"/>
      <c r="I641" s="1" t="s">
        <v>37</v>
      </c>
      <c r="J641" s="1"/>
      <c r="K641" s="1" t="s">
        <v>541</v>
      </c>
      <c r="L641" s="1" t="s">
        <v>21</v>
      </c>
      <c r="M641" s="1"/>
      <c r="N641" s="1" t="s">
        <v>543</v>
      </c>
      <c r="O641" s="1" t="s">
        <v>19</v>
      </c>
      <c r="P641" s="1" t="s">
        <v>18</v>
      </c>
      <c r="Q641" s="1" t="s">
        <v>20</v>
      </c>
      <c r="R641" s="1"/>
      <c r="S641" s="1"/>
      <c r="T641" s="1"/>
    </row>
    <row r="642" spans="1:20">
      <c r="A642" s="1" t="s">
        <v>552</v>
      </c>
      <c r="B642" s="1" t="str" cm="1">
        <f t="array" ref="B642">IF(A642="","",_xlfn.IFS(COUNTIF($U:$U,A642)&gt;0,"All uploaded",COUNTIF($V:$V,A642)&gt;0,"Partly uploaded",COUNTIF($W:$X,A642)&gt;0,"Not uploaded",TRUE,"Not classified"))</f>
        <v>Partly uploaded</v>
      </c>
      <c r="C642" s="1" t="str" cm="1">
        <f t="array" ref="C642">_xlfn.SWITCH(TRIM(I642),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42" s="1"/>
      <c r="E642" s="1"/>
      <c r="F642" s="1" t="str" cm="1">
        <f t="array" ref="F642">_xlfn.LET(
_xlpm.status,UPPER(TRIM(B642&amp;"")),
_xlpm.risk,UPPER(TRIM(C642&amp;"")),
_xlpm.notify,UPPER(TRIM(D642&amp;"")),
_xlpm.form,UPPER(TRIM(E642&amp;"")),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42" s="1" t="str">
        <f t="shared" si="10"/>
        <v>Required</v>
      </c>
      <c r="H642" s="5"/>
      <c r="I642" s="1" t="s">
        <v>87</v>
      </c>
      <c r="J642" s="1"/>
      <c r="K642" s="1" t="s">
        <v>544</v>
      </c>
      <c r="L642" s="1" t="s">
        <v>27</v>
      </c>
      <c r="M642" s="1"/>
      <c r="N642" s="1" t="s">
        <v>70</v>
      </c>
      <c r="O642" s="1" t="s">
        <v>19</v>
      </c>
      <c r="P642" s="1" t="s">
        <v>18</v>
      </c>
      <c r="Q642" s="1" t="s">
        <v>20</v>
      </c>
      <c r="R642" s="1"/>
      <c r="S642" s="1"/>
      <c r="T642" s="1"/>
    </row>
    <row r="643" spans="1:20">
      <c r="A643" s="1" t="s">
        <v>577</v>
      </c>
      <c r="B643" s="1" t="str" cm="1">
        <f t="array" ref="B643">IF(A643="","",_xlfn.IFS(COUNTIF($U:$U,A643)&gt;0,"All uploaded",COUNTIF($V:$V,A643)&gt;0,"Partly uploaded",COUNTIF($W:$X,A643)&gt;0,"Not uploaded",TRUE,"Not classified"))</f>
        <v>Not uploaded</v>
      </c>
      <c r="C643" s="1" t="str" cm="1">
        <f t="array" ref="C643">_xlfn.SWITCH(TRIM(I643),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43" s="1"/>
      <c r="E643" s="1"/>
      <c r="F643" s="1" t="str" cm="1">
        <f t="array" ref="F643">_xlfn.LET(
_xlpm.status,UPPER(TRIM(B643&amp;"")),
_xlpm.risk,UPPER(TRIM(C643&amp;"")),
_xlpm.notify,UPPER(TRIM(D643&amp;"")),
_xlpm.form,UPPER(TRIM(E643&amp;"")),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43" s="1" t="str">
        <f t="shared" si="10"/>
        <v>Required</v>
      </c>
      <c r="H643" s="5"/>
      <c r="I643" s="1" t="s">
        <v>98</v>
      </c>
      <c r="J643" s="1"/>
      <c r="K643" s="1" t="s">
        <v>544</v>
      </c>
      <c r="L643" s="1" t="s">
        <v>27</v>
      </c>
      <c r="M643" s="1"/>
      <c r="N643" s="1" t="s">
        <v>578</v>
      </c>
      <c r="O643" s="1" t="s">
        <v>19</v>
      </c>
      <c r="P643" s="1" t="s">
        <v>18</v>
      </c>
      <c r="Q643" s="1" t="s">
        <v>20</v>
      </c>
      <c r="R643" s="1"/>
      <c r="S643" s="1"/>
      <c r="T643" s="1"/>
    </row>
    <row r="644" spans="1:20">
      <c r="A644" s="1" t="s">
        <v>545</v>
      </c>
      <c r="B644" s="1" t="str" cm="1">
        <f t="array" ref="B644">IF(A644="","",_xlfn.IFS(COUNTIF($U:$U,A644)&gt;0,"All uploaded",COUNTIF($V:$V,A644)&gt;0,"Partly uploaded",COUNTIF($W:$X,A644)&gt;0,"Not uploaded",TRUE,"Not classified"))</f>
        <v>Partly uploaded</v>
      </c>
      <c r="C644" s="1" t="str" cm="1">
        <f t="array" ref="C644">_xlfn.SWITCH(TRIM(I644),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44" s="1"/>
      <c r="E644" s="1"/>
      <c r="F644" s="1" t="str" cm="1">
        <f t="array" ref="F644">_xlfn.LET(
_xlpm.status,UPPER(TRIM(B644&amp;"")),
_xlpm.risk,UPPER(TRIM(C644&amp;"")),
_xlpm.notify,UPPER(TRIM(D644&amp;"")),
_xlpm.form,UPPER(TRIM(E644&amp;"")),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44" s="1" t="str">
        <f t="shared" si="10"/>
        <v>NA</v>
      </c>
      <c r="H644" s="5"/>
      <c r="I644" s="1" t="s">
        <v>29</v>
      </c>
      <c r="J644" s="1"/>
      <c r="K644" s="1" t="s">
        <v>544</v>
      </c>
      <c r="L644" s="1" t="s">
        <v>23</v>
      </c>
      <c r="M644" s="1"/>
      <c r="N644" s="1" t="s">
        <v>349</v>
      </c>
      <c r="O644" s="1" t="s">
        <v>19</v>
      </c>
      <c r="P644" s="1" t="s">
        <v>18</v>
      </c>
      <c r="Q644" s="1" t="s">
        <v>20</v>
      </c>
      <c r="R644" s="1"/>
      <c r="S644" s="1"/>
      <c r="T644" s="1"/>
    </row>
    <row r="645" spans="1:20">
      <c r="A645" s="1" t="s">
        <v>573</v>
      </c>
      <c r="B645" s="1" t="str" cm="1">
        <f t="array" ref="B645">IF(A645="","",_xlfn.IFS(COUNTIF($U:$U,A645)&gt;0,"All uploaded",COUNTIF($V:$V,A645)&gt;0,"Partly uploaded",COUNTIF($W:$X,A645)&gt;0,"Not uploaded",TRUE,"Not classified"))</f>
        <v>Partly uploaded</v>
      </c>
      <c r="C645" s="1" t="str" cm="1">
        <f t="array" ref="C645">_xlfn.SWITCH(TRIM(I645),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45" s="1"/>
      <c r="E645" s="1"/>
      <c r="F645" s="1" t="str" cm="1">
        <f t="array" ref="F645">_xlfn.LET(
_xlpm.status,UPPER(TRIM(B645&amp;"")),
_xlpm.risk,UPPER(TRIM(C645&amp;"")),
_xlpm.notify,UPPER(TRIM(D645&amp;"")),
_xlpm.form,UPPER(TRIM(E645&amp;"")),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45" s="1" t="str">
        <f t="shared" si="10"/>
        <v>Required</v>
      </c>
      <c r="H645" s="5"/>
      <c r="I645" s="1" t="s">
        <v>47</v>
      </c>
      <c r="J645" s="1"/>
      <c r="K645" s="1" t="s">
        <v>544</v>
      </c>
      <c r="L645" s="1" t="s">
        <v>27</v>
      </c>
      <c r="M645" s="1"/>
      <c r="N645" s="1" t="s">
        <v>440</v>
      </c>
      <c r="O645" s="1" t="s">
        <v>19</v>
      </c>
      <c r="P645" s="1" t="s">
        <v>18</v>
      </c>
      <c r="Q645" s="1" t="s">
        <v>20</v>
      </c>
      <c r="R645" s="1"/>
      <c r="S645" s="1"/>
      <c r="T645" s="1"/>
    </row>
    <row r="646" spans="1:20">
      <c r="A646" s="1" t="s">
        <v>592</v>
      </c>
      <c r="B646" s="1" t="str" cm="1">
        <f t="array" ref="B646">IF(A646="","",_xlfn.IFS(COUNTIF($U:$U,A646)&gt;0,"All uploaded",COUNTIF($V:$V,A646)&gt;0,"Partly uploaded",COUNTIF($W:$X,A646)&gt;0,"Not uploaded",TRUE,"Not classified"))</f>
        <v>Not uploaded</v>
      </c>
      <c r="C646" s="1" t="str" cm="1">
        <f t="array" ref="C646">_xlfn.SWITCH(TRIM(I646),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46" s="1"/>
      <c r="E646" s="1"/>
      <c r="F646" s="1" t="str" cm="1">
        <f t="array" ref="F646">_xlfn.LET(
_xlpm.status,UPPER(TRIM(B646&amp;"")),
_xlpm.risk,UPPER(TRIM(C646&amp;"")),
_xlpm.notify,UPPER(TRIM(D646&amp;"")),
_xlpm.form,UPPER(TRIM(E646&amp;"")),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46" s="1" t="str">
        <f t="shared" si="10"/>
        <v>NA</v>
      </c>
      <c r="H646" s="5"/>
      <c r="I646" s="1" t="s">
        <v>37</v>
      </c>
      <c r="J646" s="1"/>
      <c r="K646" s="1" t="s">
        <v>591</v>
      </c>
      <c r="L646" s="1" t="s">
        <v>21</v>
      </c>
      <c r="M646" s="1"/>
      <c r="N646" s="1" t="s">
        <v>593</v>
      </c>
      <c r="O646" s="1" t="s">
        <v>19</v>
      </c>
      <c r="P646" s="1" t="s">
        <v>18</v>
      </c>
      <c r="Q646" s="1" t="s">
        <v>20</v>
      </c>
      <c r="R646" s="1"/>
      <c r="S646" s="1"/>
      <c r="T646" s="1"/>
    </row>
    <row r="647" spans="1:20">
      <c r="A647" s="1" t="s">
        <v>595</v>
      </c>
      <c r="B647" s="1" t="str" cm="1">
        <f t="array" ref="B647">IF(A647="","",_xlfn.IFS(COUNTIF($U:$U,A647)&gt;0,"All uploaded",COUNTIF($V:$V,A647)&gt;0,"Partly uploaded",COUNTIF($W:$X,A647)&gt;0,"Not uploaded",TRUE,"Not classified"))</f>
        <v>Partly uploaded</v>
      </c>
      <c r="C647" s="1" t="str" cm="1">
        <f t="array" ref="C647">_xlfn.SWITCH(TRIM(I647),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47" s="1"/>
      <c r="E647" s="1"/>
      <c r="F647" s="1" t="str" cm="1">
        <f t="array" ref="F647">_xlfn.LET(
_xlpm.status,UPPER(TRIM(B647&amp;"")),
_xlpm.risk,UPPER(TRIM(C647&amp;"")),
_xlpm.notify,UPPER(TRIM(D647&amp;"")),
_xlpm.form,UPPER(TRIM(E647&amp;"")),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47" s="1" t="str">
        <f t="shared" si="10"/>
        <v>NA</v>
      </c>
      <c r="H647" s="5"/>
      <c r="I647" s="1" t="s">
        <v>66</v>
      </c>
      <c r="J647" s="1"/>
      <c r="K647" s="1" t="s">
        <v>594</v>
      </c>
      <c r="L647" s="1" t="s">
        <v>23</v>
      </c>
      <c r="M647" s="1"/>
      <c r="N647" s="1" t="s">
        <v>596</v>
      </c>
      <c r="O647" s="1" t="s">
        <v>19</v>
      </c>
      <c r="P647" s="1" t="s">
        <v>18</v>
      </c>
      <c r="Q647" s="1" t="s">
        <v>20</v>
      </c>
      <c r="R647" s="1"/>
      <c r="S647" s="1"/>
      <c r="T647" s="1"/>
    </row>
    <row r="648" spans="1:20">
      <c r="A648" s="1" t="s">
        <v>607</v>
      </c>
      <c r="B648" s="1" t="str" cm="1">
        <f t="array" ref="B648">IF(A648="","",_xlfn.IFS(COUNTIF($U:$U,A648)&gt;0,"All uploaded",COUNTIF($V:$V,A648)&gt;0,"Partly uploaded",COUNTIF($W:$X,A648)&gt;0,"Not uploaded",TRUE,"Not classified"))</f>
        <v>Not uploaded</v>
      </c>
      <c r="C648" s="1" t="str" cm="1">
        <f t="array" ref="C648">_xlfn.SWITCH(TRIM(I648),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48" s="1"/>
      <c r="E648" s="1"/>
      <c r="F648" s="1" t="str" cm="1">
        <f t="array" ref="F648">_xlfn.LET(
_xlpm.status,UPPER(TRIM(B648&amp;"")),
_xlpm.risk,UPPER(TRIM(C648&amp;"")),
_xlpm.notify,UPPER(TRIM(D648&amp;"")),
_xlpm.form,UPPER(TRIM(E648&amp;"")),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48" s="1" t="str">
        <f t="shared" si="10"/>
        <v>NA</v>
      </c>
      <c r="H648" s="5"/>
      <c r="I648" s="1" t="s">
        <v>37</v>
      </c>
      <c r="J648" s="1"/>
      <c r="K648" s="1" t="s">
        <v>602</v>
      </c>
      <c r="L648" s="1" t="s">
        <v>21</v>
      </c>
      <c r="M648" s="1"/>
      <c r="N648" s="1" t="s">
        <v>83</v>
      </c>
      <c r="O648" s="1" t="s">
        <v>19</v>
      </c>
      <c r="P648" s="1" t="s">
        <v>18</v>
      </c>
      <c r="Q648" s="1" t="s">
        <v>20</v>
      </c>
      <c r="R648" s="1"/>
      <c r="S648" s="1"/>
      <c r="T648" s="1"/>
    </row>
    <row r="649" spans="1:20">
      <c r="A649" s="1" t="s">
        <v>608</v>
      </c>
      <c r="B649" s="1" t="str" cm="1">
        <f t="array" ref="B649">IF(A649="","",_xlfn.IFS(COUNTIF($U:$U,A649)&gt;0,"All uploaded",COUNTIF($V:$V,A649)&gt;0,"Partly uploaded",COUNTIF($W:$X,A649)&gt;0,"Not uploaded",TRUE,"Not classified"))</f>
        <v>Partly uploaded</v>
      </c>
      <c r="C649" s="1" t="str" cm="1">
        <f t="array" ref="C649">_xlfn.SWITCH(TRIM(I649),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49" s="1"/>
      <c r="E649" s="1"/>
      <c r="F649" s="1" t="str" cm="1">
        <f t="array" ref="F649">_xlfn.LET(
_xlpm.status,UPPER(TRIM(B649&amp;"")),
_xlpm.risk,UPPER(TRIM(C649&amp;"")),
_xlpm.notify,UPPER(TRIM(D649&amp;"")),
_xlpm.form,UPPER(TRIM(E649&amp;"")),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49" s="1" t="str">
        <f t="shared" si="10"/>
        <v>Required</v>
      </c>
      <c r="H649" s="5"/>
      <c r="I649" s="1" t="s">
        <v>26</v>
      </c>
      <c r="J649" s="1"/>
      <c r="K649" s="1" t="s">
        <v>602</v>
      </c>
      <c r="L649" s="1" t="s">
        <v>25</v>
      </c>
      <c r="M649" s="1"/>
      <c r="N649" s="1" t="s">
        <v>107</v>
      </c>
      <c r="O649" s="1" t="s">
        <v>19</v>
      </c>
      <c r="P649" s="1" t="s">
        <v>18</v>
      </c>
      <c r="Q649" s="1" t="s">
        <v>20</v>
      </c>
      <c r="R649" s="1"/>
      <c r="S649" s="1"/>
      <c r="T649" s="1"/>
    </row>
    <row r="650" spans="1:20">
      <c r="A650" s="1" t="s">
        <v>614</v>
      </c>
      <c r="B650" s="1" t="str" cm="1">
        <f t="array" ref="B650">IF(A650="","",_xlfn.IFS(COUNTIF($U:$U,A650)&gt;0,"All uploaded",COUNTIF($V:$V,A650)&gt;0,"Partly uploaded",COUNTIF($W:$X,A650)&gt;0,"Not uploaded",TRUE,"Not classified"))</f>
        <v>Not uploaded</v>
      </c>
      <c r="C650" s="1" t="str" cm="1">
        <f t="array" ref="C650">_xlfn.SWITCH(TRIM(I650),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50" s="1"/>
      <c r="E650" s="1"/>
      <c r="F650" s="1" t="str" cm="1">
        <f t="array" ref="F650">_xlfn.LET(
_xlpm.status,UPPER(TRIM(B650&amp;"")),
_xlpm.risk,UPPER(TRIM(C650&amp;"")),
_xlpm.notify,UPPER(TRIM(D650&amp;"")),
_xlpm.form,UPPER(TRIM(E650&amp;"")),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50" s="1" t="str">
        <f t="shared" si="10"/>
        <v>NA</v>
      </c>
      <c r="H650" s="5"/>
      <c r="I650" s="1" t="s">
        <v>37</v>
      </c>
      <c r="J650" s="1"/>
      <c r="K650" s="1" t="s">
        <v>613</v>
      </c>
      <c r="L650" s="1" t="s">
        <v>21</v>
      </c>
      <c r="M650" s="1"/>
      <c r="N650" s="1" t="s">
        <v>615</v>
      </c>
      <c r="O650" s="1" t="s">
        <v>19</v>
      </c>
      <c r="P650" s="1" t="s">
        <v>18</v>
      </c>
      <c r="Q650" s="1" t="s">
        <v>20</v>
      </c>
      <c r="R650" s="1"/>
      <c r="S650" s="1"/>
      <c r="T650" s="1"/>
    </row>
    <row r="651" spans="1:20">
      <c r="A651" s="1" t="s">
        <v>616</v>
      </c>
      <c r="B651" s="1" t="str" cm="1">
        <f t="array" ref="B651">IF(A651="","",_xlfn.IFS(COUNTIF($U:$U,A651)&gt;0,"All uploaded",COUNTIF($V:$V,A651)&gt;0,"Partly uploaded",COUNTIF($W:$X,A651)&gt;0,"Not uploaded",TRUE,"Not classified"))</f>
        <v>Not uploaded</v>
      </c>
      <c r="C651" s="1" t="str" cm="1">
        <f t="array" ref="C651">_xlfn.SWITCH(TRIM(I651),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51" s="1"/>
      <c r="E651" s="1"/>
      <c r="F651" s="1" t="str" cm="1">
        <f t="array" ref="F651">_xlfn.LET(
_xlpm.status,UPPER(TRIM(B651&amp;"")),
_xlpm.risk,UPPER(TRIM(C651&amp;"")),
_xlpm.notify,UPPER(TRIM(D651&amp;"")),
_xlpm.form,UPPER(TRIM(E651&amp;"")),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51" s="1" t="str">
        <f t="shared" si="10"/>
        <v>Required</v>
      </c>
      <c r="H651" s="5"/>
      <c r="I651" s="1" t="s">
        <v>54</v>
      </c>
      <c r="J651" s="1"/>
      <c r="K651" s="1" t="s">
        <v>613</v>
      </c>
      <c r="L651" s="1" t="s">
        <v>22</v>
      </c>
      <c r="M651" s="1"/>
      <c r="N651" s="1" t="s">
        <v>617</v>
      </c>
      <c r="O651" s="1" t="s">
        <v>19</v>
      </c>
      <c r="P651" s="1" t="s">
        <v>18</v>
      </c>
      <c r="Q651" s="1" t="s">
        <v>20</v>
      </c>
      <c r="R651" s="1"/>
      <c r="S651" s="1"/>
      <c r="T651" s="1"/>
    </row>
    <row r="652" spans="1:20">
      <c r="A652" s="1" t="s">
        <v>619</v>
      </c>
      <c r="B652" s="1" t="str" cm="1">
        <f t="array" ref="B652">IF(A652="","",_xlfn.IFS(COUNTIF($U:$U,A652)&gt;0,"All uploaded",COUNTIF($V:$V,A652)&gt;0,"Partly uploaded",COUNTIF($W:$X,A652)&gt;0,"Not uploaded",TRUE,"Not classified"))</f>
        <v>Partly uploaded</v>
      </c>
      <c r="C652" s="1" t="str" cm="1">
        <f t="array" ref="C652">_xlfn.SWITCH(TRIM(I652),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52" s="1"/>
      <c r="E652" s="1"/>
      <c r="F652" s="1" t="str" cm="1">
        <f t="array" ref="F652">_xlfn.LET(
_xlpm.status,UPPER(TRIM(B652&amp;"")),
_xlpm.risk,UPPER(TRIM(C652&amp;"")),
_xlpm.notify,UPPER(TRIM(D652&amp;"")),
_xlpm.form,UPPER(TRIM(E652&amp;"")),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52" s="1" t="str">
        <f t="shared" si="10"/>
        <v>NA</v>
      </c>
      <c r="H652" s="5"/>
      <c r="I652" s="1" t="s">
        <v>29</v>
      </c>
      <c r="J652" s="1"/>
      <c r="K652" s="1" t="s">
        <v>618</v>
      </c>
      <c r="L652" s="1" t="s">
        <v>35</v>
      </c>
      <c r="M652" s="1"/>
      <c r="N652" s="1" t="s">
        <v>85</v>
      </c>
      <c r="O652" s="1" t="s">
        <v>19</v>
      </c>
      <c r="P652" s="1" t="s">
        <v>18</v>
      </c>
      <c r="Q652" s="1" t="s">
        <v>20</v>
      </c>
      <c r="R652" s="1"/>
      <c r="S652" s="1"/>
      <c r="T652" s="1"/>
    </row>
    <row r="653" spans="1:20">
      <c r="A653" s="1" t="s">
        <v>628</v>
      </c>
      <c r="B653" s="1" t="str" cm="1">
        <f t="array" ref="B653">IF(A653="","",_xlfn.IFS(COUNTIF($U:$U,A653)&gt;0,"All uploaded",COUNTIF($V:$V,A653)&gt;0,"Partly uploaded",COUNTIF($W:$X,A653)&gt;0,"Not uploaded",TRUE,"Not classified"))</f>
        <v>Partly uploaded</v>
      </c>
      <c r="C653" s="1" t="str" cm="1">
        <f t="array" ref="C653">_xlfn.SWITCH(TRIM(I653),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53" s="1"/>
      <c r="E653" s="1"/>
      <c r="F653" s="1" t="str" cm="1">
        <f t="array" ref="F653">_xlfn.LET(
_xlpm.status,UPPER(TRIM(B653&amp;"")),
_xlpm.risk,UPPER(TRIM(C653&amp;"")),
_xlpm.notify,UPPER(TRIM(D653&amp;"")),
_xlpm.form,UPPER(TRIM(E653&amp;"")),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53" s="1" t="str">
        <f t="shared" si="10"/>
        <v>NA</v>
      </c>
      <c r="H653" s="5"/>
      <c r="I653" s="1" t="s">
        <v>29</v>
      </c>
      <c r="J653" s="1"/>
      <c r="K653" s="1" t="s">
        <v>618</v>
      </c>
      <c r="L653" s="1" t="s">
        <v>23</v>
      </c>
      <c r="M653" s="1"/>
      <c r="N653" s="1" t="s">
        <v>629</v>
      </c>
      <c r="O653" s="1" t="s">
        <v>19</v>
      </c>
      <c r="P653" s="1" t="s">
        <v>18</v>
      </c>
      <c r="Q653" s="1" t="s">
        <v>20</v>
      </c>
      <c r="R653" s="1"/>
      <c r="S653" s="1"/>
      <c r="T653" s="1"/>
    </row>
    <row r="654" spans="1:20">
      <c r="A654" s="1" t="s">
        <v>639</v>
      </c>
      <c r="B654" s="1" t="str" cm="1">
        <f t="array" ref="B654">IF(A654="","",_xlfn.IFS(COUNTIF($U:$U,A654)&gt;0,"All uploaded",COUNTIF($V:$V,A654)&gt;0,"Partly uploaded",COUNTIF($W:$X,A654)&gt;0,"Not uploaded",TRUE,"Not classified"))</f>
        <v>Partly uploaded</v>
      </c>
      <c r="C654" s="1" t="str" cm="1">
        <f t="array" ref="C654">_xlfn.SWITCH(TRIM(I654),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54" s="1"/>
      <c r="E654" s="1"/>
      <c r="F654" s="1" t="str" cm="1">
        <f t="array" ref="F654">_xlfn.LET(
_xlpm.status,UPPER(TRIM(B654&amp;"")),
_xlpm.risk,UPPER(TRIM(C654&amp;"")),
_xlpm.notify,UPPER(TRIM(D654&amp;"")),
_xlpm.form,UPPER(TRIM(E654&amp;"")),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54" s="1" t="str">
        <f t="shared" si="10"/>
        <v>Required</v>
      </c>
      <c r="H654" s="5"/>
      <c r="I654" s="1" t="s">
        <v>26</v>
      </c>
      <c r="J654" s="1"/>
      <c r="K654" s="1" t="s">
        <v>638</v>
      </c>
      <c r="L654" s="1" t="s">
        <v>25</v>
      </c>
      <c r="M654" s="1"/>
      <c r="N654" s="1" t="s">
        <v>640</v>
      </c>
      <c r="O654" s="1" t="s">
        <v>19</v>
      </c>
      <c r="P654" s="1" t="s">
        <v>18</v>
      </c>
      <c r="Q654" s="1" t="s">
        <v>20</v>
      </c>
      <c r="R654" s="1"/>
      <c r="S654" s="1"/>
      <c r="T654" s="1"/>
    </row>
    <row r="655" spans="1:20">
      <c r="A655" s="1" t="s">
        <v>645</v>
      </c>
      <c r="B655" s="1" t="str" cm="1">
        <f t="array" ref="B655">IF(A655="","",_xlfn.IFS(COUNTIF($U:$U,A655)&gt;0,"All uploaded",COUNTIF($V:$V,A655)&gt;0,"Partly uploaded",COUNTIF($W:$X,A655)&gt;0,"Not uploaded",TRUE,"Not classified"))</f>
        <v>Not uploaded</v>
      </c>
      <c r="C655" s="1" t="str" cm="1">
        <f t="array" ref="C655">_xlfn.SWITCH(TRIM(I655),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55" s="1"/>
      <c r="E655" s="1"/>
      <c r="F655" s="1" t="str" cm="1">
        <f t="array" ref="F655">_xlfn.LET(
_xlpm.status,UPPER(TRIM(B655&amp;"")),
_xlpm.risk,UPPER(TRIM(C655&amp;"")),
_xlpm.notify,UPPER(TRIM(D655&amp;"")),
_xlpm.form,UPPER(TRIM(E655&amp;"")),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55" s="1" t="str">
        <f t="shared" si="10"/>
        <v>NA</v>
      </c>
      <c r="H655" s="5"/>
      <c r="I655" s="1" t="s">
        <v>37</v>
      </c>
      <c r="J655" s="1"/>
      <c r="K655" s="1" t="s">
        <v>638</v>
      </c>
      <c r="L655" s="1" t="s">
        <v>21</v>
      </c>
      <c r="M655" s="1"/>
      <c r="N655" s="1" t="s">
        <v>83</v>
      </c>
      <c r="O655" s="1" t="s">
        <v>19</v>
      </c>
      <c r="P655" s="1" t="s">
        <v>18</v>
      </c>
      <c r="Q655" s="1" t="s">
        <v>20</v>
      </c>
      <c r="R655" s="1"/>
      <c r="S655" s="1"/>
      <c r="T655" s="1"/>
    </row>
    <row r="656" spans="1:20">
      <c r="A656" s="1" t="s">
        <v>647</v>
      </c>
      <c r="B656" s="1" t="str" cm="1">
        <f t="array" ref="B656">IF(A656="","",_xlfn.IFS(COUNTIF($U:$U,A656)&gt;0,"All uploaded",COUNTIF($V:$V,A656)&gt;0,"Partly uploaded",COUNTIF($W:$X,A656)&gt;0,"Not uploaded",TRUE,"Not classified"))</f>
        <v>Not uploaded</v>
      </c>
      <c r="C656" s="1" t="str" cm="1">
        <f t="array" ref="C656">_xlfn.SWITCH(TRIM(I656),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56" s="1"/>
      <c r="E656" s="1"/>
      <c r="F656" s="1" t="str" cm="1">
        <f t="array" ref="F656">_xlfn.LET(
_xlpm.status,UPPER(TRIM(B656&amp;"")),
_xlpm.risk,UPPER(TRIM(C656&amp;"")),
_xlpm.notify,UPPER(TRIM(D656&amp;"")),
_xlpm.form,UPPER(TRIM(E656&amp;"")),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56" s="1" t="str">
        <f t="shared" si="10"/>
        <v>NA</v>
      </c>
      <c r="H656" s="5"/>
      <c r="I656" s="1" t="s">
        <v>37</v>
      </c>
      <c r="J656" s="1"/>
      <c r="K656" s="1" t="s">
        <v>646</v>
      </c>
      <c r="L656" s="1" t="s">
        <v>21</v>
      </c>
      <c r="M656" s="1"/>
      <c r="N656" s="1" t="s">
        <v>83</v>
      </c>
      <c r="O656" s="1" t="s">
        <v>19</v>
      </c>
      <c r="P656" s="1" t="s">
        <v>18</v>
      </c>
      <c r="Q656" s="1" t="s">
        <v>20</v>
      </c>
      <c r="R656" s="1"/>
      <c r="S656" s="1"/>
      <c r="T656" s="1"/>
    </row>
    <row r="657" spans="1:20">
      <c r="A657" s="1" t="s">
        <v>670</v>
      </c>
      <c r="B657" s="1" t="str" cm="1">
        <f t="array" ref="B657">IF(A657="","",_xlfn.IFS(COUNTIF($U:$U,A657)&gt;0,"All uploaded",COUNTIF($V:$V,A657)&gt;0,"Partly uploaded",COUNTIF($W:$X,A657)&gt;0,"Not uploaded",TRUE,"Not classified"))</f>
        <v>Not uploaded</v>
      </c>
      <c r="C657" s="1" t="str" cm="1">
        <f t="array" ref="C657">_xlfn.SWITCH(TRIM(I657),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57" s="1"/>
      <c r="E657" s="1"/>
      <c r="F657" s="1" t="str" cm="1">
        <f t="array" ref="F657">_xlfn.LET(
_xlpm.status,UPPER(TRIM(B657&amp;"")),
_xlpm.risk,UPPER(TRIM(C657&amp;"")),
_xlpm.notify,UPPER(TRIM(D657&amp;"")),
_xlpm.form,UPPER(TRIM(E657&amp;"")),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57" s="1" t="str">
        <f t="shared" si="10"/>
        <v>NA</v>
      </c>
      <c r="H657" s="5"/>
      <c r="I657" s="1" t="s">
        <v>37</v>
      </c>
      <c r="J657" s="1"/>
      <c r="K657" s="1" t="s">
        <v>646</v>
      </c>
      <c r="L657" s="1" t="s">
        <v>21</v>
      </c>
      <c r="M657" s="1"/>
      <c r="N657" s="1" t="s">
        <v>671</v>
      </c>
      <c r="O657" s="1" t="s">
        <v>19</v>
      </c>
      <c r="P657" s="1" t="s">
        <v>18</v>
      </c>
      <c r="Q657" s="1" t="s">
        <v>20</v>
      </c>
      <c r="R657" s="1"/>
      <c r="S657" s="1"/>
      <c r="T657" s="1"/>
    </row>
    <row r="658" spans="1:20">
      <c r="A658" s="1" t="s">
        <v>673</v>
      </c>
      <c r="B658" s="1" t="str" cm="1">
        <f t="array" ref="B658">IF(A658="","",_xlfn.IFS(COUNTIF($U:$U,A658)&gt;0,"All uploaded",COUNTIF($V:$V,A658)&gt;0,"Partly uploaded",COUNTIF($W:$X,A658)&gt;0,"Not uploaded",TRUE,"Not classified"))</f>
        <v>Not uploaded</v>
      </c>
      <c r="C658" s="1" t="str" cm="1">
        <f t="array" ref="C658">_xlfn.SWITCH(TRIM(I658),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58" s="1"/>
      <c r="E658" s="1"/>
      <c r="F658" s="1" t="str" cm="1">
        <f t="array" ref="F658">_xlfn.LET(
_xlpm.status,UPPER(TRIM(B658&amp;"")),
_xlpm.risk,UPPER(TRIM(C658&amp;"")),
_xlpm.notify,UPPER(TRIM(D658&amp;"")),
_xlpm.form,UPPER(TRIM(E658&amp;"")),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58" s="1" t="str">
        <f t="shared" si="10"/>
        <v>NA</v>
      </c>
      <c r="H658" s="5"/>
      <c r="I658" s="1" t="s">
        <v>37</v>
      </c>
      <c r="J658" s="1"/>
      <c r="K658" s="1" t="s">
        <v>672</v>
      </c>
      <c r="L658" s="1" t="s">
        <v>21</v>
      </c>
      <c r="M658" s="1"/>
      <c r="N658" s="1" t="s">
        <v>83</v>
      </c>
      <c r="O658" s="1" t="s">
        <v>19</v>
      </c>
      <c r="P658" s="1" t="s">
        <v>18</v>
      </c>
      <c r="Q658" s="1" t="s">
        <v>20</v>
      </c>
      <c r="R658" s="1"/>
      <c r="S658" s="1"/>
      <c r="T658" s="1"/>
    </row>
    <row r="659" spans="1:20">
      <c r="A659" s="1" t="s">
        <v>675</v>
      </c>
      <c r="B659" s="1" t="str" cm="1">
        <f t="array" ref="B659">IF(A659="","",_xlfn.IFS(COUNTIF($U:$U,A659)&gt;0,"All uploaded",COUNTIF($V:$V,A659)&gt;0,"Partly uploaded",COUNTIF($W:$X,A659)&gt;0,"Not uploaded",TRUE,"Not classified"))</f>
        <v>Not uploaded</v>
      </c>
      <c r="C659" s="1" t="str" cm="1">
        <f t="array" ref="C659">_xlfn.SWITCH(TRIM(I659),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59" s="1"/>
      <c r="E659" s="1"/>
      <c r="F659" s="1" t="str" cm="1">
        <f t="array" ref="F659">_xlfn.LET(
_xlpm.status,UPPER(TRIM(B659&amp;"")),
_xlpm.risk,UPPER(TRIM(C659&amp;"")),
_xlpm.notify,UPPER(TRIM(D659&amp;"")),
_xlpm.form,UPPER(TRIM(E659&amp;"")),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59" s="1" t="str">
        <f t="shared" si="10"/>
        <v>NA</v>
      </c>
      <c r="H659" s="5"/>
      <c r="I659" s="1" t="s">
        <v>37</v>
      </c>
      <c r="J659" s="1"/>
      <c r="K659" s="1" t="s">
        <v>674</v>
      </c>
      <c r="L659" s="1" t="s">
        <v>21</v>
      </c>
      <c r="M659" s="1"/>
      <c r="N659" s="1" t="s">
        <v>83</v>
      </c>
      <c r="O659" s="1" t="s">
        <v>19</v>
      </c>
      <c r="P659" s="1" t="s">
        <v>18</v>
      </c>
      <c r="Q659" s="1" t="s">
        <v>20</v>
      </c>
      <c r="R659" s="1"/>
      <c r="S659" s="1"/>
      <c r="T659" s="1"/>
    </row>
    <row r="660" spans="1:20">
      <c r="A660" s="1" t="s">
        <v>682</v>
      </c>
      <c r="B660" s="1" t="str" cm="1">
        <f t="array" ref="B660">IF(A660="","",_xlfn.IFS(COUNTIF($U:$U,A660)&gt;0,"All uploaded",COUNTIF($V:$V,A660)&gt;0,"Partly uploaded",COUNTIF($W:$X,A660)&gt;0,"Not uploaded",TRUE,"Not classified"))</f>
        <v>Not uploaded</v>
      </c>
      <c r="C660" s="1" t="str" cm="1">
        <f t="array" ref="C660">_xlfn.SWITCH(TRIM(I660),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60" s="1"/>
      <c r="E660" s="1"/>
      <c r="F660" s="1" t="str" cm="1">
        <f t="array" ref="F660">_xlfn.LET(
_xlpm.status,UPPER(TRIM(B660&amp;"")),
_xlpm.risk,UPPER(TRIM(C660&amp;"")),
_xlpm.notify,UPPER(TRIM(D660&amp;"")),
_xlpm.form,UPPER(TRIM(E660&amp;"")),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60" s="1" t="str">
        <f t="shared" si="10"/>
        <v>NA</v>
      </c>
      <c r="H660" s="5"/>
      <c r="I660" s="1" t="s">
        <v>37</v>
      </c>
      <c r="J660" s="1"/>
      <c r="K660" s="1" t="s">
        <v>681</v>
      </c>
      <c r="L660" s="1" t="s">
        <v>21</v>
      </c>
      <c r="M660" s="1"/>
      <c r="N660" s="1" t="s">
        <v>683</v>
      </c>
      <c r="O660" s="1" t="s">
        <v>19</v>
      </c>
      <c r="P660" s="1" t="s">
        <v>18</v>
      </c>
      <c r="Q660" s="1" t="s">
        <v>20</v>
      </c>
      <c r="R660" s="1"/>
      <c r="S660" s="1"/>
      <c r="T660" s="1"/>
    </row>
    <row r="661" spans="1:20">
      <c r="A661" s="1" t="s">
        <v>685</v>
      </c>
      <c r="B661" s="1" t="str" cm="1">
        <f t="array" ref="B661">IF(A661="","",_xlfn.IFS(COUNTIF($U:$U,A661)&gt;0,"All uploaded",COUNTIF($V:$V,A661)&gt;0,"Partly uploaded",COUNTIF($W:$X,A661)&gt;0,"Not uploaded",TRUE,"Not classified"))</f>
        <v>Not uploaded</v>
      </c>
      <c r="C661" s="1" t="str" cm="1">
        <f t="array" ref="C661">_xlfn.SWITCH(TRIM(I661),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61" s="1"/>
      <c r="E661" s="1"/>
      <c r="F661" s="1" t="str" cm="1">
        <f t="array" ref="F661">_xlfn.LET(
_xlpm.status,UPPER(TRIM(B661&amp;"")),
_xlpm.risk,UPPER(TRIM(C661&amp;"")),
_xlpm.notify,UPPER(TRIM(D661&amp;"")),
_xlpm.form,UPPER(TRIM(E661&amp;"")),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61" s="1" t="str">
        <f t="shared" si="10"/>
        <v>Required</v>
      </c>
      <c r="H661" s="5"/>
      <c r="I661" s="1" t="s">
        <v>47</v>
      </c>
      <c r="J661" s="1"/>
      <c r="K661" s="1" t="s">
        <v>684</v>
      </c>
      <c r="L661" s="1" t="s">
        <v>27</v>
      </c>
      <c r="M661" s="1"/>
      <c r="N661" s="1" t="s">
        <v>686</v>
      </c>
      <c r="O661" s="1" t="s">
        <v>19</v>
      </c>
      <c r="P661" s="1" t="s">
        <v>18</v>
      </c>
      <c r="Q661" s="1" t="s">
        <v>20</v>
      </c>
      <c r="R661" s="1"/>
      <c r="S661" s="1"/>
      <c r="T661" s="1"/>
    </row>
    <row r="662" spans="1:20">
      <c r="A662" s="1" t="s">
        <v>694</v>
      </c>
      <c r="B662" s="1" t="str" cm="1">
        <f t="array" ref="B662">IF(A662="","",_xlfn.IFS(COUNTIF($U:$U,A662)&gt;0,"All uploaded",COUNTIF($V:$V,A662)&gt;0,"Partly uploaded",COUNTIF($W:$X,A662)&gt;0,"Not uploaded",TRUE,"Not classified"))</f>
        <v>Not uploaded</v>
      </c>
      <c r="C662" s="1" t="str" cm="1">
        <f t="array" ref="C662">_xlfn.SWITCH(TRIM(I662),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62" s="1"/>
      <c r="E662" s="1"/>
      <c r="F662" s="1" t="str" cm="1">
        <f t="array" ref="F662">_xlfn.LET(
_xlpm.status,UPPER(TRIM(B662&amp;"")),
_xlpm.risk,UPPER(TRIM(C662&amp;"")),
_xlpm.notify,UPPER(TRIM(D662&amp;"")),
_xlpm.form,UPPER(TRIM(E662&amp;"")),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62" s="1" t="str">
        <f t="shared" si="10"/>
        <v>NA</v>
      </c>
      <c r="H662" s="5"/>
      <c r="I662" s="1" t="s">
        <v>37</v>
      </c>
      <c r="J662" s="1"/>
      <c r="K662" s="1" t="s">
        <v>684</v>
      </c>
      <c r="L662" s="1" t="s">
        <v>21</v>
      </c>
      <c r="M662" s="1"/>
      <c r="N662" s="1" t="s">
        <v>83</v>
      </c>
      <c r="O662" s="1" t="s">
        <v>19</v>
      </c>
      <c r="P662" s="1" t="s">
        <v>18</v>
      </c>
      <c r="Q662" s="1" t="s">
        <v>20</v>
      </c>
      <c r="R662" s="1"/>
      <c r="S662" s="1"/>
      <c r="T662" s="1"/>
    </row>
    <row r="663" spans="1:20">
      <c r="A663" s="1" t="s">
        <v>702</v>
      </c>
      <c r="B663" s="1" t="str" cm="1">
        <f t="array" ref="B663">IF(A663="","",_xlfn.IFS(COUNTIF($U:$U,A663)&gt;0,"All uploaded",COUNTIF($V:$V,A663)&gt;0,"Partly uploaded",COUNTIF($W:$X,A663)&gt;0,"Not uploaded",TRUE,"Not classified"))</f>
        <v>Partly uploaded</v>
      </c>
      <c r="C663" s="1" t="str" cm="1">
        <f t="array" ref="C663">_xlfn.SWITCH(TRIM(I663),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63" s="1"/>
      <c r="E663" s="1"/>
      <c r="F663" s="1" t="str" cm="1">
        <f t="array" ref="F663">_xlfn.LET(
_xlpm.status,UPPER(TRIM(B663&amp;"")),
_xlpm.risk,UPPER(TRIM(C663&amp;"")),
_xlpm.notify,UPPER(TRIM(D663&amp;"")),
_xlpm.form,UPPER(TRIM(E663&amp;"")),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63" s="1" t="str">
        <f t="shared" si="10"/>
        <v>Required</v>
      </c>
      <c r="H663" s="5"/>
      <c r="I663" s="1" t="s">
        <v>510</v>
      </c>
      <c r="J663" s="1"/>
      <c r="K663" s="1" t="s">
        <v>684</v>
      </c>
      <c r="L663" s="1" t="s">
        <v>25</v>
      </c>
      <c r="M663" s="1"/>
      <c r="N663" s="1" t="s">
        <v>703</v>
      </c>
      <c r="O663" s="1" t="s">
        <v>19</v>
      </c>
      <c r="P663" s="1" t="s">
        <v>18</v>
      </c>
      <c r="Q663" s="1" t="s">
        <v>20</v>
      </c>
      <c r="R663" s="1"/>
      <c r="S663" s="1"/>
      <c r="T663" s="1"/>
    </row>
    <row r="664" spans="1:20">
      <c r="A664" s="1" t="s">
        <v>706</v>
      </c>
      <c r="B664" s="1" t="str" cm="1">
        <f t="array" ref="B664">IF(A664="","",_xlfn.IFS(COUNTIF($U:$U,A664)&gt;0,"All uploaded",COUNTIF($V:$V,A664)&gt;0,"Partly uploaded",COUNTIF($W:$X,A664)&gt;0,"Not uploaded",TRUE,"Not classified"))</f>
        <v>Partly uploaded</v>
      </c>
      <c r="C664" s="1" t="str" cm="1">
        <f t="array" ref="C664">_xlfn.SWITCH(TRIM(I664),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64" s="1"/>
      <c r="E664" s="1"/>
      <c r="F664" s="1" t="str" cm="1">
        <f t="array" ref="F664">_xlfn.LET(
_xlpm.status,UPPER(TRIM(B664&amp;"")),
_xlpm.risk,UPPER(TRIM(C664&amp;"")),
_xlpm.notify,UPPER(TRIM(D664&amp;"")),
_xlpm.form,UPPER(TRIM(E664&amp;"")),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64" s="1" t="str">
        <f t="shared" si="10"/>
        <v>Required</v>
      </c>
      <c r="H664" s="5"/>
      <c r="I664" s="1" t="s">
        <v>101</v>
      </c>
      <c r="J664" s="1"/>
      <c r="K664" s="1" t="s">
        <v>684</v>
      </c>
      <c r="L664" s="1" t="s">
        <v>27</v>
      </c>
      <c r="M664" s="1"/>
      <c r="N664" s="1" t="s">
        <v>449</v>
      </c>
      <c r="O664" s="1" t="s">
        <v>19</v>
      </c>
      <c r="P664" s="1" t="s">
        <v>18</v>
      </c>
      <c r="Q664" s="1" t="s">
        <v>20</v>
      </c>
      <c r="R664" s="1"/>
      <c r="S664" s="1"/>
      <c r="T664" s="1"/>
    </row>
    <row r="665" spans="1:20">
      <c r="A665" s="1" t="s">
        <v>695</v>
      </c>
      <c r="B665" s="1" t="str" cm="1">
        <f t="array" ref="B665">IF(A665="","",_xlfn.IFS(COUNTIF($U:$U,A665)&gt;0,"All uploaded",COUNTIF($V:$V,A665)&gt;0,"Partly uploaded",COUNTIF($W:$X,A665)&gt;0,"Not uploaded",TRUE,"Not classified"))</f>
        <v>Partly uploaded</v>
      </c>
      <c r="C665" s="1" t="str" cm="1">
        <f t="array" ref="C665">_xlfn.SWITCH(TRIM(I665),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65" s="1"/>
      <c r="E665" s="1"/>
      <c r="F665" s="1" t="str" cm="1">
        <f t="array" ref="F665">_xlfn.LET(
_xlpm.status,UPPER(TRIM(B665&amp;"")),
_xlpm.risk,UPPER(TRIM(C665&amp;"")),
_xlpm.notify,UPPER(TRIM(D665&amp;"")),
_xlpm.form,UPPER(TRIM(E665&amp;"")),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65" s="1" t="str">
        <f t="shared" si="10"/>
        <v>Required</v>
      </c>
      <c r="H665" s="5"/>
      <c r="I665" s="1" t="s">
        <v>47</v>
      </c>
      <c r="J665" s="1"/>
      <c r="K665" s="1" t="s">
        <v>684</v>
      </c>
      <c r="L665" s="1" t="s">
        <v>27</v>
      </c>
      <c r="M665" s="1"/>
      <c r="N665" s="1" t="s">
        <v>94</v>
      </c>
      <c r="O665" s="1" t="s">
        <v>19</v>
      </c>
      <c r="P665" s="1" t="s">
        <v>18</v>
      </c>
      <c r="Q665" s="1" t="s">
        <v>20</v>
      </c>
      <c r="R665" s="1"/>
      <c r="S665" s="1"/>
      <c r="T665" s="1"/>
    </row>
    <row r="666" spans="1:20">
      <c r="A666" s="1" t="s">
        <v>711</v>
      </c>
      <c r="B666" s="1" t="str" cm="1">
        <f t="array" ref="B666">IF(A666="","",_xlfn.IFS(COUNTIF($U:$U,A666)&gt;0,"All uploaded",COUNTIF($V:$V,A666)&gt;0,"Partly uploaded",COUNTIF($W:$X,A666)&gt;0,"Not uploaded",TRUE,"Not classified"))</f>
        <v>Partly uploaded</v>
      </c>
      <c r="C666" s="1" t="str" cm="1">
        <f t="array" ref="C666">_xlfn.SWITCH(TRIM(I666),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66" s="1"/>
      <c r="E666" s="1"/>
      <c r="F666" s="1" t="str" cm="1">
        <f t="array" ref="F666">_xlfn.LET(
_xlpm.status,UPPER(TRIM(B666&amp;"")),
_xlpm.risk,UPPER(TRIM(C666&amp;"")),
_xlpm.notify,UPPER(TRIM(D666&amp;"")),
_xlpm.form,UPPER(TRIM(E666&amp;"")),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66" s="1" t="str">
        <f t="shared" si="10"/>
        <v>NA</v>
      </c>
      <c r="H666" s="5"/>
      <c r="I666" s="1" t="s">
        <v>29</v>
      </c>
      <c r="J666" s="1"/>
      <c r="K666" s="1" t="s">
        <v>710</v>
      </c>
      <c r="L666" s="1" t="s">
        <v>23</v>
      </c>
      <c r="M666" s="1"/>
      <c r="N666" s="1" t="s">
        <v>712</v>
      </c>
      <c r="O666" s="1" t="s">
        <v>19</v>
      </c>
      <c r="P666" s="1" t="s">
        <v>18</v>
      </c>
      <c r="Q666" s="1" t="s">
        <v>20</v>
      </c>
      <c r="R666" s="1"/>
      <c r="S666" s="1"/>
      <c r="T666" s="1"/>
    </row>
    <row r="667" spans="1:20">
      <c r="A667" s="1" t="s">
        <v>718</v>
      </c>
      <c r="B667" s="1" t="str" cm="1">
        <f t="array" ref="B667">IF(A667="","",_xlfn.IFS(COUNTIF($U:$U,A667)&gt;0,"All uploaded",COUNTIF($V:$V,A667)&gt;0,"Partly uploaded",COUNTIF($W:$X,A667)&gt;0,"Not uploaded",TRUE,"Not classified"))</f>
        <v>Not uploaded</v>
      </c>
      <c r="C667" s="1" t="str" cm="1">
        <f t="array" ref="C667">_xlfn.SWITCH(TRIM(I667),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67" s="1"/>
      <c r="E667" s="1"/>
      <c r="F667" s="1" t="str" cm="1">
        <f t="array" ref="F667">_xlfn.LET(
_xlpm.status,UPPER(TRIM(B667&amp;"")),
_xlpm.risk,UPPER(TRIM(C667&amp;"")),
_xlpm.notify,UPPER(TRIM(D667&amp;"")),
_xlpm.form,UPPER(TRIM(E667&amp;"")),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67" s="1" t="str">
        <f t="shared" si="10"/>
        <v>Required</v>
      </c>
      <c r="H667" s="5"/>
      <c r="I667" s="1" t="s">
        <v>54</v>
      </c>
      <c r="J667" s="1"/>
      <c r="K667" s="1" t="s">
        <v>717</v>
      </c>
      <c r="L667" s="1" t="s">
        <v>33</v>
      </c>
      <c r="M667" s="1"/>
      <c r="N667" s="1" t="s">
        <v>719</v>
      </c>
      <c r="O667" s="1" t="s">
        <v>19</v>
      </c>
      <c r="P667" s="1" t="s">
        <v>18</v>
      </c>
      <c r="Q667" s="1" t="s">
        <v>20</v>
      </c>
      <c r="R667" s="1"/>
      <c r="S667" s="1"/>
      <c r="T667" s="1"/>
    </row>
    <row r="668" spans="1:20">
      <c r="A668" s="1" t="s">
        <v>720</v>
      </c>
      <c r="B668" s="1" t="str" cm="1">
        <f t="array" ref="B668">IF(A668="","",_xlfn.IFS(COUNTIF($U:$U,A668)&gt;0,"All uploaded",COUNTIF($V:$V,A668)&gt;0,"Partly uploaded",COUNTIF($W:$X,A668)&gt;0,"Not uploaded",TRUE,"Not classified"))</f>
        <v>Not uploaded</v>
      </c>
      <c r="C668" s="1" t="str" cm="1">
        <f t="array" ref="C668">_xlfn.SWITCH(TRIM(I668),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68" s="1"/>
      <c r="E668" s="1"/>
      <c r="F668" s="1" t="str" cm="1">
        <f t="array" ref="F668">_xlfn.LET(
_xlpm.status,UPPER(TRIM(B668&amp;"")),
_xlpm.risk,UPPER(TRIM(C668&amp;"")),
_xlpm.notify,UPPER(TRIM(D668&amp;"")),
_xlpm.form,UPPER(TRIM(E668&amp;"")),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68" s="1" t="str">
        <f t="shared" si="10"/>
        <v>Required</v>
      </c>
      <c r="H668" s="5"/>
      <c r="I668" s="1" t="s">
        <v>54</v>
      </c>
      <c r="J668" s="1"/>
      <c r="K668" s="1" t="s">
        <v>717</v>
      </c>
      <c r="L668" s="1" t="s">
        <v>22</v>
      </c>
      <c r="M668" s="1"/>
      <c r="N668" s="1" t="s">
        <v>721</v>
      </c>
      <c r="O668" s="1" t="s">
        <v>19</v>
      </c>
      <c r="P668" s="1" t="s">
        <v>18</v>
      </c>
      <c r="Q668" s="1" t="s">
        <v>20</v>
      </c>
      <c r="R668" s="1"/>
      <c r="S668" s="1"/>
      <c r="T668" s="1"/>
    </row>
    <row r="669" spans="1:20">
      <c r="A669" s="1" t="s">
        <v>722</v>
      </c>
      <c r="B669" s="1" t="str" cm="1">
        <f t="array" ref="B669">IF(A669="","",_xlfn.IFS(COUNTIF($U:$U,A669)&gt;0,"All uploaded",COUNTIF($V:$V,A669)&gt;0,"Partly uploaded",COUNTIF($W:$X,A669)&gt;0,"Not uploaded",TRUE,"Not classified"))</f>
        <v>Not uploaded</v>
      </c>
      <c r="C669" s="1" t="str" cm="1">
        <f t="array" ref="C669">_xlfn.SWITCH(TRIM(I669),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69" s="1"/>
      <c r="E669" s="1"/>
      <c r="F669" s="1" t="str" cm="1">
        <f t="array" ref="F669">_xlfn.LET(
_xlpm.status,UPPER(TRIM(B669&amp;"")),
_xlpm.risk,UPPER(TRIM(C669&amp;"")),
_xlpm.notify,UPPER(TRIM(D669&amp;"")),
_xlpm.form,UPPER(TRIM(E669&amp;"")),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69" s="1" t="str">
        <f t="shared" si="10"/>
        <v>NA</v>
      </c>
      <c r="H669" s="5"/>
      <c r="I669" s="1" t="s">
        <v>37</v>
      </c>
      <c r="J669" s="1"/>
      <c r="K669" s="1" t="s">
        <v>717</v>
      </c>
      <c r="L669" s="1" t="s">
        <v>21</v>
      </c>
      <c r="M669" s="1"/>
      <c r="N669" s="1" t="s">
        <v>83</v>
      </c>
      <c r="O669" s="1" t="s">
        <v>19</v>
      </c>
      <c r="P669" s="1" t="s">
        <v>18</v>
      </c>
      <c r="Q669" s="1" t="s">
        <v>20</v>
      </c>
      <c r="R669" s="1"/>
      <c r="S669" s="1"/>
      <c r="T669" s="1"/>
    </row>
    <row r="670" spans="1:20">
      <c r="A670" s="1" t="s">
        <v>723</v>
      </c>
      <c r="B670" s="1" t="str" cm="1">
        <f t="array" ref="B670">IF(A670="","",_xlfn.IFS(COUNTIF($U:$U,A670)&gt;0,"All uploaded",COUNTIF($V:$V,A670)&gt;0,"Partly uploaded",COUNTIF($W:$X,A670)&gt;0,"Not uploaded",TRUE,"Not classified"))</f>
        <v>Not uploaded</v>
      </c>
      <c r="C670" s="1" t="str" cm="1">
        <f t="array" ref="C670">_xlfn.SWITCH(TRIM(I670),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70" s="1"/>
      <c r="E670" s="1"/>
      <c r="F670" s="1" t="str" cm="1">
        <f t="array" ref="F670">_xlfn.LET(
_xlpm.status,UPPER(TRIM(B670&amp;"")),
_xlpm.risk,UPPER(TRIM(C670&amp;"")),
_xlpm.notify,UPPER(TRIM(D670&amp;"")),
_xlpm.form,UPPER(TRIM(E670&amp;"")),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70" s="1" t="str">
        <f t="shared" si="10"/>
        <v>NA</v>
      </c>
      <c r="H670" s="5"/>
      <c r="I670" s="1" t="s">
        <v>29</v>
      </c>
      <c r="J670" s="1"/>
      <c r="K670" s="1" t="s">
        <v>717</v>
      </c>
      <c r="L670" s="1" t="s">
        <v>10</v>
      </c>
      <c r="M670" s="1"/>
      <c r="N670" s="1" t="s">
        <v>724</v>
      </c>
      <c r="O670" s="1" t="s">
        <v>19</v>
      </c>
      <c r="P670" s="1" t="s">
        <v>18</v>
      </c>
      <c r="Q670" s="1" t="s">
        <v>20</v>
      </c>
      <c r="R670" s="1"/>
      <c r="S670" s="1"/>
      <c r="T670" s="1"/>
    </row>
    <row r="671" spans="1:20">
      <c r="A671" s="1" t="s">
        <v>725</v>
      </c>
      <c r="B671" s="1" t="str" cm="1">
        <f t="array" ref="B671">IF(A671="","",_xlfn.IFS(COUNTIF($U:$U,A671)&gt;0,"All uploaded",COUNTIF($V:$V,A671)&gt;0,"Partly uploaded",COUNTIF($W:$X,A671)&gt;0,"Not uploaded",TRUE,"Not classified"))</f>
        <v>Not uploaded</v>
      </c>
      <c r="C671" s="1" t="str" cm="1">
        <f t="array" ref="C671">_xlfn.SWITCH(TRIM(I671),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71" s="1"/>
      <c r="E671" s="1"/>
      <c r="F671" s="1" t="str" cm="1">
        <f t="array" ref="F671">_xlfn.LET(
_xlpm.status,UPPER(TRIM(B671&amp;"")),
_xlpm.risk,UPPER(TRIM(C671&amp;"")),
_xlpm.notify,UPPER(TRIM(D671&amp;"")),
_xlpm.form,UPPER(TRIM(E671&amp;"")),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71" s="1" t="str">
        <f t="shared" si="10"/>
        <v>Required</v>
      </c>
      <c r="H671" s="5"/>
      <c r="I671" s="1" t="s">
        <v>26</v>
      </c>
      <c r="J671" s="1"/>
      <c r="K671" s="1" t="s">
        <v>717</v>
      </c>
      <c r="L671" s="1" t="s">
        <v>25</v>
      </c>
      <c r="M671" s="1"/>
      <c r="N671" s="1" t="s">
        <v>41</v>
      </c>
      <c r="O671" s="1" t="s">
        <v>19</v>
      </c>
      <c r="P671" s="1" t="s">
        <v>18</v>
      </c>
      <c r="Q671" s="1" t="s">
        <v>20</v>
      </c>
      <c r="R671" s="1"/>
      <c r="S671" s="1"/>
      <c r="T671" s="1"/>
    </row>
    <row r="672" spans="1:20">
      <c r="A672" s="1" t="s">
        <v>736</v>
      </c>
      <c r="B672" s="1" t="str" cm="1">
        <f t="array" ref="B672">IF(A672="","",_xlfn.IFS(COUNTIF($U:$U,A672)&gt;0,"All uploaded",COUNTIF($V:$V,A672)&gt;0,"Partly uploaded",COUNTIF($W:$X,A672)&gt;0,"Not uploaded",TRUE,"Not classified"))</f>
        <v>Not uploaded</v>
      </c>
      <c r="C672" s="1" t="str" cm="1">
        <f t="array" ref="C672">_xlfn.SWITCH(TRIM(I672),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72" s="1"/>
      <c r="E672" s="1"/>
      <c r="F672" s="1" t="str" cm="1">
        <f t="array" ref="F672">_xlfn.LET(
_xlpm.status,UPPER(TRIM(B672&amp;"")),
_xlpm.risk,UPPER(TRIM(C672&amp;"")),
_xlpm.notify,UPPER(TRIM(D672&amp;"")),
_xlpm.form,UPPER(TRIM(E672&amp;"")),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72" s="1" t="str">
        <f t="shared" si="10"/>
        <v>NA</v>
      </c>
      <c r="H672" s="5"/>
      <c r="I672" s="1" t="s">
        <v>37</v>
      </c>
      <c r="J672" s="1"/>
      <c r="K672" s="1" t="s">
        <v>717</v>
      </c>
      <c r="L672" s="1" t="s">
        <v>21</v>
      </c>
      <c r="M672" s="1"/>
      <c r="N672" s="1" t="s">
        <v>83</v>
      </c>
      <c r="O672" s="1" t="s">
        <v>19</v>
      </c>
      <c r="P672" s="1" t="s">
        <v>18</v>
      </c>
      <c r="Q672" s="1" t="s">
        <v>20</v>
      </c>
      <c r="R672" s="1"/>
      <c r="S672" s="1"/>
      <c r="T672" s="1"/>
    </row>
    <row r="673" spans="1:20">
      <c r="A673" s="1" t="s">
        <v>737</v>
      </c>
      <c r="B673" s="1" t="str" cm="1">
        <f t="array" ref="B673">IF(A673="","",_xlfn.IFS(COUNTIF($U:$U,A673)&gt;0,"All uploaded",COUNTIF($V:$V,A673)&gt;0,"Partly uploaded",COUNTIF($W:$X,A673)&gt;0,"Not uploaded",TRUE,"Not classified"))</f>
        <v>Not uploaded</v>
      </c>
      <c r="C673" s="1" t="str" cm="1">
        <f t="array" ref="C673">_xlfn.SWITCH(TRIM(I673),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73" s="1"/>
      <c r="E673" s="1"/>
      <c r="F673" s="1" t="str" cm="1">
        <f t="array" ref="F673">_xlfn.LET(
_xlpm.status,UPPER(TRIM(B673&amp;"")),
_xlpm.risk,UPPER(TRIM(C673&amp;"")),
_xlpm.notify,UPPER(TRIM(D673&amp;"")),
_xlpm.form,UPPER(TRIM(E673&amp;"")),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73" s="1" t="str">
        <f t="shared" si="10"/>
        <v>Required</v>
      </c>
      <c r="H673" s="5"/>
      <c r="I673" s="1" t="s">
        <v>54</v>
      </c>
      <c r="J673" s="1"/>
      <c r="K673" s="1" t="s">
        <v>717</v>
      </c>
      <c r="L673" s="1" t="s">
        <v>22</v>
      </c>
      <c r="M673" s="1"/>
      <c r="N673" s="1" t="s">
        <v>738</v>
      </c>
      <c r="O673" s="1" t="s">
        <v>19</v>
      </c>
      <c r="P673" s="1" t="s">
        <v>18</v>
      </c>
      <c r="Q673" s="1" t="s">
        <v>20</v>
      </c>
      <c r="R673" s="1"/>
      <c r="S673" s="1"/>
      <c r="T673" s="1"/>
    </row>
    <row r="674" spans="1:20">
      <c r="A674" s="1" t="s">
        <v>740</v>
      </c>
      <c r="B674" s="1" t="str" cm="1">
        <f t="array" ref="B674">IF(A674="","",_xlfn.IFS(COUNTIF($U:$U,A674)&gt;0,"All uploaded",COUNTIF($V:$V,A674)&gt;0,"Partly uploaded",COUNTIF($W:$X,A674)&gt;0,"Not uploaded",TRUE,"Not classified"))</f>
        <v>Partly uploaded</v>
      </c>
      <c r="C674" s="1" t="str" cm="1">
        <f t="array" ref="C674">_xlfn.SWITCH(TRIM(I674),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74" s="1"/>
      <c r="E674" s="1"/>
      <c r="F674" s="1" t="str" cm="1">
        <f t="array" ref="F674">_xlfn.LET(
_xlpm.status,UPPER(TRIM(B674&amp;"")),
_xlpm.risk,UPPER(TRIM(C674&amp;"")),
_xlpm.notify,UPPER(TRIM(D674&amp;"")),
_xlpm.form,UPPER(TRIM(E674&amp;"")),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74" s="1" t="str">
        <f t="shared" si="10"/>
        <v>Required</v>
      </c>
      <c r="H674" s="5"/>
      <c r="I674" s="1" t="s">
        <v>54</v>
      </c>
      <c r="J674" s="1"/>
      <c r="K674" s="1" t="s">
        <v>739</v>
      </c>
      <c r="L674" s="1" t="s">
        <v>22</v>
      </c>
      <c r="M674" s="1"/>
      <c r="N674" s="1" t="s">
        <v>741</v>
      </c>
      <c r="O674" s="1" t="s">
        <v>19</v>
      </c>
      <c r="P674" s="1" t="s">
        <v>18</v>
      </c>
      <c r="Q674" s="1" t="s">
        <v>20</v>
      </c>
      <c r="R674" s="1"/>
      <c r="S674" s="1"/>
      <c r="T674" s="1"/>
    </row>
    <row r="675" spans="1:20">
      <c r="A675" s="1" t="s">
        <v>744</v>
      </c>
      <c r="B675" s="1" t="str" cm="1">
        <f t="array" ref="B675">IF(A675="","",_xlfn.IFS(COUNTIF($U:$U,A675)&gt;0,"All uploaded",COUNTIF($V:$V,A675)&gt;0,"Partly uploaded",COUNTIF($W:$X,A675)&gt;0,"Not uploaded",TRUE,"Not classified"))</f>
        <v>Not uploaded</v>
      </c>
      <c r="C675" s="1" t="str" cm="1">
        <f t="array" ref="C675">_xlfn.SWITCH(TRIM(I675),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75" s="1"/>
      <c r="E675" s="1"/>
      <c r="F675" s="1" t="str" cm="1">
        <f t="array" ref="F675">_xlfn.LET(
_xlpm.status,UPPER(TRIM(B675&amp;"")),
_xlpm.risk,UPPER(TRIM(C675&amp;"")),
_xlpm.notify,UPPER(TRIM(D675&amp;"")),
_xlpm.form,UPPER(TRIM(E675&amp;"")),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75" s="1" t="str">
        <f t="shared" si="10"/>
        <v>Required</v>
      </c>
      <c r="H675" s="5"/>
      <c r="I675" s="1" t="s">
        <v>54</v>
      </c>
      <c r="J675" s="1"/>
      <c r="K675" s="1" t="s">
        <v>739</v>
      </c>
      <c r="L675" s="1" t="s">
        <v>22</v>
      </c>
      <c r="M675" s="1"/>
      <c r="N675" s="1" t="s">
        <v>745</v>
      </c>
      <c r="O675" s="1" t="s">
        <v>19</v>
      </c>
      <c r="P675" s="1" t="s">
        <v>18</v>
      </c>
      <c r="Q675" s="1" t="s">
        <v>20</v>
      </c>
      <c r="R675" s="1"/>
      <c r="S675" s="1"/>
      <c r="T675" s="1"/>
    </row>
    <row r="676" spans="1:20">
      <c r="A676" s="1" t="s">
        <v>746</v>
      </c>
      <c r="B676" s="1" t="str" cm="1">
        <f t="array" ref="B676">IF(A676="","",_xlfn.IFS(COUNTIF($U:$U,A676)&gt;0,"All uploaded",COUNTIF($V:$V,A676)&gt;0,"Partly uploaded",COUNTIF($W:$X,A676)&gt;0,"Not uploaded",TRUE,"Not classified"))</f>
        <v>Not uploaded</v>
      </c>
      <c r="C676" s="1" t="str" cm="1">
        <f t="array" ref="C676">_xlfn.SWITCH(TRIM(I676),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76" s="1"/>
      <c r="E676" s="1"/>
      <c r="F676" s="1" t="str" cm="1">
        <f t="array" ref="F676">_xlfn.LET(
_xlpm.status,UPPER(TRIM(B676&amp;"")),
_xlpm.risk,UPPER(TRIM(C676&amp;"")),
_xlpm.notify,UPPER(TRIM(D676&amp;"")),
_xlpm.form,UPPER(TRIM(E676&amp;"")),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76" s="1" t="str">
        <f t="shared" si="10"/>
        <v>Required</v>
      </c>
      <c r="H676" s="5"/>
      <c r="I676" s="1" t="s">
        <v>54</v>
      </c>
      <c r="J676" s="1"/>
      <c r="K676" s="1" t="s">
        <v>739</v>
      </c>
      <c r="L676" s="1" t="s">
        <v>22</v>
      </c>
      <c r="M676" s="1"/>
      <c r="N676" s="1" t="s">
        <v>747</v>
      </c>
      <c r="O676" s="1" t="s">
        <v>19</v>
      </c>
      <c r="P676" s="1" t="s">
        <v>18</v>
      </c>
      <c r="Q676" s="1" t="s">
        <v>20</v>
      </c>
      <c r="R676" s="1"/>
      <c r="S676" s="1"/>
      <c r="T676" s="1"/>
    </row>
    <row r="677" spans="1:20">
      <c r="A677" s="1" t="s">
        <v>749</v>
      </c>
      <c r="B677" s="1" t="str" cm="1">
        <f t="array" ref="B677">IF(A677="","",_xlfn.IFS(COUNTIF($U:$U,A677)&gt;0,"All uploaded",COUNTIF($V:$V,A677)&gt;0,"Partly uploaded",COUNTIF($W:$X,A677)&gt;0,"Not uploaded",TRUE,"Not classified"))</f>
        <v>Not uploaded</v>
      </c>
      <c r="C677" s="1" t="str" cm="1">
        <f t="array" ref="C677">_xlfn.SWITCH(TRIM(I677),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77" s="1"/>
      <c r="E677" s="1"/>
      <c r="F677" s="1" t="str" cm="1">
        <f t="array" ref="F677">_xlfn.LET(
_xlpm.status,UPPER(TRIM(B677&amp;"")),
_xlpm.risk,UPPER(TRIM(C677&amp;"")),
_xlpm.notify,UPPER(TRIM(D677&amp;"")),
_xlpm.form,UPPER(TRIM(E677&amp;"")),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77" s="1" t="str">
        <f t="shared" si="10"/>
        <v>NA</v>
      </c>
      <c r="H677" s="5"/>
      <c r="I677" s="1" t="s">
        <v>37</v>
      </c>
      <c r="J677" s="1"/>
      <c r="K677" s="1" t="s">
        <v>748</v>
      </c>
      <c r="L677" s="1" t="s">
        <v>21</v>
      </c>
      <c r="M677" s="1"/>
      <c r="N677" s="1" t="s">
        <v>83</v>
      </c>
      <c r="O677" s="1" t="s">
        <v>19</v>
      </c>
      <c r="P677" s="1" t="s">
        <v>18</v>
      </c>
      <c r="Q677" s="1" t="s">
        <v>20</v>
      </c>
      <c r="R677" s="1"/>
      <c r="S677" s="1"/>
      <c r="T677" s="1"/>
    </row>
    <row r="678" spans="1:20">
      <c r="A678" s="1" t="s">
        <v>751</v>
      </c>
      <c r="B678" s="1" t="str" cm="1">
        <f t="array" ref="B678">IF(A678="","",_xlfn.IFS(COUNTIF($U:$U,A678)&gt;0,"All uploaded",COUNTIF($V:$V,A678)&gt;0,"Partly uploaded",COUNTIF($W:$X,A678)&gt;0,"Not uploaded",TRUE,"Not classified"))</f>
        <v>Partly uploaded</v>
      </c>
      <c r="C678" s="1" t="str" cm="1">
        <f t="array" ref="C678">_xlfn.SWITCH(TRIM(I678),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78" s="1"/>
      <c r="E678" s="1"/>
      <c r="F678" s="1" t="str" cm="1">
        <f t="array" ref="F678">_xlfn.LET(
_xlpm.status,UPPER(TRIM(B678&amp;"")),
_xlpm.risk,UPPER(TRIM(C678&amp;"")),
_xlpm.notify,UPPER(TRIM(D678&amp;"")),
_xlpm.form,UPPER(TRIM(E678&amp;"")),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78" s="1" t="str">
        <f t="shared" si="10"/>
        <v>NA</v>
      </c>
      <c r="H678" s="5"/>
      <c r="I678" s="1" t="s">
        <v>29</v>
      </c>
      <c r="J678" s="1"/>
      <c r="K678" s="1" t="s">
        <v>750</v>
      </c>
      <c r="L678" s="1" t="s">
        <v>23</v>
      </c>
      <c r="M678" s="1"/>
      <c r="N678" s="1" t="s">
        <v>752</v>
      </c>
      <c r="O678" s="1" t="s">
        <v>19</v>
      </c>
      <c r="P678" s="1" t="s">
        <v>18</v>
      </c>
      <c r="Q678" s="1" t="s">
        <v>20</v>
      </c>
      <c r="R678" s="1"/>
      <c r="S678" s="1"/>
      <c r="T678" s="1"/>
    </row>
    <row r="679" spans="1:20">
      <c r="A679" s="1" t="s">
        <v>756</v>
      </c>
      <c r="B679" s="1" t="str" cm="1">
        <f t="array" ref="B679">IF(A679="","",_xlfn.IFS(COUNTIF($U:$U,A679)&gt;0,"All uploaded",COUNTIF($V:$V,A679)&gt;0,"Partly uploaded",COUNTIF($W:$X,A679)&gt;0,"Not uploaded",TRUE,"Not classified"))</f>
        <v>Not uploaded</v>
      </c>
      <c r="C679" s="1" t="str" cm="1">
        <f t="array" ref="C679">_xlfn.SWITCH(TRIM(I679),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79" s="1"/>
      <c r="E679" s="1"/>
      <c r="F679" s="1" t="str" cm="1">
        <f t="array" ref="F679">_xlfn.LET(
_xlpm.status,UPPER(TRIM(B679&amp;"")),
_xlpm.risk,UPPER(TRIM(C679&amp;"")),
_xlpm.notify,UPPER(TRIM(D679&amp;"")),
_xlpm.form,UPPER(TRIM(E679&amp;"")),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79" s="1" t="str">
        <f t="shared" si="10"/>
        <v>NA</v>
      </c>
      <c r="H679" s="5"/>
      <c r="I679" s="1" t="s">
        <v>37</v>
      </c>
      <c r="J679" s="1"/>
      <c r="K679" s="1" t="s">
        <v>755</v>
      </c>
      <c r="L679" s="1" t="s">
        <v>21</v>
      </c>
      <c r="M679" s="1"/>
      <c r="N679" s="1" t="s">
        <v>83</v>
      </c>
      <c r="O679" s="1" t="s">
        <v>19</v>
      </c>
      <c r="P679" s="1" t="s">
        <v>18</v>
      </c>
      <c r="Q679" s="1" t="s">
        <v>20</v>
      </c>
      <c r="R679" s="1"/>
      <c r="S679" s="1"/>
      <c r="T679" s="1"/>
    </row>
    <row r="680" spans="1:20">
      <c r="A680" s="1" t="s">
        <v>757</v>
      </c>
      <c r="B680" s="1" t="str" cm="1">
        <f t="array" ref="B680">IF(A680="","",_xlfn.IFS(COUNTIF($U:$U,A680)&gt;0,"All uploaded",COUNTIF($V:$V,A680)&gt;0,"Partly uploaded",COUNTIF($W:$X,A680)&gt;0,"Not uploaded",TRUE,"Not classified"))</f>
        <v>Not uploaded</v>
      </c>
      <c r="C680" s="1" t="str" cm="1">
        <f t="array" ref="C680">_xlfn.SWITCH(TRIM(I680),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80" s="1"/>
      <c r="E680" s="1"/>
      <c r="F680" s="1" t="str" cm="1">
        <f t="array" ref="F680">_xlfn.LET(
_xlpm.status,UPPER(TRIM(B680&amp;"")),
_xlpm.risk,UPPER(TRIM(C680&amp;"")),
_xlpm.notify,UPPER(TRIM(D680&amp;"")),
_xlpm.form,UPPER(TRIM(E680&amp;"")),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80" s="1" t="str">
        <f t="shared" si="10"/>
        <v>NA</v>
      </c>
      <c r="H680" s="5"/>
      <c r="I680" s="1" t="s">
        <v>37</v>
      </c>
      <c r="J680" s="1"/>
      <c r="K680" s="1" t="s">
        <v>755</v>
      </c>
      <c r="L680" s="1" t="s">
        <v>21</v>
      </c>
      <c r="M680" s="1"/>
      <c r="N680" s="1" t="s">
        <v>758</v>
      </c>
      <c r="O680" s="1" t="s">
        <v>19</v>
      </c>
      <c r="P680" s="1" t="s">
        <v>18</v>
      </c>
      <c r="Q680" s="1" t="s">
        <v>20</v>
      </c>
      <c r="R680" s="1"/>
      <c r="S680" s="1"/>
      <c r="T680" s="1"/>
    </row>
    <row r="681" spans="1:20">
      <c r="A681" s="1" t="s">
        <v>765</v>
      </c>
      <c r="B681" s="1" t="str" cm="1">
        <f t="array" ref="B681">IF(A681="","",_xlfn.IFS(COUNTIF($U:$U,A681)&gt;0,"All uploaded",COUNTIF($V:$V,A681)&gt;0,"Partly uploaded",COUNTIF($W:$X,A681)&gt;0,"Not uploaded",TRUE,"Not classified"))</f>
        <v>Not uploaded</v>
      </c>
      <c r="C681" s="1" t="str" cm="1">
        <f t="array" ref="C681">_xlfn.SWITCH(TRIM(I681),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81" s="1"/>
      <c r="E681" s="1"/>
      <c r="F681" s="1" t="str" cm="1">
        <f t="array" ref="F681">_xlfn.LET(
_xlpm.status,UPPER(TRIM(B681&amp;"")),
_xlpm.risk,UPPER(TRIM(C681&amp;"")),
_xlpm.notify,UPPER(TRIM(D681&amp;"")),
_xlpm.form,UPPER(TRIM(E681&amp;"")),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81" s="1" t="str">
        <f t="shared" si="10"/>
        <v>Required</v>
      </c>
      <c r="H681" s="5"/>
      <c r="I681" s="1" t="s">
        <v>101</v>
      </c>
      <c r="J681" s="1"/>
      <c r="K681" s="1" t="s">
        <v>755</v>
      </c>
      <c r="L681" s="1" t="s">
        <v>27</v>
      </c>
      <c r="M681" s="1"/>
      <c r="N681" s="1" t="s">
        <v>440</v>
      </c>
      <c r="O681" s="1" t="s">
        <v>19</v>
      </c>
      <c r="P681" s="1" t="s">
        <v>18</v>
      </c>
      <c r="Q681" s="1" t="s">
        <v>20</v>
      </c>
      <c r="R681" s="1"/>
      <c r="S681" s="1"/>
      <c r="T681" s="1"/>
    </row>
    <row r="682" spans="1:20">
      <c r="A682" s="1" t="s">
        <v>766</v>
      </c>
      <c r="B682" s="1" t="str" cm="1">
        <f t="array" ref="B682">IF(A682="","",_xlfn.IFS(COUNTIF($U:$U,A682)&gt;0,"All uploaded",COUNTIF($V:$V,A682)&gt;0,"Partly uploaded",COUNTIF($W:$X,A682)&gt;0,"Not uploaded",TRUE,"Not classified"))</f>
        <v>Not uploaded</v>
      </c>
      <c r="C682" s="1" t="str" cm="1">
        <f t="array" ref="C682">_xlfn.SWITCH(TRIM(I682),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82" s="1"/>
      <c r="E682" s="1"/>
      <c r="F682" s="1" t="str" cm="1">
        <f t="array" ref="F682">_xlfn.LET(
_xlpm.status,UPPER(TRIM(B682&amp;"")),
_xlpm.risk,UPPER(TRIM(C682&amp;"")),
_xlpm.notify,UPPER(TRIM(D682&amp;"")),
_xlpm.form,UPPER(TRIM(E682&amp;"")),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82" s="1" t="str">
        <f t="shared" si="10"/>
        <v>NA</v>
      </c>
      <c r="H682" s="5"/>
      <c r="I682" s="1" t="s">
        <v>37</v>
      </c>
      <c r="J682" s="1"/>
      <c r="K682" s="1" t="s">
        <v>755</v>
      </c>
      <c r="L682" s="1" t="s">
        <v>21</v>
      </c>
      <c r="M682" s="1"/>
      <c r="N682" s="1" t="s">
        <v>83</v>
      </c>
      <c r="O682" s="1" t="s">
        <v>19</v>
      </c>
      <c r="P682" s="1" t="s">
        <v>18</v>
      </c>
      <c r="Q682" s="1" t="s">
        <v>20</v>
      </c>
      <c r="R682" s="1"/>
      <c r="S682" s="1"/>
      <c r="T682" s="1"/>
    </row>
    <row r="683" spans="1:20">
      <c r="A683" s="1" t="s">
        <v>768</v>
      </c>
      <c r="B683" s="1" t="str" cm="1">
        <f t="array" ref="B683">IF(A683="","",_xlfn.IFS(COUNTIF($U:$U,A683)&gt;0,"All uploaded",COUNTIF($V:$V,A683)&gt;0,"Partly uploaded",COUNTIF($W:$X,A683)&gt;0,"Not uploaded",TRUE,"Not classified"))</f>
        <v>Not uploaded</v>
      </c>
      <c r="C683" s="1" t="str" cm="1">
        <f t="array" ref="C683">_xlfn.SWITCH(TRIM(I683),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83" s="1"/>
      <c r="E683" s="1"/>
      <c r="F683" s="1" t="str" cm="1">
        <f t="array" ref="F683">_xlfn.LET(
_xlpm.status,UPPER(TRIM(B683&amp;"")),
_xlpm.risk,UPPER(TRIM(C683&amp;"")),
_xlpm.notify,UPPER(TRIM(D683&amp;"")),
_xlpm.form,UPPER(TRIM(E683&amp;"")),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83" s="1" t="str">
        <f t="shared" si="10"/>
        <v>NA</v>
      </c>
      <c r="H683" s="5"/>
      <c r="I683" s="1" t="s">
        <v>37</v>
      </c>
      <c r="J683" s="1"/>
      <c r="K683" s="1" t="s">
        <v>767</v>
      </c>
      <c r="L683" s="1" t="s">
        <v>21</v>
      </c>
      <c r="M683" s="1"/>
      <c r="N683" s="1" t="s">
        <v>769</v>
      </c>
      <c r="O683" s="1" t="s">
        <v>19</v>
      </c>
      <c r="P683" s="1" t="s">
        <v>18</v>
      </c>
      <c r="Q683" s="1" t="s">
        <v>20</v>
      </c>
      <c r="R683" s="1"/>
      <c r="S683" s="1"/>
      <c r="T683" s="1"/>
    </row>
    <row r="684" spans="1:20">
      <c r="A684" s="1" t="s">
        <v>770</v>
      </c>
      <c r="B684" s="1" t="str" cm="1">
        <f t="array" ref="B684">IF(A684="","",_xlfn.IFS(COUNTIF($U:$U,A684)&gt;0,"All uploaded",COUNTIF($V:$V,A684)&gt;0,"Partly uploaded",COUNTIF($W:$X,A684)&gt;0,"Not uploaded",TRUE,"Not classified"))</f>
        <v>Not uploaded</v>
      </c>
      <c r="C684" s="1" t="str" cm="1">
        <f t="array" ref="C684">_xlfn.SWITCH(TRIM(I684),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84" s="1"/>
      <c r="E684" s="1"/>
      <c r="F684" s="1" t="str" cm="1">
        <f t="array" ref="F684">_xlfn.LET(
_xlpm.status,UPPER(TRIM(B684&amp;"")),
_xlpm.risk,UPPER(TRIM(C684&amp;"")),
_xlpm.notify,UPPER(TRIM(D684&amp;"")),
_xlpm.form,UPPER(TRIM(E684&amp;"")),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84" s="1" t="str">
        <f t="shared" si="10"/>
        <v>Required</v>
      </c>
      <c r="H684" s="5"/>
      <c r="I684" s="1" t="s">
        <v>97</v>
      </c>
      <c r="J684" s="1"/>
      <c r="K684" s="1" t="s">
        <v>767</v>
      </c>
      <c r="L684" s="1" t="s">
        <v>27</v>
      </c>
      <c r="M684" s="1"/>
      <c r="N684" s="1" t="s">
        <v>94</v>
      </c>
      <c r="O684" s="1" t="s">
        <v>19</v>
      </c>
      <c r="P684" s="1" t="s">
        <v>18</v>
      </c>
      <c r="Q684" s="1" t="s">
        <v>20</v>
      </c>
      <c r="R684" s="1"/>
      <c r="S684" s="1"/>
      <c r="T684" s="1"/>
    </row>
    <row r="685" spans="1:20">
      <c r="A685" s="1" t="s">
        <v>772</v>
      </c>
      <c r="B685" s="1" t="str" cm="1">
        <f t="array" ref="B685">IF(A685="","",_xlfn.IFS(COUNTIF($U:$U,A685)&gt;0,"All uploaded",COUNTIF($V:$V,A685)&gt;0,"Partly uploaded",COUNTIF($W:$X,A685)&gt;0,"Not uploaded",TRUE,"Not classified"))</f>
        <v>Partly uploaded</v>
      </c>
      <c r="C685" s="1" t="str" cm="1">
        <f t="array" ref="C685">_xlfn.SWITCH(TRIM(I685),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85" s="1"/>
      <c r="E685" s="1"/>
      <c r="F685" s="1" t="str" cm="1">
        <f t="array" ref="F685">_xlfn.LET(
_xlpm.status,UPPER(TRIM(B685&amp;"")),
_xlpm.risk,UPPER(TRIM(C685&amp;"")),
_xlpm.notify,UPPER(TRIM(D685&amp;"")),
_xlpm.form,UPPER(TRIM(E685&amp;"")),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85" s="1" t="str">
        <f t="shared" si="10"/>
        <v>NA</v>
      </c>
      <c r="H685" s="5"/>
      <c r="I685" s="1" t="s">
        <v>29</v>
      </c>
      <c r="J685" s="1"/>
      <c r="K685" s="1" t="s">
        <v>771</v>
      </c>
      <c r="L685" s="1" t="s">
        <v>35</v>
      </c>
      <c r="M685" s="1"/>
      <c r="N685" s="1" t="s">
        <v>36</v>
      </c>
      <c r="O685" s="1" t="s">
        <v>19</v>
      </c>
      <c r="P685" s="1" t="s">
        <v>18</v>
      </c>
      <c r="Q685" s="1" t="s">
        <v>20</v>
      </c>
      <c r="R685" s="1"/>
      <c r="S685" s="1"/>
      <c r="T685" s="1"/>
    </row>
    <row r="686" spans="1:20">
      <c r="A686" s="1" t="s">
        <v>773</v>
      </c>
      <c r="B686" s="1" t="str" cm="1">
        <f t="array" ref="B686">IF(A686="","",_xlfn.IFS(COUNTIF($U:$U,A686)&gt;0,"All uploaded",COUNTIF($V:$V,A686)&gt;0,"Partly uploaded",COUNTIF($W:$X,A686)&gt;0,"Not uploaded",TRUE,"Not classified"))</f>
        <v>Partly uploaded</v>
      </c>
      <c r="C686" s="1" t="str" cm="1">
        <f t="array" ref="C686">_xlfn.SWITCH(TRIM(I686),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686" s="1"/>
      <c r="E686" s="1"/>
      <c r="F686" s="1" t="str" cm="1">
        <f t="array" ref="F686">_xlfn.LET(
_xlpm.status,UPPER(TRIM(B686&amp;"")),
_xlpm.risk,UPPER(TRIM(C686&amp;"")),
_xlpm.notify,UPPER(TRIM(D686&amp;"")),
_xlpm.form,UPPER(TRIM(E686&amp;"")),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86" s="1" t="str">
        <f t="shared" si="10"/>
        <v>NA</v>
      </c>
      <c r="H686" s="5"/>
      <c r="I686" s="1" t="s">
        <v>29</v>
      </c>
      <c r="J686" s="1"/>
      <c r="K686" s="1" t="s">
        <v>771</v>
      </c>
      <c r="L686" s="1" t="s">
        <v>23</v>
      </c>
      <c r="M686" s="1"/>
      <c r="N686" s="1" t="s">
        <v>493</v>
      </c>
      <c r="O686" s="1" t="s">
        <v>19</v>
      </c>
      <c r="P686" s="1" t="s">
        <v>18</v>
      </c>
      <c r="Q686" s="1" t="s">
        <v>20</v>
      </c>
      <c r="R686" s="1"/>
      <c r="S686" s="1"/>
      <c r="T686" s="1"/>
    </row>
    <row r="687" spans="1:20">
      <c r="A687" s="1" t="s">
        <v>780</v>
      </c>
      <c r="B687" s="1" t="str" cm="1">
        <f t="array" ref="B687">IF(A687="","",_xlfn.IFS(COUNTIF($U:$U,A687)&gt;0,"All uploaded",COUNTIF($V:$V,A687)&gt;0,"Partly uploaded",COUNTIF($W:$X,A687)&gt;0,"Not uploaded",TRUE,"Not classified"))</f>
        <v>Partly uploaded</v>
      </c>
      <c r="C687" s="1" t="str" cm="1">
        <f t="array" ref="C687">_xlfn.SWITCH(TRIM(I687),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87" s="1"/>
      <c r="E687" s="1"/>
      <c r="F687" s="1" t="str" cm="1">
        <f t="array" ref="F687">_xlfn.LET(
_xlpm.status,UPPER(TRIM(B687&amp;"")),
_xlpm.risk,UPPER(TRIM(C687&amp;"")),
_xlpm.notify,UPPER(TRIM(D687&amp;"")),
_xlpm.form,UPPER(TRIM(E687&amp;"")),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87" s="1" t="str">
        <f t="shared" si="10"/>
        <v>Required</v>
      </c>
      <c r="H687" s="5"/>
      <c r="I687" s="1" t="s">
        <v>87</v>
      </c>
      <c r="J687" s="1"/>
      <c r="K687" s="1" t="s">
        <v>779</v>
      </c>
      <c r="L687" s="1" t="s">
        <v>27</v>
      </c>
      <c r="M687" s="1"/>
      <c r="N687" s="1" t="s">
        <v>781</v>
      </c>
      <c r="O687" s="1" t="s">
        <v>19</v>
      </c>
      <c r="P687" s="1" t="s">
        <v>18</v>
      </c>
      <c r="Q687" s="1" t="s">
        <v>20</v>
      </c>
      <c r="R687" s="1"/>
      <c r="S687" s="1"/>
      <c r="T687" s="1"/>
    </row>
    <row r="688" spans="1:20">
      <c r="A688" s="1" t="s">
        <v>783</v>
      </c>
      <c r="B688" s="1" t="str" cm="1">
        <f t="array" ref="B688">IF(A688="","",_xlfn.IFS(COUNTIF($U:$U,A688)&gt;0,"All uploaded",COUNTIF($V:$V,A688)&gt;0,"Partly uploaded",COUNTIF($W:$X,A688)&gt;0,"Not uploaded",TRUE,"Not classified"))</f>
        <v>Partly uploaded</v>
      </c>
      <c r="C688" s="1" t="str" cm="1">
        <f t="array" ref="C688">_xlfn.SWITCH(TRIM(I688),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88" s="1"/>
      <c r="E688" s="1"/>
      <c r="F688" s="1" t="str" cm="1">
        <f t="array" ref="F688">_xlfn.LET(
_xlpm.status,UPPER(TRIM(B688&amp;"")),
_xlpm.risk,UPPER(TRIM(C688&amp;"")),
_xlpm.notify,UPPER(TRIM(D688&amp;"")),
_xlpm.form,UPPER(TRIM(E688&amp;"")),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88" s="1" t="str">
        <f t="shared" si="10"/>
        <v>Required</v>
      </c>
      <c r="H688" s="5"/>
      <c r="I688" s="1" t="s">
        <v>26</v>
      </c>
      <c r="J688" s="1"/>
      <c r="K688" s="1" t="s">
        <v>782</v>
      </c>
      <c r="L688" s="1" t="s">
        <v>25</v>
      </c>
      <c r="M688" s="1"/>
      <c r="N688" s="1" t="s">
        <v>107</v>
      </c>
      <c r="O688" s="1" t="s">
        <v>19</v>
      </c>
      <c r="P688" s="1" t="s">
        <v>18</v>
      </c>
      <c r="Q688" s="1" t="s">
        <v>20</v>
      </c>
      <c r="R688" s="1"/>
      <c r="S688" s="1"/>
      <c r="T688" s="1"/>
    </row>
    <row r="689" spans="1:20">
      <c r="A689" s="1" t="s">
        <v>789</v>
      </c>
      <c r="B689" s="1" t="str" cm="1">
        <f t="array" ref="B689">IF(A689="","",_xlfn.IFS(COUNTIF($U:$U,A689)&gt;0,"All uploaded",COUNTIF($V:$V,A689)&gt;0,"Partly uploaded",COUNTIF($W:$X,A689)&gt;0,"Not uploaded",TRUE,"Not classified"))</f>
        <v>Not uploaded</v>
      </c>
      <c r="C689" s="1" t="str" cm="1">
        <f t="array" ref="C689">_xlfn.SWITCH(TRIM(I689),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89" s="1"/>
      <c r="E689" s="1"/>
      <c r="F689" s="1" t="str" cm="1">
        <f t="array" ref="F689">_xlfn.LET(
_xlpm.status,UPPER(TRIM(B689&amp;"")),
_xlpm.risk,UPPER(TRIM(C689&amp;"")),
_xlpm.notify,UPPER(TRIM(D689&amp;"")),
_xlpm.form,UPPER(TRIM(E689&amp;"")),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89" s="1" t="str">
        <f t="shared" si="10"/>
        <v>Required</v>
      </c>
      <c r="H689" s="5"/>
      <c r="I689" s="1" t="s">
        <v>54</v>
      </c>
      <c r="J689" s="1"/>
      <c r="K689" s="1" t="s">
        <v>788</v>
      </c>
      <c r="L689" s="1" t="s">
        <v>22</v>
      </c>
      <c r="M689" s="1"/>
      <c r="N689" s="1" t="s">
        <v>790</v>
      </c>
      <c r="O689" s="1" t="s">
        <v>19</v>
      </c>
      <c r="P689" s="1" t="s">
        <v>18</v>
      </c>
      <c r="Q689" s="1" t="s">
        <v>20</v>
      </c>
      <c r="R689" s="1"/>
      <c r="S689" s="1"/>
      <c r="T689" s="1"/>
    </row>
    <row r="690" spans="1:20">
      <c r="A690" s="1" t="s">
        <v>796</v>
      </c>
      <c r="B690" s="1" t="str" cm="1">
        <f t="array" ref="B690">IF(A690="","",_xlfn.IFS(COUNTIF($U:$U,A690)&gt;0,"All uploaded",COUNTIF($V:$V,A690)&gt;0,"Partly uploaded",COUNTIF($W:$X,A690)&gt;0,"Not uploaded",TRUE,"Not classified"))</f>
        <v>Partly uploaded</v>
      </c>
      <c r="C690" s="1" t="str" cm="1">
        <f t="array" ref="C690">_xlfn.SWITCH(TRIM(I690),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90" s="1"/>
      <c r="E690" s="1"/>
      <c r="F690" s="1" t="str" cm="1">
        <f t="array" ref="F690">_xlfn.LET(
_xlpm.status,UPPER(TRIM(B690&amp;"")),
_xlpm.risk,UPPER(TRIM(C690&amp;"")),
_xlpm.notify,UPPER(TRIM(D690&amp;"")),
_xlpm.form,UPPER(TRIM(E690&amp;"")),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90" s="1" t="str">
        <f t="shared" si="10"/>
        <v>Required</v>
      </c>
      <c r="H690" s="5"/>
      <c r="I690" s="1" t="s">
        <v>342</v>
      </c>
      <c r="J690" s="1"/>
      <c r="K690" s="1" t="s">
        <v>795</v>
      </c>
      <c r="L690" s="1" t="s">
        <v>27</v>
      </c>
      <c r="M690" s="1"/>
      <c r="N690" s="1" t="s">
        <v>797</v>
      </c>
      <c r="O690" s="1" t="s">
        <v>19</v>
      </c>
      <c r="P690" s="1" t="s">
        <v>18</v>
      </c>
      <c r="Q690" s="1" t="s">
        <v>20</v>
      </c>
      <c r="R690" s="1"/>
      <c r="S690" s="1"/>
      <c r="T690" s="1"/>
    </row>
    <row r="691" spans="1:20">
      <c r="A691" s="1" t="s">
        <v>806</v>
      </c>
      <c r="B691" s="1" t="str" cm="1">
        <f t="array" ref="B691">IF(A691="","",_xlfn.IFS(COUNTIF($U:$U,A691)&gt;0,"All uploaded",COUNTIF($V:$V,A691)&gt;0,"Partly uploaded",COUNTIF($W:$X,A691)&gt;0,"Not uploaded",TRUE,"Not classified"))</f>
        <v>Not uploaded</v>
      </c>
      <c r="C691" s="1" t="str" cm="1">
        <f t="array" ref="C691">_xlfn.SWITCH(TRIM(I691),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91" s="1"/>
      <c r="E691" s="1"/>
      <c r="F691" s="1" t="str" cm="1">
        <f t="array" ref="F691">_xlfn.LET(
_xlpm.status,UPPER(TRIM(B691&amp;"")),
_xlpm.risk,UPPER(TRIM(C691&amp;"")),
_xlpm.notify,UPPER(TRIM(D691&amp;"")),
_xlpm.form,UPPER(TRIM(E691&amp;"")),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91" s="1" t="str">
        <f t="shared" si="10"/>
        <v>Required</v>
      </c>
      <c r="H691" s="5"/>
      <c r="I691" s="1" t="s">
        <v>54</v>
      </c>
      <c r="J691" s="1"/>
      <c r="K691" s="1" t="s">
        <v>795</v>
      </c>
      <c r="L691" s="1" t="s">
        <v>22</v>
      </c>
      <c r="M691" s="1"/>
      <c r="N691" s="1" t="s">
        <v>807</v>
      </c>
      <c r="O691" s="1" t="s">
        <v>19</v>
      </c>
      <c r="P691" s="1" t="s">
        <v>18</v>
      </c>
      <c r="Q691" s="1" t="s">
        <v>20</v>
      </c>
      <c r="R691" s="1"/>
      <c r="S691" s="1"/>
      <c r="T691" s="1"/>
    </row>
    <row r="692" spans="1:20">
      <c r="A692" s="1" t="s">
        <v>808</v>
      </c>
      <c r="B692" s="1" t="str" cm="1">
        <f t="array" ref="B692">IF(A692="","",_xlfn.IFS(COUNTIF($U:$U,A692)&gt;0,"All uploaded",COUNTIF($V:$V,A692)&gt;0,"Partly uploaded",COUNTIF($W:$X,A692)&gt;0,"Not uploaded",TRUE,"Not classified"))</f>
        <v>Not uploaded</v>
      </c>
      <c r="C692" s="1" t="str" cm="1">
        <f t="array" ref="C692">_xlfn.SWITCH(TRIM(I692),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92" s="1"/>
      <c r="E692" s="1"/>
      <c r="F692" s="1" t="str" cm="1">
        <f t="array" ref="F692">_xlfn.LET(
_xlpm.status,UPPER(TRIM(B692&amp;"")),
_xlpm.risk,UPPER(TRIM(C692&amp;"")),
_xlpm.notify,UPPER(TRIM(D692&amp;"")),
_xlpm.form,UPPER(TRIM(E692&amp;"")),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92" s="1" t="str">
        <f t="shared" si="10"/>
        <v>Required</v>
      </c>
      <c r="H692" s="5"/>
      <c r="I692" s="1" t="s">
        <v>87</v>
      </c>
      <c r="J692" s="1"/>
      <c r="K692" s="1" t="s">
        <v>795</v>
      </c>
      <c r="L692" s="1" t="s">
        <v>27</v>
      </c>
      <c r="M692" s="1"/>
      <c r="N692" s="1" t="s">
        <v>809</v>
      </c>
      <c r="O692" s="1" t="s">
        <v>19</v>
      </c>
      <c r="P692" s="1" t="s">
        <v>18</v>
      </c>
      <c r="Q692" s="1" t="s">
        <v>20</v>
      </c>
      <c r="R692" s="1"/>
      <c r="S692" s="1"/>
      <c r="T692" s="1"/>
    </row>
    <row r="693" spans="1:20">
      <c r="A693" s="1" t="s">
        <v>801</v>
      </c>
      <c r="B693" s="1" t="str" cm="1">
        <f t="array" ref="B693">IF(A693="","",_xlfn.IFS(COUNTIF($U:$U,A693)&gt;0,"All uploaded",COUNTIF($V:$V,A693)&gt;0,"Partly uploaded",COUNTIF($W:$X,A693)&gt;0,"Not uploaded",TRUE,"Not classified"))</f>
        <v>Partly uploaded</v>
      </c>
      <c r="C693" s="1" t="str" cm="1">
        <f t="array" ref="C693">_xlfn.SWITCH(TRIM(I693),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93" s="1"/>
      <c r="E693" s="1"/>
      <c r="F693" s="1" t="str" cm="1">
        <f t="array" ref="F693">_xlfn.LET(
_xlpm.status,UPPER(TRIM(B693&amp;"")),
_xlpm.risk,UPPER(TRIM(C693&amp;"")),
_xlpm.notify,UPPER(TRIM(D693&amp;"")),
_xlpm.form,UPPER(TRIM(E693&amp;"")),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93" s="1" t="str">
        <f t="shared" si="10"/>
        <v>Required</v>
      </c>
      <c r="H693" s="5"/>
      <c r="I693" s="1" t="s">
        <v>101</v>
      </c>
      <c r="J693" s="1"/>
      <c r="K693" s="1" t="s">
        <v>795</v>
      </c>
      <c r="L693" s="1" t="s">
        <v>27</v>
      </c>
      <c r="M693" s="1"/>
      <c r="N693" s="1" t="s">
        <v>440</v>
      </c>
      <c r="O693" s="1" t="s">
        <v>19</v>
      </c>
      <c r="P693" s="1" t="s">
        <v>18</v>
      </c>
      <c r="Q693" s="1" t="s">
        <v>20</v>
      </c>
      <c r="R693" s="1"/>
      <c r="S693" s="1"/>
      <c r="T693" s="1"/>
    </row>
    <row r="694" spans="1:20">
      <c r="A694" s="1" t="s">
        <v>810</v>
      </c>
      <c r="B694" s="1" t="str" cm="1">
        <f t="array" ref="B694">IF(A694="","",_xlfn.IFS(COUNTIF($U:$U,A694)&gt;0,"All uploaded",COUNTIF($V:$V,A694)&gt;0,"Partly uploaded",COUNTIF($W:$X,A694)&gt;0,"Not uploaded",TRUE,"Not classified"))</f>
        <v>Partly uploaded</v>
      </c>
      <c r="C694" s="1" t="str" cm="1">
        <f t="array" ref="C694">_xlfn.SWITCH(TRIM(I694),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94" s="1"/>
      <c r="E694" s="1"/>
      <c r="F694" s="1" t="str" cm="1">
        <f t="array" ref="F694">_xlfn.LET(
_xlpm.status,UPPER(TRIM(B694&amp;"")),
_xlpm.risk,UPPER(TRIM(C694&amp;"")),
_xlpm.notify,UPPER(TRIM(D694&amp;"")),
_xlpm.form,UPPER(TRIM(E694&amp;"")),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94" s="1" t="str">
        <f t="shared" si="10"/>
        <v>Required</v>
      </c>
      <c r="H694" s="5"/>
      <c r="I694" s="1" t="s">
        <v>342</v>
      </c>
      <c r="J694" s="1"/>
      <c r="K694" s="1" t="s">
        <v>795</v>
      </c>
      <c r="L694" s="1" t="s">
        <v>27</v>
      </c>
      <c r="M694" s="1"/>
      <c r="N694" s="1" t="s">
        <v>811</v>
      </c>
      <c r="O694" s="1" t="s">
        <v>19</v>
      </c>
      <c r="P694" s="1" t="s">
        <v>18</v>
      </c>
      <c r="Q694" s="1" t="s">
        <v>20</v>
      </c>
      <c r="R694" s="1"/>
      <c r="S694" s="1"/>
      <c r="T694" s="1"/>
    </row>
    <row r="695" spans="1:20">
      <c r="A695" s="1" t="s">
        <v>826</v>
      </c>
      <c r="B695" s="1" t="str" cm="1">
        <f t="array" ref="B695">IF(A695="","",_xlfn.IFS(COUNTIF($U:$U,A695)&gt;0,"All uploaded",COUNTIF($V:$V,A695)&gt;0,"Partly uploaded",COUNTIF($W:$X,A695)&gt;0,"Not uploaded",TRUE,"Not classified"))</f>
        <v>Not uploaded</v>
      </c>
      <c r="C695" s="1" t="str" cm="1">
        <f t="array" ref="C695">_xlfn.SWITCH(TRIM(I695),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95" s="1"/>
      <c r="E695" s="1"/>
      <c r="F695" s="1" t="str" cm="1">
        <f t="array" ref="F695">_xlfn.LET(
_xlpm.status,UPPER(TRIM(B695&amp;"")),
_xlpm.risk,UPPER(TRIM(C695&amp;"")),
_xlpm.notify,UPPER(TRIM(D695&amp;"")),
_xlpm.form,UPPER(TRIM(E695&amp;"")),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95" s="1" t="str">
        <f t="shared" si="10"/>
        <v>Required</v>
      </c>
      <c r="H695" s="5"/>
      <c r="I695" s="1" t="s">
        <v>54</v>
      </c>
      <c r="J695" s="1"/>
      <c r="K695" s="1" t="s">
        <v>825</v>
      </c>
      <c r="L695" s="1" t="s">
        <v>22</v>
      </c>
      <c r="M695" s="1"/>
      <c r="N695" s="1" t="s">
        <v>827</v>
      </c>
      <c r="O695" s="1" t="s">
        <v>19</v>
      </c>
      <c r="P695" s="1" t="s">
        <v>18</v>
      </c>
      <c r="Q695" s="1" t="s">
        <v>20</v>
      </c>
      <c r="R695" s="1"/>
      <c r="S695" s="1"/>
      <c r="T695" s="1"/>
    </row>
    <row r="696" spans="1:20">
      <c r="A696" s="1" t="s">
        <v>829</v>
      </c>
      <c r="B696" s="1" t="str" cm="1">
        <f t="array" ref="B696">IF(A696="","",_xlfn.IFS(COUNTIF($U:$U,A696)&gt;0,"All uploaded",COUNTIF($V:$V,A696)&gt;0,"Partly uploaded",COUNTIF($W:$X,A696)&gt;0,"Not uploaded",TRUE,"Not classified"))</f>
        <v>Not uploaded</v>
      </c>
      <c r="C696" s="1" t="str" cm="1">
        <f t="array" ref="C696">_xlfn.SWITCH(TRIM(I696),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96" s="1"/>
      <c r="E696" s="1"/>
      <c r="F696" s="1" t="str" cm="1">
        <f t="array" ref="F696">_xlfn.LET(
_xlpm.status,UPPER(TRIM(B696&amp;"")),
_xlpm.risk,UPPER(TRIM(C696&amp;"")),
_xlpm.notify,UPPER(TRIM(D696&amp;"")),
_xlpm.form,UPPER(TRIM(E696&amp;"")),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96" s="1" t="str">
        <f t="shared" si="10"/>
        <v>NA</v>
      </c>
      <c r="H696" s="5"/>
      <c r="I696" s="1" t="s">
        <v>37</v>
      </c>
      <c r="J696" s="1"/>
      <c r="K696" s="1" t="s">
        <v>828</v>
      </c>
      <c r="L696" s="1" t="s">
        <v>21</v>
      </c>
      <c r="M696" s="1"/>
      <c r="N696" s="1" t="s">
        <v>148</v>
      </c>
      <c r="O696" s="1" t="s">
        <v>19</v>
      </c>
      <c r="P696" s="1" t="s">
        <v>18</v>
      </c>
      <c r="Q696" s="1" t="s">
        <v>20</v>
      </c>
      <c r="R696" s="1"/>
      <c r="S696" s="1"/>
      <c r="T696" s="1"/>
    </row>
    <row r="697" spans="1:20">
      <c r="A697" s="1" t="s">
        <v>830</v>
      </c>
      <c r="B697" s="1" t="str" cm="1">
        <f t="array" ref="B697">IF(A697="","",_xlfn.IFS(COUNTIF($U:$U,A697)&gt;0,"All uploaded",COUNTIF($V:$V,A697)&gt;0,"Partly uploaded",COUNTIF($W:$X,A697)&gt;0,"Not uploaded",TRUE,"Not classified"))</f>
        <v>Not uploaded</v>
      </c>
      <c r="C697" s="1" t="str" cm="1">
        <f t="array" ref="C697">_xlfn.SWITCH(TRIM(I697),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697" s="1"/>
      <c r="E697" s="1"/>
      <c r="F697" s="1" t="str" cm="1">
        <f t="array" ref="F697">_xlfn.LET(
_xlpm.status,UPPER(TRIM(B697&amp;"")),
_xlpm.risk,UPPER(TRIM(C697&amp;"")),
_xlpm.notify,UPPER(TRIM(D697&amp;"")),
_xlpm.form,UPPER(TRIM(E697&amp;"")),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697" s="1" t="str">
        <f t="shared" si="10"/>
        <v>NA</v>
      </c>
      <c r="H697" s="5"/>
      <c r="I697" s="1" t="s">
        <v>37</v>
      </c>
      <c r="J697" s="1"/>
      <c r="K697" s="1" t="s">
        <v>828</v>
      </c>
      <c r="L697" s="1" t="s">
        <v>21</v>
      </c>
      <c r="M697" s="1"/>
      <c r="N697" s="1" t="s">
        <v>83</v>
      </c>
      <c r="O697" s="1" t="s">
        <v>19</v>
      </c>
      <c r="P697" s="1" t="s">
        <v>18</v>
      </c>
      <c r="Q697" s="1" t="s">
        <v>20</v>
      </c>
      <c r="R697" s="1"/>
      <c r="S697" s="1"/>
      <c r="T697" s="1"/>
    </row>
    <row r="698" spans="1:20">
      <c r="A698" s="1" t="s">
        <v>837</v>
      </c>
      <c r="B698" s="1" t="str" cm="1">
        <f t="array" ref="B698">IF(A698="","",_xlfn.IFS(COUNTIF($U:$U,A698)&gt;0,"All uploaded",COUNTIF($V:$V,A698)&gt;0,"Partly uploaded",COUNTIF($W:$X,A698)&gt;0,"Not uploaded",TRUE,"Not classified"))</f>
        <v>Partly uploaded</v>
      </c>
      <c r="C698" s="1" t="str" cm="1">
        <f t="array" ref="C698">_xlfn.SWITCH(TRIM(I698),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98" s="1"/>
      <c r="E698" s="1"/>
      <c r="F698" s="1" t="str" cm="1">
        <f t="array" ref="F698">_xlfn.LET(
_xlpm.status,UPPER(TRIM(B698&amp;"")),
_xlpm.risk,UPPER(TRIM(C698&amp;"")),
_xlpm.notify,UPPER(TRIM(D698&amp;"")),
_xlpm.form,UPPER(TRIM(E698&amp;"")),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98" s="1" t="str">
        <f t="shared" si="10"/>
        <v>Required</v>
      </c>
      <c r="H698" s="5"/>
      <c r="I698" s="1" t="s">
        <v>26</v>
      </c>
      <c r="J698" s="1"/>
      <c r="K698" s="1" t="s">
        <v>828</v>
      </c>
      <c r="L698" s="1" t="s">
        <v>25</v>
      </c>
      <c r="M698" s="1"/>
      <c r="N698" s="1" t="s">
        <v>838</v>
      </c>
      <c r="O698" s="1" t="s">
        <v>19</v>
      </c>
      <c r="P698" s="1" t="s">
        <v>18</v>
      </c>
      <c r="Q698" s="1" t="s">
        <v>20</v>
      </c>
      <c r="R698" s="1"/>
      <c r="S698" s="1"/>
      <c r="T698" s="1"/>
    </row>
    <row r="699" spans="1:20">
      <c r="A699" s="1" t="s">
        <v>831</v>
      </c>
      <c r="B699" s="1" t="str" cm="1">
        <f t="array" ref="B699">IF(A699="","",_xlfn.IFS(COUNTIF($U:$U,A699)&gt;0,"All uploaded",COUNTIF($V:$V,A699)&gt;0,"Partly uploaded",COUNTIF($W:$X,A699)&gt;0,"Not uploaded",TRUE,"Not classified"))</f>
        <v>Partly uploaded</v>
      </c>
      <c r="C699" s="1" t="str" cm="1">
        <f t="array" ref="C699">_xlfn.SWITCH(TRIM(I699),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699" s="1"/>
      <c r="E699" s="1"/>
      <c r="F699" s="1" t="str" cm="1">
        <f t="array" ref="F699">_xlfn.LET(
_xlpm.status,UPPER(TRIM(B699&amp;"")),
_xlpm.risk,UPPER(TRIM(C699&amp;"")),
_xlpm.notify,UPPER(TRIM(D699&amp;"")),
_xlpm.form,UPPER(TRIM(E699&amp;"")),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699" s="1" t="str">
        <f t="shared" si="10"/>
        <v>Required</v>
      </c>
      <c r="H699" s="5"/>
      <c r="I699" s="1" t="s">
        <v>87</v>
      </c>
      <c r="J699" s="1"/>
      <c r="K699" s="1" t="s">
        <v>828</v>
      </c>
      <c r="L699" s="1" t="s">
        <v>27</v>
      </c>
      <c r="M699" s="1"/>
      <c r="N699" s="1" t="s">
        <v>832</v>
      </c>
      <c r="O699" s="1" t="s">
        <v>19</v>
      </c>
      <c r="P699" s="1" t="s">
        <v>18</v>
      </c>
      <c r="Q699" s="1" t="s">
        <v>20</v>
      </c>
      <c r="R699" s="1"/>
      <c r="S699" s="1"/>
      <c r="T699" s="1"/>
    </row>
    <row r="700" spans="1:20">
      <c r="A700" s="1" t="s">
        <v>852</v>
      </c>
      <c r="B700" s="1" t="str" cm="1">
        <f t="array" ref="B700">IF(A700="","",_xlfn.IFS(COUNTIF($U:$U,A700)&gt;0,"All uploaded",COUNTIF($V:$V,A700)&gt;0,"Partly uploaded",COUNTIF($W:$X,A700)&gt;0,"Not uploaded",TRUE,"Not classified"))</f>
        <v>Partly uploaded</v>
      </c>
      <c r="C700" s="1" t="str" cm="1">
        <f t="array" ref="C700">_xlfn.SWITCH(TRIM(I700),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00" s="1"/>
      <c r="E700" s="1"/>
      <c r="F700" s="1" t="str" cm="1">
        <f t="array" ref="F700">_xlfn.LET(
_xlpm.status,UPPER(TRIM(B700&amp;"")),
_xlpm.risk,UPPER(TRIM(C700&amp;"")),
_xlpm.notify,UPPER(TRIM(D700&amp;"")),
_xlpm.form,UPPER(TRIM(E700&amp;"")),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00" s="1" t="str">
        <f t="shared" si="10"/>
        <v>NA</v>
      </c>
      <c r="H700" s="5"/>
      <c r="I700" s="1" t="s">
        <v>29</v>
      </c>
      <c r="J700" s="1"/>
      <c r="K700" s="1" t="s">
        <v>851</v>
      </c>
      <c r="L700" s="1" t="s">
        <v>22</v>
      </c>
      <c r="M700" s="1"/>
      <c r="N700" s="1" t="s">
        <v>853</v>
      </c>
      <c r="O700" s="1" t="s">
        <v>19</v>
      </c>
      <c r="P700" s="1" t="s">
        <v>18</v>
      </c>
      <c r="Q700" s="1" t="s">
        <v>20</v>
      </c>
      <c r="R700" s="1"/>
      <c r="S700" s="1"/>
      <c r="T700" s="1"/>
    </row>
    <row r="701" spans="1:20">
      <c r="A701" s="1" t="s">
        <v>858</v>
      </c>
      <c r="B701" s="1" t="str" cm="1">
        <f t="array" ref="B701">IF(A701="","",_xlfn.IFS(COUNTIF($U:$U,A701)&gt;0,"All uploaded",COUNTIF($V:$V,A701)&gt;0,"Partly uploaded",COUNTIF($W:$X,A701)&gt;0,"Not uploaded",TRUE,"Not classified"))</f>
        <v>Not uploaded</v>
      </c>
      <c r="C701" s="1" t="str" cm="1">
        <f t="array" ref="C701">_xlfn.SWITCH(TRIM(I701),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01" s="1"/>
      <c r="E701" s="1"/>
      <c r="F701" s="1" t="str" cm="1">
        <f t="array" ref="F701">_xlfn.LET(
_xlpm.status,UPPER(TRIM(B701&amp;"")),
_xlpm.risk,UPPER(TRIM(C701&amp;"")),
_xlpm.notify,UPPER(TRIM(D701&amp;"")),
_xlpm.form,UPPER(TRIM(E701&amp;"")),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01" s="1" t="str">
        <f t="shared" si="10"/>
        <v>NA</v>
      </c>
      <c r="H701" s="5"/>
      <c r="I701" s="1" t="s">
        <v>37</v>
      </c>
      <c r="J701" s="1"/>
      <c r="K701" s="1" t="s">
        <v>851</v>
      </c>
      <c r="L701" s="1" t="s">
        <v>21</v>
      </c>
      <c r="M701" s="1"/>
      <c r="N701" s="1" t="s">
        <v>859</v>
      </c>
      <c r="O701" s="1" t="s">
        <v>19</v>
      </c>
      <c r="P701" s="1" t="s">
        <v>18</v>
      </c>
      <c r="Q701" s="1" t="s">
        <v>20</v>
      </c>
      <c r="R701" s="1"/>
      <c r="S701" s="1"/>
      <c r="T701" s="1"/>
    </row>
    <row r="702" spans="1:20">
      <c r="A702" s="1" t="s">
        <v>861</v>
      </c>
      <c r="B702" s="1" t="str" cm="1">
        <f t="array" ref="B702">IF(A702="","",_xlfn.IFS(COUNTIF($U:$U,A702)&gt;0,"All uploaded",COUNTIF($V:$V,A702)&gt;0,"Partly uploaded",COUNTIF($W:$X,A702)&gt;0,"Not uploaded",TRUE,"Not classified"))</f>
        <v>Not uploaded</v>
      </c>
      <c r="C702" s="1" t="str" cm="1">
        <f t="array" ref="C702">_xlfn.SWITCH(TRIM(I702),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02" s="1"/>
      <c r="E702" s="1"/>
      <c r="F702" s="1" t="str" cm="1">
        <f t="array" ref="F702">_xlfn.LET(
_xlpm.status,UPPER(TRIM(B702&amp;"")),
_xlpm.risk,UPPER(TRIM(C702&amp;"")),
_xlpm.notify,UPPER(TRIM(D702&amp;"")),
_xlpm.form,UPPER(TRIM(E702&amp;"")),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02" s="1" t="str">
        <f t="shared" si="10"/>
        <v>NA</v>
      </c>
      <c r="H702" s="5"/>
      <c r="I702" s="1" t="s">
        <v>29</v>
      </c>
      <c r="J702" s="1"/>
      <c r="K702" s="1" t="s">
        <v>860</v>
      </c>
      <c r="L702" s="1" t="s">
        <v>22</v>
      </c>
      <c r="M702" s="1"/>
      <c r="N702" s="1" t="s">
        <v>862</v>
      </c>
      <c r="O702" s="1" t="s">
        <v>19</v>
      </c>
      <c r="P702" s="1" t="s">
        <v>18</v>
      </c>
      <c r="Q702" s="1" t="s">
        <v>20</v>
      </c>
      <c r="R702" s="1"/>
      <c r="S702" s="1"/>
      <c r="T702" s="1"/>
    </row>
    <row r="703" spans="1:20">
      <c r="A703" s="1" t="s">
        <v>864</v>
      </c>
      <c r="B703" s="1" t="str" cm="1">
        <f t="array" ref="B703">IF(A703="","",_xlfn.IFS(COUNTIF($U:$U,A703)&gt;0,"All uploaded",COUNTIF($V:$V,A703)&gt;0,"Partly uploaded",COUNTIF($W:$X,A703)&gt;0,"Not uploaded",TRUE,"Not classified"))</f>
        <v>Not uploaded</v>
      </c>
      <c r="C703" s="1" t="str" cm="1">
        <f t="array" ref="C703">_xlfn.SWITCH(TRIM(I703),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03" s="1"/>
      <c r="E703" s="1"/>
      <c r="F703" s="1" t="str" cm="1">
        <f t="array" ref="F703">_xlfn.LET(
_xlpm.status,UPPER(TRIM(B703&amp;"")),
_xlpm.risk,UPPER(TRIM(C703&amp;"")),
_xlpm.notify,UPPER(TRIM(D703&amp;"")),
_xlpm.form,UPPER(TRIM(E703&amp;"")),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03" s="1" t="str">
        <f t="shared" si="10"/>
        <v>Required</v>
      </c>
      <c r="H703" s="5"/>
      <c r="I703" s="1" t="s">
        <v>87</v>
      </c>
      <c r="J703" s="1"/>
      <c r="K703" s="1" t="s">
        <v>863</v>
      </c>
      <c r="L703" s="1" t="s">
        <v>27</v>
      </c>
      <c r="M703" s="1"/>
      <c r="N703" s="1" t="s">
        <v>865</v>
      </c>
      <c r="O703" s="1" t="s">
        <v>19</v>
      </c>
      <c r="P703" s="1" t="s">
        <v>18</v>
      </c>
      <c r="Q703" s="1" t="s">
        <v>20</v>
      </c>
      <c r="R703" s="1"/>
      <c r="S703" s="1"/>
      <c r="T703" s="1"/>
    </row>
    <row r="704" spans="1:20">
      <c r="A704" s="1" t="s">
        <v>873</v>
      </c>
      <c r="B704" s="1" t="str" cm="1">
        <f t="array" ref="B704">IF(A704="","",_xlfn.IFS(COUNTIF($U:$U,A704)&gt;0,"All uploaded",COUNTIF($V:$V,A704)&gt;0,"Partly uploaded",COUNTIF($W:$X,A704)&gt;0,"Not uploaded",TRUE,"Not classified"))</f>
        <v>Not uploaded</v>
      </c>
      <c r="C704" s="1" t="str" cm="1">
        <f t="array" ref="C704">_xlfn.SWITCH(TRIM(I704),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04" s="1"/>
      <c r="E704" s="1"/>
      <c r="F704" s="1" t="str" cm="1">
        <f t="array" ref="F704">_xlfn.LET(
_xlpm.status,UPPER(TRIM(B704&amp;"")),
_xlpm.risk,UPPER(TRIM(C704&amp;"")),
_xlpm.notify,UPPER(TRIM(D704&amp;"")),
_xlpm.form,UPPER(TRIM(E704&amp;"")),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04" s="1" t="str">
        <f t="shared" si="10"/>
        <v>NA</v>
      </c>
      <c r="H704" s="5"/>
      <c r="I704" s="1" t="s">
        <v>37</v>
      </c>
      <c r="J704" s="1"/>
      <c r="K704" s="1" t="s">
        <v>866</v>
      </c>
      <c r="L704" s="1" t="s">
        <v>21</v>
      </c>
      <c r="M704" s="1"/>
      <c r="N704" s="1" t="s">
        <v>83</v>
      </c>
      <c r="O704" s="1" t="s">
        <v>19</v>
      </c>
      <c r="P704" s="1" t="s">
        <v>18</v>
      </c>
      <c r="Q704" s="1" t="s">
        <v>20</v>
      </c>
      <c r="R704" s="1"/>
      <c r="S704" s="1"/>
      <c r="T704" s="1"/>
    </row>
    <row r="705" spans="1:20">
      <c r="A705" s="1" t="s">
        <v>874</v>
      </c>
      <c r="B705" s="1" t="str" cm="1">
        <f t="array" ref="B705">IF(A705="","",_xlfn.IFS(COUNTIF($U:$U,A705)&gt;0,"All uploaded",COUNTIF($V:$V,A705)&gt;0,"Partly uploaded",COUNTIF($W:$X,A705)&gt;0,"Not uploaded",TRUE,"Not classified"))</f>
        <v>Not uploaded</v>
      </c>
      <c r="C705" s="1" t="str" cm="1">
        <f t="array" ref="C705">_xlfn.SWITCH(TRIM(I705),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05" s="1"/>
      <c r="E705" s="1"/>
      <c r="F705" s="1" t="str" cm="1">
        <f t="array" ref="F705">_xlfn.LET(
_xlpm.status,UPPER(TRIM(B705&amp;"")),
_xlpm.risk,UPPER(TRIM(C705&amp;"")),
_xlpm.notify,UPPER(TRIM(D705&amp;"")),
_xlpm.form,UPPER(TRIM(E705&amp;"")),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05" s="1" t="str">
        <f t="shared" ref="G705:G768" si="11">IF(AND(UPPER(TRIM(C705&amp;""))="MAJOR",OR(TRIM(D705&amp;"")="",UPPER(TRIM(E705&amp;""))="REJECT")),"Required","NA")</f>
        <v>NA</v>
      </c>
      <c r="H705" s="5"/>
      <c r="I705" s="1" t="s">
        <v>37</v>
      </c>
      <c r="J705" s="1"/>
      <c r="K705" s="1" t="s">
        <v>866</v>
      </c>
      <c r="L705" s="1" t="s">
        <v>21</v>
      </c>
      <c r="M705" s="1"/>
      <c r="N705" s="1" t="s">
        <v>83</v>
      </c>
      <c r="O705" s="1" t="s">
        <v>19</v>
      </c>
      <c r="P705" s="1" t="s">
        <v>18</v>
      </c>
      <c r="Q705" s="1" t="s">
        <v>20</v>
      </c>
      <c r="R705" s="1"/>
      <c r="S705" s="1"/>
      <c r="T705" s="1"/>
    </row>
    <row r="706" spans="1:20">
      <c r="A706" s="1" t="s">
        <v>878</v>
      </c>
      <c r="B706" s="1" t="str" cm="1">
        <f t="array" ref="B706">IF(A706="","",_xlfn.IFS(COUNTIF($U:$U,A706)&gt;0,"All uploaded",COUNTIF($V:$V,A706)&gt;0,"Partly uploaded",COUNTIF($W:$X,A706)&gt;0,"Not uploaded",TRUE,"Not classified"))</f>
        <v>Not uploaded</v>
      </c>
      <c r="C706" s="1" t="str" cm="1">
        <f t="array" ref="C706">_xlfn.SWITCH(TRIM(I706),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06" s="1"/>
      <c r="E706" s="1"/>
      <c r="F706" s="1" t="str" cm="1">
        <f t="array" ref="F706">_xlfn.LET(
_xlpm.status,UPPER(TRIM(B706&amp;"")),
_xlpm.risk,UPPER(TRIM(C706&amp;"")),
_xlpm.notify,UPPER(TRIM(D706&amp;"")),
_xlpm.form,UPPER(TRIM(E706&amp;"")),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06" s="1" t="str">
        <f t="shared" si="11"/>
        <v>NA</v>
      </c>
      <c r="H706" s="5"/>
      <c r="I706" s="1" t="s">
        <v>37</v>
      </c>
      <c r="J706" s="1"/>
      <c r="K706" s="1" t="s">
        <v>866</v>
      </c>
      <c r="L706" s="1" t="s">
        <v>21</v>
      </c>
      <c r="M706" s="1"/>
      <c r="N706" s="1" t="s">
        <v>83</v>
      </c>
      <c r="O706" s="1" t="s">
        <v>19</v>
      </c>
      <c r="P706" s="1" t="s">
        <v>18</v>
      </c>
      <c r="Q706" s="1" t="s">
        <v>20</v>
      </c>
      <c r="R706" s="1"/>
      <c r="S706" s="1"/>
      <c r="T706" s="1"/>
    </row>
    <row r="707" spans="1:20">
      <c r="A707" s="1" t="s">
        <v>880</v>
      </c>
      <c r="B707" s="1" t="str" cm="1">
        <f t="array" ref="B707">IF(A707="","",_xlfn.IFS(COUNTIF($U:$U,A707)&gt;0,"All uploaded",COUNTIF($V:$V,A707)&gt;0,"Partly uploaded",COUNTIF($W:$X,A707)&gt;0,"Not uploaded",TRUE,"Not classified"))</f>
        <v>Not uploaded</v>
      </c>
      <c r="C707" s="1" t="str" cm="1">
        <f t="array" ref="C707">_xlfn.SWITCH(TRIM(I707),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07" s="1"/>
      <c r="E707" s="1"/>
      <c r="F707" s="1" t="str" cm="1">
        <f t="array" ref="F707">_xlfn.LET(
_xlpm.status,UPPER(TRIM(B707&amp;"")),
_xlpm.risk,UPPER(TRIM(C707&amp;"")),
_xlpm.notify,UPPER(TRIM(D707&amp;"")),
_xlpm.form,UPPER(TRIM(E707&amp;"")),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07" s="1" t="str">
        <f t="shared" si="11"/>
        <v>NA</v>
      </c>
      <c r="H707" s="5"/>
      <c r="I707" s="1" t="s">
        <v>37</v>
      </c>
      <c r="J707" s="1"/>
      <c r="K707" s="1" t="s">
        <v>879</v>
      </c>
      <c r="L707" s="1" t="s">
        <v>21</v>
      </c>
      <c r="M707" s="1"/>
      <c r="N707" s="1" t="s">
        <v>83</v>
      </c>
      <c r="O707" s="1" t="s">
        <v>19</v>
      </c>
      <c r="P707" s="1" t="s">
        <v>18</v>
      </c>
      <c r="Q707" s="1" t="s">
        <v>20</v>
      </c>
      <c r="R707" s="1"/>
      <c r="S707" s="1"/>
      <c r="T707" s="1"/>
    </row>
    <row r="708" spans="1:20">
      <c r="A708" s="1" t="s">
        <v>882</v>
      </c>
      <c r="B708" s="1" t="str" cm="1">
        <f t="array" ref="B708">IF(A708="","",_xlfn.IFS(COUNTIF($U:$U,A708)&gt;0,"All uploaded",COUNTIF($V:$V,A708)&gt;0,"Partly uploaded",COUNTIF($W:$X,A708)&gt;0,"Not uploaded",TRUE,"Not classified"))</f>
        <v>Not uploaded</v>
      </c>
      <c r="C708" s="1" t="str" cm="1">
        <f t="array" ref="C708">_xlfn.SWITCH(TRIM(I708),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08" s="1"/>
      <c r="E708" s="1"/>
      <c r="F708" s="1" t="str" cm="1">
        <f t="array" ref="F708">_xlfn.LET(
_xlpm.status,UPPER(TRIM(B708&amp;"")),
_xlpm.risk,UPPER(TRIM(C708&amp;"")),
_xlpm.notify,UPPER(TRIM(D708&amp;"")),
_xlpm.form,UPPER(TRIM(E708&amp;"")),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08" s="1" t="str">
        <f t="shared" si="11"/>
        <v>Required</v>
      </c>
      <c r="H708" s="5"/>
      <c r="I708" s="1" t="s">
        <v>54</v>
      </c>
      <c r="J708" s="1"/>
      <c r="K708" s="1" t="s">
        <v>881</v>
      </c>
      <c r="L708" s="1" t="s">
        <v>22</v>
      </c>
      <c r="M708" s="1"/>
      <c r="N708" s="1" t="s">
        <v>883</v>
      </c>
      <c r="O708" s="1" t="s">
        <v>19</v>
      </c>
      <c r="P708" s="1" t="s">
        <v>18</v>
      </c>
      <c r="Q708" s="1" t="s">
        <v>20</v>
      </c>
      <c r="R708" s="1"/>
      <c r="S708" s="1"/>
      <c r="T708" s="1"/>
    </row>
    <row r="709" spans="1:20">
      <c r="A709" s="1" t="s">
        <v>884</v>
      </c>
      <c r="B709" s="1" t="str" cm="1">
        <f t="array" ref="B709">IF(A709="","",_xlfn.IFS(COUNTIF($U:$U,A709)&gt;0,"All uploaded",COUNTIF($V:$V,A709)&gt;0,"Partly uploaded",COUNTIF($W:$X,A709)&gt;0,"Not uploaded",TRUE,"Not classified"))</f>
        <v>Not uploaded</v>
      </c>
      <c r="C709" s="1" t="str" cm="1">
        <f t="array" ref="C709">_xlfn.SWITCH(TRIM(I709),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09" s="1"/>
      <c r="E709" s="1"/>
      <c r="F709" s="1" t="str" cm="1">
        <f t="array" ref="F709">_xlfn.LET(
_xlpm.status,UPPER(TRIM(B709&amp;"")),
_xlpm.risk,UPPER(TRIM(C709&amp;"")),
_xlpm.notify,UPPER(TRIM(D709&amp;"")),
_xlpm.form,UPPER(TRIM(E709&amp;"")),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09" s="1" t="str">
        <f t="shared" si="11"/>
        <v>Required</v>
      </c>
      <c r="H709" s="5"/>
      <c r="I709" s="1" t="s">
        <v>26</v>
      </c>
      <c r="J709" s="1"/>
      <c r="K709" s="1" t="s">
        <v>881</v>
      </c>
      <c r="L709" s="1" t="s">
        <v>25</v>
      </c>
      <c r="M709" s="1"/>
      <c r="N709" s="1" t="s">
        <v>104</v>
      </c>
      <c r="O709" s="1" t="s">
        <v>19</v>
      </c>
      <c r="P709" s="1" t="s">
        <v>18</v>
      </c>
      <c r="Q709" s="1" t="s">
        <v>20</v>
      </c>
      <c r="R709" s="1"/>
      <c r="S709" s="1"/>
      <c r="T709" s="1"/>
    </row>
    <row r="710" spans="1:20">
      <c r="A710" s="1" t="s">
        <v>885</v>
      </c>
      <c r="B710" s="1" t="str" cm="1">
        <f t="array" ref="B710">IF(A710="","",_xlfn.IFS(COUNTIF($U:$U,A710)&gt;0,"All uploaded",COUNTIF($V:$V,A710)&gt;0,"Partly uploaded",COUNTIF($W:$X,A710)&gt;0,"Not uploaded",TRUE,"Not classified"))</f>
        <v>Not uploaded</v>
      </c>
      <c r="C710" s="1" t="str" cm="1">
        <f t="array" ref="C710">_xlfn.SWITCH(TRIM(I710),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10" s="1"/>
      <c r="E710" s="1"/>
      <c r="F710" s="1" t="str" cm="1">
        <f t="array" ref="F710">_xlfn.LET(
_xlpm.status,UPPER(TRIM(B710&amp;"")),
_xlpm.risk,UPPER(TRIM(C710&amp;"")),
_xlpm.notify,UPPER(TRIM(D710&amp;"")),
_xlpm.form,UPPER(TRIM(E710&amp;"")),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10" s="1" t="str">
        <f t="shared" si="11"/>
        <v>NA</v>
      </c>
      <c r="H710" s="5"/>
      <c r="I710" s="1" t="s">
        <v>49</v>
      </c>
      <c r="J710" s="1"/>
      <c r="K710" s="1" t="s">
        <v>881</v>
      </c>
      <c r="L710" s="1" t="s">
        <v>48</v>
      </c>
      <c r="M710" s="1"/>
      <c r="N710" s="1" t="s">
        <v>886</v>
      </c>
      <c r="O710" s="1" t="s">
        <v>19</v>
      </c>
      <c r="P710" s="1" t="s">
        <v>18</v>
      </c>
      <c r="Q710" s="1" t="s">
        <v>20</v>
      </c>
      <c r="R710" s="1"/>
      <c r="S710" s="1"/>
      <c r="T710" s="1"/>
    </row>
    <row r="711" spans="1:20">
      <c r="A711" s="1" t="s">
        <v>888</v>
      </c>
      <c r="B711" s="1" t="str" cm="1">
        <f t="array" ref="B711">IF(A711="","",_xlfn.IFS(COUNTIF($U:$U,A711)&gt;0,"All uploaded",COUNTIF($V:$V,A711)&gt;0,"Partly uploaded",COUNTIF($W:$X,A711)&gt;0,"Not uploaded",TRUE,"Not classified"))</f>
        <v>Partly uploaded</v>
      </c>
      <c r="C711" s="1" t="str" cm="1">
        <f t="array" ref="C711">_xlfn.SWITCH(TRIM(I711),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11" s="1"/>
      <c r="E711" s="1"/>
      <c r="F711" s="1" t="str" cm="1">
        <f t="array" ref="F711">_xlfn.LET(
_xlpm.status,UPPER(TRIM(B711&amp;"")),
_xlpm.risk,UPPER(TRIM(C711&amp;"")),
_xlpm.notify,UPPER(TRIM(D711&amp;"")),
_xlpm.form,UPPER(TRIM(E711&amp;"")),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11" s="1" t="str">
        <f t="shared" si="11"/>
        <v>NA</v>
      </c>
      <c r="H711" s="5"/>
      <c r="I711" s="1" t="s">
        <v>29</v>
      </c>
      <c r="J711" s="1"/>
      <c r="K711" s="1" t="s">
        <v>887</v>
      </c>
      <c r="L711" s="1" t="s">
        <v>23</v>
      </c>
      <c r="M711" s="1"/>
      <c r="N711" s="1" t="s">
        <v>889</v>
      </c>
      <c r="O711" s="1" t="s">
        <v>19</v>
      </c>
      <c r="P711" s="1" t="s">
        <v>18</v>
      </c>
      <c r="Q711" s="1" t="s">
        <v>20</v>
      </c>
      <c r="R711" s="1"/>
      <c r="S711" s="1"/>
      <c r="T711" s="1"/>
    </row>
    <row r="712" spans="1:20">
      <c r="A712" s="1" t="s">
        <v>890</v>
      </c>
      <c r="B712" s="1" t="str" cm="1">
        <f t="array" ref="B712">IF(A712="","",_xlfn.IFS(COUNTIF($U:$U,A712)&gt;0,"All uploaded",COUNTIF($V:$V,A712)&gt;0,"Partly uploaded",COUNTIF($W:$X,A712)&gt;0,"Not uploaded",TRUE,"Not classified"))</f>
        <v>Partly uploaded</v>
      </c>
      <c r="C712" s="1" t="str" cm="1">
        <f t="array" ref="C712">_xlfn.SWITCH(TRIM(I712),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12" s="1"/>
      <c r="E712" s="1"/>
      <c r="F712" s="1" t="str" cm="1">
        <f t="array" ref="F712">_xlfn.LET(
_xlpm.status,UPPER(TRIM(B712&amp;"")),
_xlpm.risk,UPPER(TRIM(C712&amp;"")),
_xlpm.notify,UPPER(TRIM(D712&amp;"")),
_xlpm.form,UPPER(TRIM(E712&amp;"")),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12" s="1" t="str">
        <f t="shared" si="11"/>
        <v>Required</v>
      </c>
      <c r="H712" s="5"/>
      <c r="I712" s="1" t="s">
        <v>87</v>
      </c>
      <c r="J712" s="1"/>
      <c r="K712" s="1" t="s">
        <v>887</v>
      </c>
      <c r="L712" s="1" t="s">
        <v>27</v>
      </c>
      <c r="M712" s="1"/>
      <c r="N712" s="1" t="s">
        <v>891</v>
      </c>
      <c r="O712" s="1" t="s">
        <v>19</v>
      </c>
      <c r="P712" s="1" t="s">
        <v>18</v>
      </c>
      <c r="Q712" s="1" t="s">
        <v>20</v>
      </c>
      <c r="R712" s="1"/>
      <c r="S712" s="1"/>
      <c r="T712" s="1"/>
    </row>
    <row r="713" spans="1:20">
      <c r="A713" s="1" t="s">
        <v>920</v>
      </c>
      <c r="B713" s="1" t="str" cm="1">
        <f t="array" ref="B713">IF(A713="","",_xlfn.IFS(COUNTIF($U:$U,A713)&gt;0,"All uploaded",COUNTIF($V:$V,A713)&gt;0,"Partly uploaded",COUNTIF($W:$X,A713)&gt;0,"Not uploaded",TRUE,"Not classified"))</f>
        <v>Partly uploaded</v>
      </c>
      <c r="C713" s="1" t="str" cm="1">
        <f t="array" ref="C713">_xlfn.SWITCH(TRIM(I713),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13" s="1"/>
      <c r="E713" s="1"/>
      <c r="F713" s="1" t="str" cm="1">
        <f t="array" ref="F713">_xlfn.LET(
_xlpm.status,UPPER(TRIM(B713&amp;"")),
_xlpm.risk,UPPER(TRIM(C713&amp;"")),
_xlpm.notify,UPPER(TRIM(D713&amp;"")),
_xlpm.form,UPPER(TRIM(E713&amp;"")),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13" s="1" t="str">
        <f t="shared" si="11"/>
        <v>Required</v>
      </c>
      <c r="H713" s="5"/>
      <c r="I713" s="1" t="s">
        <v>47</v>
      </c>
      <c r="J713" s="1"/>
      <c r="K713" s="1" t="s">
        <v>887</v>
      </c>
      <c r="L713" s="1" t="s">
        <v>27</v>
      </c>
      <c r="M713" s="1"/>
      <c r="N713" s="1" t="s">
        <v>921</v>
      </c>
      <c r="O713" s="1" t="s">
        <v>19</v>
      </c>
      <c r="P713" s="1" t="s">
        <v>18</v>
      </c>
      <c r="Q713" s="1" t="s">
        <v>20</v>
      </c>
      <c r="R713" s="1"/>
      <c r="S713" s="1"/>
      <c r="T713" s="1"/>
    </row>
    <row r="714" spans="1:20">
      <c r="A714" s="1" t="s">
        <v>914</v>
      </c>
      <c r="B714" s="1" t="str" cm="1">
        <f t="array" ref="B714">IF(A714="","",_xlfn.IFS(COUNTIF($U:$U,A714)&gt;0,"All uploaded",COUNTIF($V:$V,A714)&gt;0,"Partly uploaded",COUNTIF($W:$X,A714)&gt;0,"Not uploaded",TRUE,"Not classified"))</f>
        <v>Partly uploaded</v>
      </c>
      <c r="C714" s="1" t="str" cm="1">
        <f t="array" ref="C714">_xlfn.SWITCH(TRIM(I714),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14" s="1"/>
      <c r="E714" s="1"/>
      <c r="F714" s="1" t="str" cm="1">
        <f t="array" ref="F714">_xlfn.LET(
_xlpm.status,UPPER(TRIM(B714&amp;"")),
_xlpm.risk,UPPER(TRIM(C714&amp;"")),
_xlpm.notify,UPPER(TRIM(D714&amp;"")),
_xlpm.form,UPPER(TRIM(E714&amp;"")),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14" s="1" t="str">
        <f t="shared" si="11"/>
        <v>Required</v>
      </c>
      <c r="H714" s="5"/>
      <c r="I714" s="1" t="s">
        <v>87</v>
      </c>
      <c r="J714" s="1"/>
      <c r="K714" s="1" t="s">
        <v>887</v>
      </c>
      <c r="L714" s="1" t="s">
        <v>27</v>
      </c>
      <c r="M714" s="1"/>
      <c r="N714" s="1" t="s">
        <v>915</v>
      </c>
      <c r="O714" s="1" t="s">
        <v>19</v>
      </c>
      <c r="P714" s="1" t="s">
        <v>18</v>
      </c>
      <c r="Q714" s="1" t="s">
        <v>20</v>
      </c>
      <c r="R714" s="1"/>
      <c r="S714" s="1"/>
      <c r="T714" s="1"/>
    </row>
    <row r="715" spans="1:20">
      <c r="A715" s="1" t="s">
        <v>958</v>
      </c>
      <c r="B715" s="1" t="str" cm="1">
        <f t="array" ref="B715">IF(A715="","",_xlfn.IFS(COUNTIF($U:$U,A715)&gt;0,"All uploaded",COUNTIF($V:$V,A715)&gt;0,"Partly uploaded",COUNTIF($W:$X,A715)&gt;0,"Not uploaded",TRUE,"Not classified"))</f>
        <v>Partly uploaded</v>
      </c>
      <c r="C715" s="1" t="str" cm="1">
        <f t="array" ref="C715">_xlfn.SWITCH(TRIM(I715),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15" s="1"/>
      <c r="E715" s="1"/>
      <c r="F715" s="1" t="str" cm="1">
        <f t="array" ref="F715">_xlfn.LET(
_xlpm.status,UPPER(TRIM(B715&amp;"")),
_xlpm.risk,UPPER(TRIM(C715&amp;"")),
_xlpm.notify,UPPER(TRIM(D715&amp;"")),
_xlpm.form,UPPER(TRIM(E715&amp;"")),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15" s="1" t="str">
        <f t="shared" si="11"/>
        <v>Required</v>
      </c>
      <c r="H715" s="5"/>
      <c r="I715" s="1" t="s">
        <v>26</v>
      </c>
      <c r="J715" s="1"/>
      <c r="K715" s="1" t="s">
        <v>941</v>
      </c>
      <c r="L715" s="1" t="s">
        <v>25</v>
      </c>
      <c r="M715" s="1"/>
      <c r="N715" s="1" t="s">
        <v>959</v>
      </c>
      <c r="O715" s="1" t="s">
        <v>19</v>
      </c>
      <c r="P715" s="1" t="s">
        <v>18</v>
      </c>
      <c r="Q715" s="1" t="s">
        <v>20</v>
      </c>
      <c r="R715" s="1"/>
      <c r="S715" s="1"/>
      <c r="T715" s="1"/>
    </row>
    <row r="716" spans="1:20">
      <c r="A716" s="1" t="s">
        <v>965</v>
      </c>
      <c r="B716" s="1" t="str" cm="1">
        <f t="array" ref="B716">IF(A716="","",_xlfn.IFS(COUNTIF($U:$U,A716)&gt;0,"All uploaded",COUNTIF($V:$V,A716)&gt;0,"Partly uploaded",COUNTIF($W:$X,A716)&gt;0,"Not uploaded",TRUE,"Not classified"))</f>
        <v>Partly uploaded</v>
      </c>
      <c r="C716" s="1" t="str" cm="1">
        <f t="array" ref="C716">_xlfn.SWITCH(TRIM(I716),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16" s="1"/>
      <c r="E716" s="1"/>
      <c r="F716" s="1" t="str" cm="1">
        <f t="array" ref="F716">_xlfn.LET(
_xlpm.status,UPPER(TRIM(B716&amp;"")),
_xlpm.risk,UPPER(TRIM(C716&amp;"")),
_xlpm.notify,UPPER(TRIM(D716&amp;"")),
_xlpm.form,UPPER(TRIM(E716&amp;"")),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16" s="1" t="str">
        <f t="shared" si="11"/>
        <v>Required</v>
      </c>
      <c r="H716" s="5"/>
      <c r="I716" s="1" t="s">
        <v>26</v>
      </c>
      <c r="J716" s="1"/>
      <c r="K716" s="1" t="s">
        <v>941</v>
      </c>
      <c r="L716" s="1" t="s">
        <v>25</v>
      </c>
      <c r="M716" s="1"/>
      <c r="N716" s="1" t="s">
        <v>966</v>
      </c>
      <c r="O716" s="1" t="s">
        <v>19</v>
      </c>
      <c r="P716" s="1" t="s">
        <v>18</v>
      </c>
      <c r="Q716" s="1" t="s">
        <v>20</v>
      </c>
      <c r="R716" s="1"/>
      <c r="S716" s="1"/>
      <c r="T716" s="1"/>
    </row>
    <row r="717" spans="1:20">
      <c r="A717" s="1" t="s">
        <v>973</v>
      </c>
      <c r="B717" s="1" t="str" cm="1">
        <f t="array" ref="B717">IF(A717="","",_xlfn.IFS(COUNTIF($U:$U,A717)&gt;0,"All uploaded",COUNTIF($V:$V,A717)&gt;0,"Partly uploaded",COUNTIF($W:$X,A717)&gt;0,"Not uploaded",TRUE,"Not classified"))</f>
        <v>Partly uploaded</v>
      </c>
      <c r="C717" s="1" t="str" cm="1">
        <f t="array" ref="C717">_xlfn.SWITCH(TRIM(I717),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17" s="1"/>
      <c r="E717" s="1"/>
      <c r="F717" s="1" t="str" cm="1">
        <f t="array" ref="F717">_xlfn.LET(
_xlpm.status,UPPER(TRIM(B717&amp;"")),
_xlpm.risk,UPPER(TRIM(C717&amp;"")),
_xlpm.notify,UPPER(TRIM(D717&amp;"")),
_xlpm.form,UPPER(TRIM(E717&amp;"")),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17" s="1" t="str">
        <f t="shared" si="11"/>
        <v>NA</v>
      </c>
      <c r="H717" s="5"/>
      <c r="I717" s="1" t="s">
        <v>49</v>
      </c>
      <c r="J717" s="1"/>
      <c r="K717" s="1" t="s">
        <v>941</v>
      </c>
      <c r="L717" s="1" t="s">
        <v>48</v>
      </c>
      <c r="M717" s="1"/>
      <c r="N717" s="1" t="s">
        <v>52</v>
      </c>
      <c r="O717" s="1" t="s">
        <v>19</v>
      </c>
      <c r="P717" s="1" t="s">
        <v>18</v>
      </c>
      <c r="Q717" s="1" t="s">
        <v>20</v>
      </c>
      <c r="R717" s="1"/>
      <c r="S717" s="1"/>
      <c r="T717" s="1"/>
    </row>
    <row r="718" spans="1:20">
      <c r="A718" s="1" t="s">
        <v>960</v>
      </c>
      <c r="B718" s="1" t="str" cm="1">
        <f t="array" ref="B718">IF(A718="","",_xlfn.IFS(COUNTIF($U:$U,A718)&gt;0,"All uploaded",COUNTIF($V:$V,A718)&gt;0,"Partly uploaded",COUNTIF($W:$X,A718)&gt;0,"Not uploaded",TRUE,"Not classified"))</f>
        <v>Partly uploaded</v>
      </c>
      <c r="C718" s="1" t="str" cm="1">
        <f t="array" ref="C718">_xlfn.SWITCH(TRIM(I718),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18" s="1"/>
      <c r="E718" s="1"/>
      <c r="F718" s="1" t="str" cm="1">
        <f t="array" ref="F718">_xlfn.LET(
_xlpm.status,UPPER(TRIM(B718&amp;"")),
_xlpm.risk,UPPER(TRIM(C718&amp;"")),
_xlpm.notify,UPPER(TRIM(D718&amp;"")),
_xlpm.form,UPPER(TRIM(E718&amp;"")),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18" s="1" t="str">
        <f t="shared" si="11"/>
        <v>NA</v>
      </c>
      <c r="H718" s="5"/>
      <c r="I718" s="1" t="s">
        <v>49</v>
      </c>
      <c r="J718" s="1"/>
      <c r="K718" s="1" t="s">
        <v>941</v>
      </c>
      <c r="L718" s="1" t="s">
        <v>48</v>
      </c>
      <c r="M718" s="1"/>
      <c r="N718" s="1" t="s">
        <v>961</v>
      </c>
      <c r="O718" s="1" t="s">
        <v>19</v>
      </c>
      <c r="P718" s="1" t="s">
        <v>18</v>
      </c>
      <c r="Q718" s="1" t="s">
        <v>20</v>
      </c>
      <c r="R718" s="1"/>
      <c r="S718" s="1"/>
      <c r="T718" s="1"/>
    </row>
    <row r="719" spans="1:20">
      <c r="A719" s="1" t="s">
        <v>974</v>
      </c>
      <c r="B719" s="1" t="str" cm="1">
        <f t="array" ref="B719">IF(A719="","",_xlfn.IFS(COUNTIF($U:$U,A719)&gt;0,"All uploaded",COUNTIF($V:$V,A719)&gt;0,"Partly uploaded",COUNTIF($W:$X,A719)&gt;0,"Not uploaded",TRUE,"Not classified"))</f>
        <v>Partly uploaded</v>
      </c>
      <c r="C719" s="1" t="str" cm="1">
        <f t="array" ref="C719">_xlfn.SWITCH(TRIM(I719),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19" s="1"/>
      <c r="E719" s="1"/>
      <c r="F719" s="1" t="str" cm="1">
        <f t="array" ref="F719">_xlfn.LET(
_xlpm.status,UPPER(TRIM(B719&amp;"")),
_xlpm.risk,UPPER(TRIM(C719&amp;"")),
_xlpm.notify,UPPER(TRIM(D719&amp;"")),
_xlpm.form,UPPER(TRIM(E719&amp;"")),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19" s="1" t="str">
        <f t="shared" si="11"/>
        <v>Required</v>
      </c>
      <c r="H719" s="5"/>
      <c r="I719" s="1" t="s">
        <v>101</v>
      </c>
      <c r="J719" s="1"/>
      <c r="K719" s="1" t="s">
        <v>941</v>
      </c>
      <c r="L719" s="1" t="s">
        <v>27</v>
      </c>
      <c r="M719" s="1"/>
      <c r="N719" s="1" t="s">
        <v>655</v>
      </c>
      <c r="O719" s="1" t="s">
        <v>19</v>
      </c>
      <c r="P719" s="1" t="s">
        <v>18</v>
      </c>
      <c r="Q719" s="1" t="s">
        <v>20</v>
      </c>
      <c r="R719" s="1"/>
      <c r="S719" s="1"/>
      <c r="T719" s="1"/>
    </row>
    <row r="720" spans="1:20">
      <c r="A720" s="1" t="s">
        <v>975</v>
      </c>
      <c r="B720" s="1" t="str" cm="1">
        <f t="array" ref="B720">IF(A720="","",_xlfn.IFS(COUNTIF($U:$U,A720)&gt;0,"All uploaded",COUNTIF($V:$V,A720)&gt;0,"Partly uploaded",COUNTIF($W:$X,A720)&gt;0,"Not uploaded",TRUE,"Not classified"))</f>
        <v>Not uploaded</v>
      </c>
      <c r="C720" s="1" t="str" cm="1">
        <f t="array" ref="C720">_xlfn.SWITCH(TRIM(I720),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20" s="1"/>
      <c r="E720" s="1"/>
      <c r="F720" s="1" t="str" cm="1">
        <f t="array" ref="F720">_xlfn.LET(
_xlpm.status,UPPER(TRIM(B720&amp;"")),
_xlpm.risk,UPPER(TRIM(C720&amp;"")),
_xlpm.notify,UPPER(TRIM(D720&amp;"")),
_xlpm.form,UPPER(TRIM(E720&amp;"")),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20" s="1" t="str">
        <f t="shared" si="11"/>
        <v>Required</v>
      </c>
      <c r="H720" s="5"/>
      <c r="I720" s="1" t="s">
        <v>47</v>
      </c>
      <c r="J720" s="1"/>
      <c r="K720" s="1" t="s">
        <v>941</v>
      </c>
      <c r="L720" s="1" t="s">
        <v>27</v>
      </c>
      <c r="M720" s="1"/>
      <c r="N720" s="1" t="s">
        <v>976</v>
      </c>
      <c r="O720" s="1" t="s">
        <v>19</v>
      </c>
      <c r="P720" s="1" t="s">
        <v>18</v>
      </c>
      <c r="Q720" s="1" t="s">
        <v>20</v>
      </c>
      <c r="R720" s="1"/>
      <c r="S720" s="1"/>
      <c r="T720" s="1"/>
    </row>
    <row r="721" spans="1:20">
      <c r="A721" s="1" t="s">
        <v>953</v>
      </c>
      <c r="B721" s="1" t="str" cm="1">
        <f t="array" ref="B721">IF(A721="","",_xlfn.IFS(COUNTIF($U:$U,A721)&gt;0,"All uploaded",COUNTIF($V:$V,A721)&gt;0,"Partly uploaded",COUNTIF($W:$X,A721)&gt;0,"Not uploaded",TRUE,"Not classified"))</f>
        <v>Partly uploaded</v>
      </c>
      <c r="C721" s="1" t="str" cm="1">
        <f t="array" ref="C721">_xlfn.SWITCH(TRIM(I721),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21" s="1"/>
      <c r="E721" s="1"/>
      <c r="F721" s="1" t="str" cm="1">
        <f t="array" ref="F721">_xlfn.LET(
_xlpm.status,UPPER(TRIM(B721&amp;"")),
_xlpm.risk,UPPER(TRIM(C721&amp;"")),
_xlpm.notify,UPPER(TRIM(D721&amp;"")),
_xlpm.form,UPPER(TRIM(E721&amp;"")),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21" s="1" t="str">
        <f t="shared" si="11"/>
        <v>Required</v>
      </c>
      <c r="H721" s="5"/>
      <c r="I721" s="1" t="s">
        <v>101</v>
      </c>
      <c r="J721" s="1"/>
      <c r="K721" s="1" t="s">
        <v>941</v>
      </c>
      <c r="L721" s="1" t="s">
        <v>27</v>
      </c>
      <c r="M721" s="1"/>
      <c r="N721" s="1" t="s">
        <v>954</v>
      </c>
      <c r="O721" s="1" t="s">
        <v>19</v>
      </c>
      <c r="P721" s="1" t="s">
        <v>18</v>
      </c>
      <c r="Q721" s="1" t="s">
        <v>20</v>
      </c>
      <c r="R721" s="1"/>
      <c r="S721" s="1"/>
      <c r="T721" s="1"/>
    </row>
    <row r="722" spans="1:20">
      <c r="A722" s="1" t="s">
        <v>980</v>
      </c>
      <c r="B722" s="1" t="str" cm="1">
        <f t="array" ref="B722">IF(A722="","",_xlfn.IFS(COUNTIF($U:$U,A722)&gt;0,"All uploaded",COUNTIF($V:$V,A722)&gt;0,"Partly uploaded",COUNTIF($W:$X,A722)&gt;0,"Not uploaded",TRUE,"Not classified"))</f>
        <v>Not uploaded</v>
      </c>
      <c r="C722" s="1" t="str" cm="1">
        <f t="array" ref="C722">_xlfn.SWITCH(TRIM(I722),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22" s="1"/>
      <c r="E722" s="1"/>
      <c r="F722" s="1" t="str" cm="1">
        <f t="array" ref="F722">_xlfn.LET(
_xlpm.status,UPPER(TRIM(B722&amp;"")),
_xlpm.risk,UPPER(TRIM(C722&amp;"")),
_xlpm.notify,UPPER(TRIM(D722&amp;"")),
_xlpm.form,UPPER(TRIM(E722&amp;"")),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22" s="1" t="str">
        <f t="shared" si="11"/>
        <v>Required</v>
      </c>
      <c r="H722" s="5"/>
      <c r="I722" s="1" t="s">
        <v>101</v>
      </c>
      <c r="J722" s="1"/>
      <c r="K722" s="1" t="s">
        <v>941</v>
      </c>
      <c r="L722" s="1" t="s">
        <v>27</v>
      </c>
      <c r="M722" s="1"/>
      <c r="N722" s="1" t="s">
        <v>981</v>
      </c>
      <c r="O722" s="1" t="s">
        <v>19</v>
      </c>
      <c r="P722" s="1" t="s">
        <v>18</v>
      </c>
      <c r="Q722" s="1" t="s">
        <v>20</v>
      </c>
      <c r="R722" s="1"/>
      <c r="S722" s="1"/>
      <c r="T722" s="1"/>
    </row>
    <row r="723" spans="1:20">
      <c r="A723" s="1" t="s">
        <v>985</v>
      </c>
      <c r="B723" s="1" t="str" cm="1">
        <f t="array" ref="B723">IF(A723="","",_xlfn.IFS(COUNTIF($U:$U,A723)&gt;0,"All uploaded",COUNTIF($V:$V,A723)&gt;0,"Partly uploaded",COUNTIF($W:$X,A723)&gt;0,"Not uploaded",TRUE,"Not classified"))</f>
        <v>Not uploaded</v>
      </c>
      <c r="C723" s="1" t="str" cm="1">
        <f t="array" ref="C723">_xlfn.SWITCH(TRIM(I723),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23" s="1"/>
      <c r="E723" s="1"/>
      <c r="F723" s="1" t="str" cm="1">
        <f t="array" ref="F723">_xlfn.LET(
_xlpm.status,UPPER(TRIM(B723&amp;"")),
_xlpm.risk,UPPER(TRIM(C723&amp;"")),
_xlpm.notify,UPPER(TRIM(D723&amp;"")),
_xlpm.form,UPPER(TRIM(E723&amp;"")),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23" s="1" t="str">
        <f t="shared" si="11"/>
        <v>Required</v>
      </c>
      <c r="H723" s="5"/>
      <c r="I723" s="1" t="s">
        <v>101</v>
      </c>
      <c r="J723" s="1"/>
      <c r="K723" s="1" t="s">
        <v>941</v>
      </c>
      <c r="L723" s="1" t="s">
        <v>25</v>
      </c>
      <c r="M723" s="1"/>
      <c r="N723" s="1" t="s">
        <v>986</v>
      </c>
      <c r="O723" s="1" t="s">
        <v>19</v>
      </c>
      <c r="P723" s="1" t="s">
        <v>18</v>
      </c>
      <c r="Q723" s="1" t="s">
        <v>20</v>
      </c>
      <c r="R723" s="1"/>
      <c r="S723" s="1"/>
      <c r="T723" s="1"/>
    </row>
    <row r="724" spans="1:20">
      <c r="A724" s="1" t="s">
        <v>992</v>
      </c>
      <c r="B724" s="1" t="str" cm="1">
        <f t="array" ref="B724">IF(A724="","",_xlfn.IFS(COUNTIF($U:$U,A724)&gt;0,"All uploaded",COUNTIF($V:$V,A724)&gt;0,"Partly uploaded",COUNTIF($W:$X,A724)&gt;0,"Not uploaded",TRUE,"Not classified"))</f>
        <v>Partly uploaded</v>
      </c>
      <c r="C724" s="1" t="str" cm="1">
        <f t="array" ref="C724">_xlfn.SWITCH(TRIM(I724),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24" s="1"/>
      <c r="E724" s="1"/>
      <c r="F724" s="1" t="str" cm="1">
        <f t="array" ref="F724">_xlfn.LET(
_xlpm.status,UPPER(TRIM(B724&amp;"")),
_xlpm.risk,UPPER(TRIM(C724&amp;"")),
_xlpm.notify,UPPER(TRIM(D724&amp;"")),
_xlpm.form,UPPER(TRIM(E724&amp;"")),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24" s="1" t="str">
        <f t="shared" si="11"/>
        <v>Required</v>
      </c>
      <c r="H724" s="5"/>
      <c r="I724" s="1" t="s">
        <v>53</v>
      </c>
      <c r="J724" s="1"/>
      <c r="K724" s="1" t="s">
        <v>941</v>
      </c>
      <c r="L724" s="1" t="s">
        <v>27</v>
      </c>
      <c r="M724" s="1"/>
      <c r="N724" s="1" t="s">
        <v>993</v>
      </c>
      <c r="O724" s="1" t="s">
        <v>19</v>
      </c>
      <c r="P724" s="1" t="s">
        <v>18</v>
      </c>
      <c r="Q724" s="1" t="s">
        <v>20</v>
      </c>
      <c r="R724" s="1"/>
      <c r="S724" s="1"/>
      <c r="T724" s="1"/>
    </row>
    <row r="725" spans="1:20">
      <c r="A725" s="1" t="s">
        <v>994</v>
      </c>
      <c r="B725" s="1" t="str" cm="1">
        <f t="array" ref="B725">IF(A725="","",_xlfn.IFS(COUNTIF($U:$U,A725)&gt;0,"All uploaded",COUNTIF($V:$V,A725)&gt;0,"Partly uploaded",COUNTIF($W:$X,A725)&gt;0,"Not uploaded",TRUE,"Not classified"))</f>
        <v>Not uploaded</v>
      </c>
      <c r="C725" s="1" t="str" cm="1">
        <f t="array" ref="C725">_xlfn.SWITCH(TRIM(I725),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25" s="1"/>
      <c r="E725" s="1"/>
      <c r="F725" s="1" t="str" cm="1">
        <f t="array" ref="F725">_xlfn.LET(
_xlpm.status,UPPER(TRIM(B725&amp;"")),
_xlpm.risk,UPPER(TRIM(C725&amp;"")),
_xlpm.notify,UPPER(TRIM(D725&amp;"")),
_xlpm.form,UPPER(TRIM(E725&amp;"")),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25" s="1" t="str">
        <f t="shared" si="11"/>
        <v>Required</v>
      </c>
      <c r="H725" s="5"/>
      <c r="I725" s="1" t="s">
        <v>760</v>
      </c>
      <c r="J725" s="1"/>
      <c r="K725" s="1" t="s">
        <v>941</v>
      </c>
      <c r="L725" s="1" t="s">
        <v>27</v>
      </c>
      <c r="M725" s="1"/>
      <c r="N725" s="1" t="s">
        <v>440</v>
      </c>
      <c r="O725" s="1" t="s">
        <v>19</v>
      </c>
      <c r="P725" s="1" t="s">
        <v>18</v>
      </c>
      <c r="Q725" s="1" t="s">
        <v>20</v>
      </c>
      <c r="R725" s="1"/>
      <c r="S725" s="1"/>
      <c r="T725" s="1"/>
    </row>
    <row r="726" spans="1:20">
      <c r="A726" s="1" t="s">
        <v>942</v>
      </c>
      <c r="B726" s="1" t="str" cm="1">
        <f t="array" ref="B726">IF(A726="","",_xlfn.IFS(COUNTIF($U:$U,A726)&gt;0,"All uploaded",COUNTIF($V:$V,A726)&gt;0,"Partly uploaded",COUNTIF($W:$X,A726)&gt;0,"Not uploaded",TRUE,"Not classified"))</f>
        <v>Partly uploaded</v>
      </c>
      <c r="C726" s="1" t="str" cm="1">
        <f t="array" ref="C726">_xlfn.SWITCH(TRIM(I726),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26" s="1"/>
      <c r="E726" s="1"/>
      <c r="F726" s="1" t="str" cm="1">
        <f t="array" ref="F726">_xlfn.LET(
_xlpm.status,UPPER(TRIM(B726&amp;"")),
_xlpm.risk,UPPER(TRIM(C726&amp;"")),
_xlpm.notify,UPPER(TRIM(D726&amp;"")),
_xlpm.form,UPPER(TRIM(E726&amp;"")),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26" s="1" t="str">
        <f t="shared" si="11"/>
        <v>Required</v>
      </c>
      <c r="H726" s="5"/>
      <c r="I726" s="1" t="s">
        <v>101</v>
      </c>
      <c r="J726" s="1"/>
      <c r="K726" s="1" t="s">
        <v>941</v>
      </c>
      <c r="L726" s="1" t="s">
        <v>27</v>
      </c>
      <c r="M726" s="1"/>
      <c r="N726" s="1" t="s">
        <v>440</v>
      </c>
      <c r="O726" s="1" t="s">
        <v>19</v>
      </c>
      <c r="P726" s="1" t="s">
        <v>18</v>
      </c>
      <c r="Q726" s="1" t="s">
        <v>20</v>
      </c>
      <c r="R726" s="1"/>
      <c r="S726" s="1"/>
      <c r="T726" s="1"/>
    </row>
    <row r="727" spans="1:20">
      <c r="A727" s="1" t="s">
        <v>987</v>
      </c>
      <c r="B727" s="1" t="str" cm="1">
        <f t="array" ref="B727">IF(A727="","",_xlfn.IFS(COUNTIF($U:$U,A727)&gt;0,"All uploaded",COUNTIF($V:$V,A727)&gt;0,"Partly uploaded",COUNTIF($W:$X,A727)&gt;0,"Not uploaded",TRUE,"Not classified"))</f>
        <v>Partly uploaded</v>
      </c>
      <c r="C727" s="1" t="str" cm="1">
        <f t="array" ref="C727">_xlfn.SWITCH(TRIM(I727),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27" s="1"/>
      <c r="E727" s="1"/>
      <c r="F727" s="1" t="str" cm="1">
        <f t="array" ref="F727">_xlfn.LET(
_xlpm.status,UPPER(TRIM(B727&amp;"")),
_xlpm.risk,UPPER(TRIM(C727&amp;"")),
_xlpm.notify,UPPER(TRIM(D727&amp;"")),
_xlpm.form,UPPER(TRIM(E727&amp;"")),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27" s="1" t="str">
        <f t="shared" si="11"/>
        <v>NA</v>
      </c>
      <c r="H727" s="5"/>
      <c r="I727" s="1" t="s">
        <v>29</v>
      </c>
      <c r="J727" s="1"/>
      <c r="K727" s="1" t="s">
        <v>941</v>
      </c>
      <c r="L727" s="1" t="s">
        <v>23</v>
      </c>
      <c r="M727" s="1"/>
      <c r="N727" s="1" t="s">
        <v>988</v>
      </c>
      <c r="O727" s="1" t="s">
        <v>19</v>
      </c>
      <c r="P727" s="1" t="s">
        <v>18</v>
      </c>
      <c r="Q727" s="1" t="s">
        <v>20</v>
      </c>
      <c r="R727" s="1"/>
      <c r="S727" s="1"/>
      <c r="T727" s="1"/>
    </row>
    <row r="728" spans="1:20">
      <c r="A728" s="1" t="s">
        <v>947</v>
      </c>
      <c r="B728" s="1" t="str" cm="1">
        <f t="array" ref="B728">IF(A728="","",_xlfn.IFS(COUNTIF($U:$U,A728)&gt;0,"All uploaded",COUNTIF($V:$V,A728)&gt;0,"Partly uploaded",COUNTIF($W:$X,A728)&gt;0,"Not uploaded",TRUE,"Not classified"))</f>
        <v>Partly uploaded</v>
      </c>
      <c r="C728" s="1" t="str" cm="1">
        <f t="array" ref="C728">_xlfn.SWITCH(TRIM(I728),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28" s="1"/>
      <c r="E728" s="1"/>
      <c r="F728" s="1" t="str" cm="1">
        <f t="array" ref="F728">_xlfn.LET(
_xlpm.status,UPPER(TRIM(B728&amp;"")),
_xlpm.risk,UPPER(TRIM(C728&amp;"")),
_xlpm.notify,UPPER(TRIM(D728&amp;"")),
_xlpm.form,UPPER(TRIM(E728&amp;"")),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28" s="1" t="str">
        <f t="shared" si="11"/>
        <v>Required</v>
      </c>
      <c r="H728" s="5"/>
      <c r="I728" s="1" t="s">
        <v>948</v>
      </c>
      <c r="J728" s="1"/>
      <c r="K728" s="1" t="s">
        <v>941</v>
      </c>
      <c r="L728" s="1" t="s">
        <v>27</v>
      </c>
      <c r="M728" s="1"/>
      <c r="N728" s="1" t="s">
        <v>440</v>
      </c>
      <c r="O728" s="1" t="s">
        <v>19</v>
      </c>
      <c r="P728" s="1" t="s">
        <v>18</v>
      </c>
      <c r="Q728" s="1" t="s">
        <v>20</v>
      </c>
      <c r="R728" s="1"/>
      <c r="S728" s="1"/>
      <c r="T728" s="1"/>
    </row>
    <row r="729" spans="1:20">
      <c r="A729" s="1" t="s">
        <v>999</v>
      </c>
      <c r="B729" s="1" t="str" cm="1">
        <f t="array" ref="B729">IF(A729="","",_xlfn.IFS(COUNTIF($U:$U,A729)&gt;0,"All uploaded",COUNTIF($V:$V,A729)&gt;0,"Partly uploaded",COUNTIF($W:$X,A729)&gt;0,"Not uploaded",TRUE,"Not classified"))</f>
        <v>Partly uploaded</v>
      </c>
      <c r="C729" s="1" t="str" cm="1">
        <f t="array" ref="C729">_xlfn.SWITCH(TRIM(I729),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29" s="1"/>
      <c r="E729" s="1"/>
      <c r="F729" s="1" t="str" cm="1">
        <f t="array" ref="F729">_xlfn.LET(
_xlpm.status,UPPER(TRIM(B729&amp;"")),
_xlpm.risk,UPPER(TRIM(C729&amp;"")),
_xlpm.notify,UPPER(TRIM(D729&amp;"")),
_xlpm.form,UPPER(TRIM(E729&amp;"")),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29" s="1" t="str">
        <f t="shared" si="11"/>
        <v>Required</v>
      </c>
      <c r="H729" s="5"/>
      <c r="I729" s="1" t="s">
        <v>118</v>
      </c>
      <c r="J729" s="1"/>
      <c r="K729" s="1" t="s">
        <v>998</v>
      </c>
      <c r="L729" s="1" t="s">
        <v>25</v>
      </c>
      <c r="M729" s="1"/>
      <c r="N729" s="1" t="s">
        <v>1000</v>
      </c>
      <c r="O729" s="1" t="s">
        <v>19</v>
      </c>
      <c r="P729" s="1" t="s">
        <v>18</v>
      </c>
      <c r="Q729" s="1" t="s">
        <v>20</v>
      </c>
      <c r="R729" s="1"/>
      <c r="S729" s="1"/>
      <c r="T729" s="1"/>
    </row>
    <row r="730" spans="1:20">
      <c r="A730" s="1" t="s">
        <v>1010</v>
      </c>
      <c r="B730" s="1" t="str" cm="1">
        <f t="array" ref="B730">IF(A730="","",_xlfn.IFS(COUNTIF($U:$U,A730)&gt;0,"All uploaded",COUNTIF($V:$V,A730)&gt;0,"Partly uploaded",COUNTIF($W:$X,A730)&gt;0,"Not uploaded",TRUE,"Not classified"))</f>
        <v>Not uploaded</v>
      </c>
      <c r="C730" s="1" t="str" cm="1">
        <f t="array" ref="C730">_xlfn.SWITCH(TRIM(I730),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30" s="1"/>
      <c r="E730" s="1"/>
      <c r="F730" s="1" t="str" cm="1">
        <f t="array" ref="F730">_xlfn.LET(
_xlpm.status,UPPER(TRIM(B730&amp;"")),
_xlpm.risk,UPPER(TRIM(C730&amp;"")),
_xlpm.notify,UPPER(TRIM(D730&amp;"")),
_xlpm.form,UPPER(TRIM(E730&amp;"")),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30" s="1" t="str">
        <f t="shared" si="11"/>
        <v>Required</v>
      </c>
      <c r="H730" s="5"/>
      <c r="I730" s="1" t="s">
        <v>54</v>
      </c>
      <c r="J730" s="1"/>
      <c r="K730" s="1" t="s">
        <v>1009</v>
      </c>
      <c r="L730" s="1" t="s">
        <v>22</v>
      </c>
      <c r="M730" s="1"/>
      <c r="N730" s="1" t="s">
        <v>1011</v>
      </c>
      <c r="O730" s="1" t="s">
        <v>19</v>
      </c>
      <c r="P730" s="1" t="s">
        <v>18</v>
      </c>
      <c r="Q730" s="1" t="s">
        <v>20</v>
      </c>
      <c r="R730" s="1"/>
      <c r="S730" s="1"/>
      <c r="T730" s="1"/>
    </row>
    <row r="731" spans="1:20">
      <c r="A731" s="1" t="s">
        <v>1013</v>
      </c>
      <c r="B731" s="1" t="str" cm="1">
        <f t="array" ref="B731">IF(A731="","",_xlfn.IFS(COUNTIF($U:$U,A731)&gt;0,"All uploaded",COUNTIF($V:$V,A731)&gt;0,"Partly uploaded",COUNTIF($W:$X,A731)&gt;0,"Not uploaded",TRUE,"Not classified"))</f>
        <v>Not uploaded</v>
      </c>
      <c r="C731" s="1" t="str" cm="1">
        <f t="array" ref="C731">_xlfn.SWITCH(TRIM(I731),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31" s="1"/>
      <c r="E731" s="1"/>
      <c r="F731" s="1" t="str" cm="1">
        <f t="array" ref="F731">_xlfn.LET(
_xlpm.status,UPPER(TRIM(B731&amp;"")),
_xlpm.risk,UPPER(TRIM(C731&amp;"")),
_xlpm.notify,UPPER(TRIM(D731&amp;"")),
_xlpm.form,UPPER(TRIM(E731&amp;"")),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31" s="1" t="str">
        <f t="shared" si="11"/>
        <v>Required</v>
      </c>
      <c r="H731" s="5"/>
      <c r="I731" s="1" t="s">
        <v>54</v>
      </c>
      <c r="J731" s="1"/>
      <c r="K731" s="1" t="s">
        <v>1012</v>
      </c>
      <c r="L731" s="1" t="s">
        <v>22</v>
      </c>
      <c r="M731" s="1"/>
      <c r="N731" s="1" t="s">
        <v>1014</v>
      </c>
      <c r="O731" s="1" t="s">
        <v>19</v>
      </c>
      <c r="P731" s="1" t="s">
        <v>18</v>
      </c>
      <c r="Q731" s="1" t="s">
        <v>20</v>
      </c>
      <c r="R731" s="1"/>
      <c r="S731" s="1"/>
      <c r="T731" s="1"/>
    </row>
    <row r="732" spans="1:20">
      <c r="A732" s="1" t="s">
        <v>1016</v>
      </c>
      <c r="B732" s="1" t="str" cm="1">
        <f t="array" ref="B732">IF(A732="","",_xlfn.IFS(COUNTIF($U:$U,A732)&gt;0,"All uploaded",COUNTIF($V:$V,A732)&gt;0,"Partly uploaded",COUNTIF($W:$X,A732)&gt;0,"Not uploaded",TRUE,"Not classified"))</f>
        <v>Not uploaded</v>
      </c>
      <c r="C732" s="1" t="str" cm="1">
        <f t="array" ref="C732">_xlfn.SWITCH(TRIM(I732),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32" s="1"/>
      <c r="E732" s="1"/>
      <c r="F732" s="1" t="str" cm="1">
        <f t="array" ref="F732">_xlfn.LET(
_xlpm.status,UPPER(TRIM(B732&amp;"")),
_xlpm.risk,UPPER(TRIM(C732&amp;"")),
_xlpm.notify,UPPER(TRIM(D732&amp;"")),
_xlpm.form,UPPER(TRIM(E732&amp;"")),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32" s="1" t="str">
        <f t="shared" si="11"/>
        <v>NA</v>
      </c>
      <c r="H732" s="5"/>
      <c r="I732" s="1" t="s">
        <v>37</v>
      </c>
      <c r="J732" s="1"/>
      <c r="K732" s="1" t="s">
        <v>1015</v>
      </c>
      <c r="L732" s="1" t="s">
        <v>21</v>
      </c>
      <c r="M732" s="1"/>
      <c r="N732" s="1" t="s">
        <v>83</v>
      </c>
      <c r="O732" s="1" t="s">
        <v>19</v>
      </c>
      <c r="P732" s="1" t="s">
        <v>18</v>
      </c>
      <c r="Q732" s="1" t="s">
        <v>20</v>
      </c>
      <c r="R732" s="1"/>
      <c r="S732" s="1"/>
      <c r="T732" s="1"/>
    </row>
    <row r="733" spans="1:20">
      <c r="A733" s="1" t="s">
        <v>1022</v>
      </c>
      <c r="B733" s="1" t="str" cm="1">
        <f t="array" ref="B733">IF(A733="","",_xlfn.IFS(COUNTIF($U:$U,A733)&gt;0,"All uploaded",COUNTIF($V:$V,A733)&gt;0,"Partly uploaded",COUNTIF($W:$X,A733)&gt;0,"Not uploaded",TRUE,"Not classified"))</f>
        <v>Partly uploaded</v>
      </c>
      <c r="C733" s="1" t="str" cm="1">
        <f t="array" ref="C733">_xlfn.SWITCH(TRIM(I733),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33" s="1"/>
      <c r="E733" s="1"/>
      <c r="F733" s="1" t="str" cm="1">
        <f t="array" ref="F733">_xlfn.LET(
_xlpm.status,UPPER(TRIM(B733&amp;"")),
_xlpm.risk,UPPER(TRIM(C733&amp;"")),
_xlpm.notify,UPPER(TRIM(D733&amp;"")),
_xlpm.form,UPPER(TRIM(E733&amp;"")),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33" s="1" t="str">
        <f t="shared" si="11"/>
        <v>Required</v>
      </c>
      <c r="H733" s="5"/>
      <c r="I733" s="1" t="s">
        <v>47</v>
      </c>
      <c r="J733" s="1"/>
      <c r="K733" s="1" t="s">
        <v>1017</v>
      </c>
      <c r="L733" s="1" t="s">
        <v>27</v>
      </c>
      <c r="M733" s="1"/>
      <c r="N733" s="1" t="s">
        <v>94</v>
      </c>
      <c r="O733" s="1" t="s">
        <v>19</v>
      </c>
      <c r="P733" s="1" t="s">
        <v>18</v>
      </c>
      <c r="Q733" s="1" t="s">
        <v>20</v>
      </c>
      <c r="R733" s="1"/>
      <c r="S733" s="1"/>
      <c r="T733" s="1"/>
    </row>
    <row r="734" spans="1:20">
      <c r="A734" s="1" t="s">
        <v>1026</v>
      </c>
      <c r="B734" s="1" t="str" cm="1">
        <f t="array" ref="B734">IF(A734="","",_xlfn.IFS(COUNTIF($U:$U,A734)&gt;0,"All uploaded",COUNTIF($V:$V,A734)&gt;0,"Partly uploaded",COUNTIF($W:$X,A734)&gt;0,"Not uploaded",TRUE,"Not classified"))</f>
        <v>Not uploaded</v>
      </c>
      <c r="C734" s="1" t="str" cm="1">
        <f t="array" ref="C734">_xlfn.SWITCH(TRIM(I734),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34" s="1"/>
      <c r="E734" s="1"/>
      <c r="F734" s="1" t="str" cm="1">
        <f t="array" ref="F734">_xlfn.LET(
_xlpm.status,UPPER(TRIM(B734&amp;"")),
_xlpm.risk,UPPER(TRIM(C734&amp;"")),
_xlpm.notify,UPPER(TRIM(D734&amp;"")),
_xlpm.form,UPPER(TRIM(E734&amp;"")),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34" s="1" t="str">
        <f t="shared" si="11"/>
        <v>Required</v>
      </c>
      <c r="H734" s="5"/>
      <c r="I734" s="1" t="s">
        <v>101</v>
      </c>
      <c r="J734" s="1"/>
      <c r="K734" s="1" t="s">
        <v>1017</v>
      </c>
      <c r="L734" s="1" t="s">
        <v>25</v>
      </c>
      <c r="M734" s="1"/>
      <c r="N734" s="1" t="s">
        <v>986</v>
      </c>
      <c r="O734" s="1" t="s">
        <v>19</v>
      </c>
      <c r="P734" s="1" t="s">
        <v>18</v>
      </c>
      <c r="Q734" s="1" t="s">
        <v>20</v>
      </c>
      <c r="R734" s="1"/>
      <c r="S734" s="1"/>
      <c r="T734" s="1"/>
    </row>
    <row r="735" spans="1:20">
      <c r="A735" s="1" t="s">
        <v>1028</v>
      </c>
      <c r="B735" s="1" t="str" cm="1">
        <f t="array" ref="B735">IF(A735="","",_xlfn.IFS(COUNTIF($U:$U,A735)&gt;0,"All uploaded",COUNTIF($V:$V,A735)&gt;0,"Partly uploaded",COUNTIF($W:$X,A735)&gt;0,"Not uploaded",TRUE,"Not classified"))</f>
        <v>Not uploaded</v>
      </c>
      <c r="C735" s="1" t="str" cm="1">
        <f t="array" ref="C735">_xlfn.SWITCH(TRIM(I735),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35" s="1"/>
      <c r="E735" s="1"/>
      <c r="F735" s="1" t="str" cm="1">
        <f t="array" ref="F735">_xlfn.LET(
_xlpm.status,UPPER(TRIM(B735&amp;"")),
_xlpm.risk,UPPER(TRIM(C735&amp;"")),
_xlpm.notify,UPPER(TRIM(D735&amp;"")),
_xlpm.form,UPPER(TRIM(E735&amp;"")),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35" s="1" t="str">
        <f t="shared" si="11"/>
        <v>NA</v>
      </c>
      <c r="H735" s="5"/>
      <c r="I735" s="1" t="s">
        <v>66</v>
      </c>
      <c r="J735" s="1"/>
      <c r="K735" s="1" t="s">
        <v>1027</v>
      </c>
      <c r="L735" s="1" t="s">
        <v>23</v>
      </c>
      <c r="M735" s="1"/>
      <c r="N735" s="1" t="s">
        <v>117</v>
      </c>
      <c r="O735" s="1" t="s">
        <v>19</v>
      </c>
      <c r="P735" s="1" t="s">
        <v>18</v>
      </c>
      <c r="Q735" s="1" t="s">
        <v>20</v>
      </c>
      <c r="R735" s="1"/>
      <c r="S735" s="1"/>
      <c r="T735" s="1"/>
    </row>
    <row r="736" spans="1:20">
      <c r="A736" s="1" t="s">
        <v>1030</v>
      </c>
      <c r="B736" s="1" t="str" cm="1">
        <f t="array" ref="B736">IF(A736="","",_xlfn.IFS(COUNTIF($U:$U,A736)&gt;0,"All uploaded",COUNTIF($V:$V,A736)&gt;0,"Partly uploaded",COUNTIF($W:$X,A736)&gt;0,"Not uploaded",TRUE,"Not classified"))</f>
        <v>Not uploaded</v>
      </c>
      <c r="C736" s="1" t="str" cm="1">
        <f t="array" ref="C736">_xlfn.SWITCH(TRIM(I736),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36" s="1"/>
      <c r="E736" s="1"/>
      <c r="F736" s="1" t="str" cm="1">
        <f t="array" ref="F736">_xlfn.LET(
_xlpm.status,UPPER(TRIM(B736&amp;"")),
_xlpm.risk,UPPER(TRIM(C736&amp;"")),
_xlpm.notify,UPPER(TRIM(D736&amp;"")),
_xlpm.form,UPPER(TRIM(E736&amp;"")),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36" s="1" t="str">
        <f t="shared" si="11"/>
        <v>NA</v>
      </c>
      <c r="H736" s="5"/>
      <c r="I736" s="1" t="s">
        <v>21</v>
      </c>
      <c r="J736" s="1"/>
      <c r="K736" s="1" t="s">
        <v>1029</v>
      </c>
      <c r="L736" s="1" t="s">
        <v>21</v>
      </c>
      <c r="M736" s="1"/>
      <c r="N736" s="1" t="s">
        <v>1031</v>
      </c>
      <c r="O736" s="1" t="s">
        <v>19</v>
      </c>
      <c r="P736" s="1" t="s">
        <v>18</v>
      </c>
      <c r="Q736" s="1" t="s">
        <v>20</v>
      </c>
      <c r="R736" s="1"/>
      <c r="S736" s="1"/>
      <c r="T736" s="1"/>
    </row>
    <row r="737" spans="1:20">
      <c r="A737" s="1" t="s">
        <v>1032</v>
      </c>
      <c r="B737" s="1" t="str" cm="1">
        <f t="array" ref="B737">IF(A737="","",_xlfn.IFS(COUNTIF($U:$U,A737)&gt;0,"All uploaded",COUNTIF($V:$V,A737)&gt;0,"Partly uploaded",COUNTIF($W:$X,A737)&gt;0,"Not uploaded",TRUE,"Not classified"))</f>
        <v>Not uploaded</v>
      </c>
      <c r="C737" s="1" t="str" cm="1">
        <f t="array" ref="C737">_xlfn.SWITCH(TRIM(I737),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37" s="1"/>
      <c r="E737" s="1"/>
      <c r="F737" s="1" t="str" cm="1">
        <f t="array" ref="F737">_xlfn.LET(
_xlpm.status,UPPER(TRIM(B737&amp;"")),
_xlpm.risk,UPPER(TRIM(C737&amp;"")),
_xlpm.notify,UPPER(TRIM(D737&amp;"")),
_xlpm.form,UPPER(TRIM(E737&amp;"")),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37" s="1" t="str">
        <f t="shared" si="11"/>
        <v>NA</v>
      </c>
      <c r="H737" s="5"/>
      <c r="I737" s="1" t="s">
        <v>21</v>
      </c>
      <c r="J737" s="1"/>
      <c r="K737" s="1" t="s">
        <v>1029</v>
      </c>
      <c r="L737" s="1" t="s">
        <v>21</v>
      </c>
      <c r="M737" s="1"/>
      <c r="N737" s="1" t="s">
        <v>1033</v>
      </c>
      <c r="O737" s="1" t="s">
        <v>19</v>
      </c>
      <c r="P737" s="1" t="s">
        <v>18</v>
      </c>
      <c r="Q737" s="1" t="s">
        <v>20</v>
      </c>
      <c r="R737" s="1"/>
      <c r="S737" s="1"/>
      <c r="T737" s="1"/>
    </row>
    <row r="738" spans="1:20">
      <c r="A738" s="1" t="s">
        <v>1035</v>
      </c>
      <c r="B738" s="1" t="str" cm="1">
        <f t="array" ref="B738">IF(A738="","",_xlfn.IFS(COUNTIF($U:$U,A738)&gt;0,"All uploaded",COUNTIF($V:$V,A738)&gt;0,"Partly uploaded",COUNTIF($W:$X,A738)&gt;0,"Not uploaded",TRUE,"Not classified"))</f>
        <v>Not uploaded</v>
      </c>
      <c r="C738" s="1" t="str" cm="1">
        <f t="array" ref="C738">_xlfn.SWITCH(TRIM(I738),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38" s="1"/>
      <c r="E738" s="1"/>
      <c r="F738" s="1" t="str" cm="1">
        <f t="array" ref="F738">_xlfn.LET(
_xlpm.status,UPPER(TRIM(B738&amp;"")),
_xlpm.risk,UPPER(TRIM(C738&amp;"")),
_xlpm.notify,UPPER(TRIM(D738&amp;"")),
_xlpm.form,UPPER(TRIM(E738&amp;"")),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38" s="1" t="str">
        <f t="shared" si="11"/>
        <v>Required</v>
      </c>
      <c r="H738" s="5"/>
      <c r="I738" s="1" t="s">
        <v>54</v>
      </c>
      <c r="J738" s="1"/>
      <c r="K738" s="1" t="s">
        <v>1034</v>
      </c>
      <c r="L738" s="1" t="s">
        <v>44</v>
      </c>
      <c r="M738" s="1"/>
      <c r="N738" s="1" t="s">
        <v>1036</v>
      </c>
      <c r="O738" s="1" t="s">
        <v>30</v>
      </c>
      <c r="P738" s="1" t="s">
        <v>31</v>
      </c>
      <c r="Q738" s="1" t="s">
        <v>32</v>
      </c>
      <c r="R738" s="1"/>
      <c r="S738" s="1"/>
      <c r="T738" s="1"/>
    </row>
    <row r="739" spans="1:20">
      <c r="A739" s="1" t="s">
        <v>1038</v>
      </c>
      <c r="B739" s="1" t="str" cm="1">
        <f t="array" ref="B739">IF(A739="","",_xlfn.IFS(COUNTIF($U:$U,A739)&gt;0,"All uploaded",COUNTIF($V:$V,A739)&gt;0,"Partly uploaded",COUNTIF($W:$X,A739)&gt;0,"Not uploaded",TRUE,"Not classified"))</f>
        <v>Not uploaded</v>
      </c>
      <c r="C739" s="1" t="str" cm="1">
        <f t="array" ref="C739">_xlfn.SWITCH(TRIM(I739),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39" s="1"/>
      <c r="E739" s="1"/>
      <c r="F739" s="1" t="str" cm="1">
        <f t="array" ref="F739">_xlfn.LET(
_xlpm.status,UPPER(TRIM(B739&amp;"")),
_xlpm.risk,UPPER(TRIM(C739&amp;"")),
_xlpm.notify,UPPER(TRIM(D739&amp;"")),
_xlpm.form,UPPER(TRIM(E739&amp;"")),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39" s="1" t="str">
        <f t="shared" si="11"/>
        <v>NA</v>
      </c>
      <c r="H739" s="5"/>
      <c r="I739" s="1" t="s">
        <v>21</v>
      </c>
      <c r="J739" s="1"/>
      <c r="K739" s="1" t="s">
        <v>1037</v>
      </c>
      <c r="L739" s="1" t="s">
        <v>21</v>
      </c>
      <c r="M739" s="1"/>
      <c r="N739" s="1" t="s">
        <v>83</v>
      </c>
      <c r="O739" s="1" t="s">
        <v>19</v>
      </c>
      <c r="P739" s="1" t="s">
        <v>18</v>
      </c>
      <c r="Q739" s="1" t="s">
        <v>20</v>
      </c>
      <c r="R739" s="1"/>
      <c r="S739" s="1"/>
      <c r="T739" s="1"/>
    </row>
    <row r="740" spans="1:20">
      <c r="A740" s="1" t="s">
        <v>1040</v>
      </c>
      <c r="B740" s="1" t="str" cm="1">
        <f t="array" ref="B740">IF(A740="","",_xlfn.IFS(COUNTIF($U:$U,A740)&gt;0,"All uploaded",COUNTIF($V:$V,A740)&gt;0,"Partly uploaded",COUNTIF($W:$X,A740)&gt;0,"Not uploaded",TRUE,"Not classified"))</f>
        <v>Partly uploaded</v>
      </c>
      <c r="C740" s="1" t="str" cm="1">
        <f t="array" ref="C740">_xlfn.SWITCH(TRIM(I740),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40" s="1"/>
      <c r="E740" s="1"/>
      <c r="F740" s="1" t="str" cm="1">
        <f t="array" ref="F740">_xlfn.LET(
_xlpm.status,UPPER(TRIM(B740&amp;"")),
_xlpm.risk,UPPER(TRIM(C740&amp;"")),
_xlpm.notify,UPPER(TRIM(D740&amp;"")),
_xlpm.form,UPPER(TRIM(E740&amp;"")),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40" s="1" t="str">
        <f t="shared" si="11"/>
        <v>NA</v>
      </c>
      <c r="H740" s="5"/>
      <c r="I740" s="1" t="s">
        <v>22</v>
      </c>
      <c r="J740" s="1"/>
      <c r="K740" s="1" t="s">
        <v>1039</v>
      </c>
      <c r="L740" s="1" t="s">
        <v>22</v>
      </c>
      <c r="M740" s="1"/>
      <c r="N740" s="1" t="s">
        <v>105</v>
      </c>
      <c r="O740" s="1" t="s">
        <v>19</v>
      </c>
      <c r="P740" s="1" t="s">
        <v>18</v>
      </c>
      <c r="Q740" s="1" t="s">
        <v>20</v>
      </c>
      <c r="R740" s="1"/>
      <c r="S740" s="1"/>
      <c r="T740" s="1"/>
    </row>
    <row r="741" spans="1:20">
      <c r="A741" s="1" t="s">
        <v>1041</v>
      </c>
      <c r="B741" s="1" t="str" cm="1">
        <f t="array" ref="B741">IF(A741="","",_xlfn.IFS(COUNTIF($U:$U,A741)&gt;0,"All uploaded",COUNTIF($V:$V,A741)&gt;0,"Partly uploaded",COUNTIF($W:$X,A741)&gt;0,"Not uploaded",TRUE,"Not classified"))</f>
        <v>Not uploaded</v>
      </c>
      <c r="C741" s="1" t="str" cm="1">
        <f t="array" ref="C741">_xlfn.SWITCH(TRIM(I741),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41" s="1"/>
      <c r="E741" s="1"/>
      <c r="F741" s="1" t="str" cm="1">
        <f t="array" ref="F741">_xlfn.LET(
_xlpm.status,UPPER(TRIM(B741&amp;"")),
_xlpm.risk,UPPER(TRIM(C741&amp;"")),
_xlpm.notify,UPPER(TRIM(D741&amp;"")),
_xlpm.form,UPPER(TRIM(E741&amp;"")),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41" s="1" t="str">
        <f t="shared" si="11"/>
        <v>NA</v>
      </c>
      <c r="H741" s="5"/>
      <c r="I741" s="1" t="s">
        <v>22</v>
      </c>
      <c r="J741" s="1"/>
      <c r="K741" s="1" t="s">
        <v>1039</v>
      </c>
      <c r="L741" s="1" t="s">
        <v>22</v>
      </c>
      <c r="M741" s="1"/>
      <c r="N741" s="1" t="s">
        <v>1042</v>
      </c>
      <c r="O741" s="1" t="s">
        <v>19</v>
      </c>
      <c r="P741" s="1" t="s">
        <v>18</v>
      </c>
      <c r="Q741" s="1" t="s">
        <v>20</v>
      </c>
      <c r="R741" s="1"/>
      <c r="S741" s="1"/>
      <c r="T741" s="1"/>
    </row>
    <row r="742" spans="1:20">
      <c r="A742" s="1" t="s">
        <v>1043</v>
      </c>
      <c r="B742" s="1" t="str" cm="1">
        <f t="array" ref="B742">IF(A742="","",_xlfn.IFS(COUNTIF($U:$U,A742)&gt;0,"All uploaded",COUNTIF($V:$V,A742)&gt;0,"Partly uploaded",COUNTIF($W:$X,A742)&gt;0,"Not uploaded",TRUE,"Not classified"))</f>
        <v>Partly uploaded</v>
      </c>
      <c r="C742" s="1" t="str" cm="1">
        <f t="array" ref="C742">_xlfn.SWITCH(TRIM(I742),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42" s="1"/>
      <c r="E742" s="1"/>
      <c r="F742" s="1" t="str" cm="1">
        <f t="array" ref="F742">_xlfn.LET(
_xlpm.status,UPPER(TRIM(B742&amp;"")),
_xlpm.risk,UPPER(TRIM(C742&amp;"")),
_xlpm.notify,UPPER(TRIM(D742&amp;"")),
_xlpm.form,UPPER(TRIM(E742&amp;"")),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42" s="1" t="str">
        <f t="shared" si="11"/>
        <v>Required</v>
      </c>
      <c r="H742" s="5"/>
      <c r="I742" s="1" t="s">
        <v>27</v>
      </c>
      <c r="J742" s="1"/>
      <c r="K742" s="1" t="s">
        <v>1039</v>
      </c>
      <c r="L742" s="1" t="s">
        <v>27</v>
      </c>
      <c r="M742" s="1"/>
      <c r="N742" s="1" t="s">
        <v>1044</v>
      </c>
      <c r="O742" s="1" t="s">
        <v>19</v>
      </c>
      <c r="P742" s="1" t="s">
        <v>18</v>
      </c>
      <c r="Q742" s="1" t="s">
        <v>20</v>
      </c>
      <c r="R742" s="1"/>
      <c r="S742" s="1"/>
      <c r="T742" s="1"/>
    </row>
    <row r="743" spans="1:20">
      <c r="A743" s="1" t="s">
        <v>1045</v>
      </c>
      <c r="B743" s="1" t="str" cm="1">
        <f t="array" ref="B743">IF(A743="","",_xlfn.IFS(COUNTIF($U:$U,A743)&gt;0,"All uploaded",COUNTIF($V:$V,A743)&gt;0,"Partly uploaded",COUNTIF($W:$X,A743)&gt;0,"Not uploaded",TRUE,"Not classified"))</f>
        <v>Partly uploaded</v>
      </c>
      <c r="C743" s="1" t="str" cm="1">
        <f t="array" ref="C743">_xlfn.SWITCH(TRIM(I743),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43" s="1"/>
      <c r="E743" s="1"/>
      <c r="F743" s="1" t="str" cm="1">
        <f t="array" ref="F743">_xlfn.LET(
_xlpm.status,UPPER(TRIM(B743&amp;"")),
_xlpm.risk,UPPER(TRIM(C743&amp;"")),
_xlpm.notify,UPPER(TRIM(D743&amp;"")),
_xlpm.form,UPPER(TRIM(E743&amp;"")),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43" s="1" t="str">
        <f t="shared" si="11"/>
        <v>Required</v>
      </c>
      <c r="H743" s="5"/>
      <c r="I743" s="1" t="s">
        <v>27</v>
      </c>
      <c r="J743" s="1"/>
      <c r="K743" s="1" t="s">
        <v>1039</v>
      </c>
      <c r="L743" s="1" t="s">
        <v>27</v>
      </c>
      <c r="M743" s="1"/>
      <c r="N743" s="1" t="s">
        <v>1046</v>
      </c>
      <c r="O743" s="1" t="s">
        <v>19</v>
      </c>
      <c r="P743" s="1" t="s">
        <v>18</v>
      </c>
      <c r="Q743" s="1" t="s">
        <v>20</v>
      </c>
      <c r="R743" s="1"/>
      <c r="S743" s="1"/>
      <c r="T743" s="1"/>
    </row>
    <row r="744" spans="1:20">
      <c r="A744" s="1" t="s">
        <v>1063</v>
      </c>
      <c r="B744" s="1" t="str" cm="1">
        <f t="array" ref="B744">IF(A744="","",_xlfn.IFS(COUNTIF($U:$U,A744)&gt;0,"All uploaded",COUNTIF($V:$V,A744)&gt;0,"Partly uploaded",COUNTIF($W:$X,A744)&gt;0,"Not uploaded",TRUE,"Not classified"))</f>
        <v>Partly uploaded</v>
      </c>
      <c r="C744" s="1" t="str" cm="1">
        <f t="array" ref="C744">_xlfn.SWITCH(TRIM(I744),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44" s="1"/>
      <c r="E744" s="1"/>
      <c r="F744" s="1" t="str" cm="1">
        <f t="array" ref="F744">_xlfn.LET(
_xlpm.status,UPPER(TRIM(B744&amp;"")),
_xlpm.risk,UPPER(TRIM(C744&amp;"")),
_xlpm.notify,UPPER(TRIM(D744&amp;"")),
_xlpm.form,UPPER(TRIM(E744&amp;"")),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44" s="1" t="str">
        <f t="shared" si="11"/>
        <v>Required</v>
      </c>
      <c r="H744" s="5"/>
      <c r="I744" s="1" t="s">
        <v>27</v>
      </c>
      <c r="J744" s="1"/>
      <c r="K744" s="1" t="s">
        <v>1039</v>
      </c>
      <c r="L744" s="1" t="s">
        <v>27</v>
      </c>
      <c r="M744" s="1"/>
      <c r="N744" s="1" t="s">
        <v>1064</v>
      </c>
      <c r="O744" s="1" t="s">
        <v>19</v>
      </c>
      <c r="P744" s="1" t="s">
        <v>18</v>
      </c>
      <c r="Q744" s="1" t="s">
        <v>20</v>
      </c>
      <c r="R744" s="1"/>
      <c r="S744" s="1"/>
      <c r="T744" s="1"/>
    </row>
    <row r="745" spans="1:20">
      <c r="A745" s="1" t="s">
        <v>1075</v>
      </c>
      <c r="B745" s="1" t="str" cm="1">
        <f t="array" ref="B745">IF(A745="","",_xlfn.IFS(COUNTIF($U:$U,A745)&gt;0,"All uploaded",COUNTIF($V:$V,A745)&gt;0,"Partly uploaded",COUNTIF($W:$X,A745)&gt;0,"Not uploaded",TRUE,"Not classified"))</f>
        <v>Partly uploaded</v>
      </c>
      <c r="C745" s="1" t="str" cm="1">
        <f t="array" ref="C745">_xlfn.SWITCH(TRIM(I745),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45" s="1"/>
      <c r="E745" s="1"/>
      <c r="F745" s="1" t="str" cm="1">
        <f t="array" ref="F745">_xlfn.LET(
_xlpm.status,UPPER(TRIM(B745&amp;"")),
_xlpm.risk,UPPER(TRIM(C745&amp;"")),
_xlpm.notify,UPPER(TRIM(D745&amp;"")),
_xlpm.form,UPPER(TRIM(E745&amp;"")),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45" s="1" t="str">
        <f t="shared" si="11"/>
        <v>NA</v>
      </c>
      <c r="H745" s="5"/>
      <c r="I745" s="1" t="s">
        <v>22</v>
      </c>
      <c r="J745" s="1"/>
      <c r="K745" s="1" t="s">
        <v>1074</v>
      </c>
      <c r="L745" s="1" t="s">
        <v>22</v>
      </c>
      <c r="M745" s="1"/>
      <c r="N745" s="1" t="s">
        <v>1076</v>
      </c>
      <c r="O745" s="1" t="s">
        <v>19</v>
      </c>
      <c r="P745" s="1" t="s">
        <v>18</v>
      </c>
      <c r="Q745" s="1" t="s">
        <v>20</v>
      </c>
      <c r="R745" s="1"/>
      <c r="S745" s="1"/>
      <c r="T745" s="1"/>
    </row>
    <row r="746" spans="1:20">
      <c r="A746" s="1" t="s">
        <v>1084</v>
      </c>
      <c r="B746" s="1" t="str" cm="1">
        <f t="array" ref="B746">IF(A746="","",_xlfn.IFS(COUNTIF($U:$U,A746)&gt;0,"All uploaded",COUNTIF($V:$V,A746)&gt;0,"Partly uploaded",COUNTIF($W:$X,A746)&gt;0,"Not uploaded",TRUE,"Not classified"))</f>
        <v>Not uploaded</v>
      </c>
      <c r="C746" s="1" t="str" cm="1">
        <f t="array" ref="C746">_xlfn.SWITCH(TRIM(I746),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46" s="1"/>
      <c r="E746" s="1"/>
      <c r="F746" s="1" t="str" cm="1">
        <f t="array" ref="F746">_xlfn.LET(
_xlpm.status,UPPER(TRIM(B746&amp;"")),
_xlpm.risk,UPPER(TRIM(C746&amp;"")),
_xlpm.notify,UPPER(TRIM(D746&amp;"")),
_xlpm.form,UPPER(TRIM(E746&amp;"")),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46" s="1" t="str">
        <f t="shared" si="11"/>
        <v>NA</v>
      </c>
      <c r="H746" s="5"/>
      <c r="I746" s="1" t="s">
        <v>21</v>
      </c>
      <c r="J746" s="1"/>
      <c r="K746" s="1" t="s">
        <v>1083</v>
      </c>
      <c r="L746" s="1" t="s">
        <v>21</v>
      </c>
      <c r="M746" s="1"/>
      <c r="N746" s="1" t="s">
        <v>1085</v>
      </c>
      <c r="O746" s="1" t="s">
        <v>19</v>
      </c>
      <c r="P746" s="1" t="s">
        <v>18</v>
      </c>
      <c r="Q746" s="1" t="s">
        <v>20</v>
      </c>
      <c r="R746" s="1"/>
      <c r="S746" s="1"/>
      <c r="T746" s="1"/>
    </row>
    <row r="747" spans="1:20">
      <c r="A747" s="1" t="s">
        <v>1087</v>
      </c>
      <c r="B747" s="1" t="str" cm="1">
        <f t="array" ref="B747">IF(A747="","",_xlfn.IFS(COUNTIF($U:$U,A747)&gt;0,"All uploaded",COUNTIF($V:$V,A747)&gt;0,"Partly uploaded",COUNTIF($W:$X,A747)&gt;0,"Not uploaded",TRUE,"Not classified"))</f>
        <v>Not uploaded</v>
      </c>
      <c r="C747" s="1" t="str" cm="1">
        <f t="array" ref="C747">_xlfn.SWITCH(TRIM(I747),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47" s="1"/>
      <c r="E747" s="1"/>
      <c r="F747" s="1" t="str" cm="1">
        <f t="array" ref="F747">_xlfn.LET(
_xlpm.status,UPPER(TRIM(B747&amp;"")),
_xlpm.risk,UPPER(TRIM(C747&amp;"")),
_xlpm.notify,UPPER(TRIM(D747&amp;"")),
_xlpm.form,UPPER(TRIM(E747&amp;"")),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47" s="1" t="str">
        <f t="shared" si="11"/>
        <v>NA</v>
      </c>
      <c r="H747" s="5"/>
      <c r="I747" s="1" t="s">
        <v>21</v>
      </c>
      <c r="J747" s="1"/>
      <c r="K747" s="1" t="s">
        <v>1086</v>
      </c>
      <c r="L747" s="1" t="s">
        <v>21</v>
      </c>
      <c r="M747" s="1"/>
      <c r="N747" s="1" t="s">
        <v>1088</v>
      </c>
      <c r="O747" s="1" t="s">
        <v>19</v>
      </c>
      <c r="P747" s="1" t="s">
        <v>18</v>
      </c>
      <c r="Q747" s="1" t="s">
        <v>20</v>
      </c>
      <c r="R747" s="1"/>
      <c r="S747" s="1"/>
      <c r="T747" s="1"/>
    </row>
    <row r="748" spans="1:20">
      <c r="A748" s="1" t="s">
        <v>1094</v>
      </c>
      <c r="B748" s="1" t="str" cm="1">
        <f t="array" ref="B748">IF(A748="","",_xlfn.IFS(COUNTIF($U:$U,A748)&gt;0,"All uploaded",COUNTIF($V:$V,A748)&gt;0,"Partly uploaded",COUNTIF($W:$X,A748)&gt;0,"Not uploaded",TRUE,"Not classified"))</f>
        <v>Partly uploaded</v>
      </c>
      <c r="C748" s="1" t="str" cm="1">
        <f t="array" ref="C748">_xlfn.SWITCH(TRIM(I748),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48" s="1"/>
      <c r="E748" s="1"/>
      <c r="F748" s="1" t="str" cm="1">
        <f t="array" ref="F748">_xlfn.LET(
_xlpm.status,UPPER(TRIM(B748&amp;"")),
_xlpm.risk,UPPER(TRIM(C748&amp;"")),
_xlpm.notify,UPPER(TRIM(D748&amp;"")),
_xlpm.form,UPPER(TRIM(E748&amp;"")),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48" s="1" t="str">
        <f t="shared" si="11"/>
        <v>NA</v>
      </c>
      <c r="H748" s="5"/>
      <c r="I748" s="1" t="s">
        <v>22</v>
      </c>
      <c r="J748" s="1"/>
      <c r="K748" s="1" t="s">
        <v>1089</v>
      </c>
      <c r="L748" s="1" t="s">
        <v>22</v>
      </c>
      <c r="M748" s="1"/>
      <c r="N748" s="1" t="s">
        <v>1095</v>
      </c>
      <c r="O748" s="1" t="s">
        <v>19</v>
      </c>
      <c r="P748" s="1" t="s">
        <v>18</v>
      </c>
      <c r="Q748" s="1" t="s">
        <v>20</v>
      </c>
      <c r="R748" s="1"/>
      <c r="S748" s="1"/>
      <c r="T748" s="1"/>
    </row>
    <row r="749" spans="1:20">
      <c r="A749" s="1" t="s">
        <v>1107</v>
      </c>
      <c r="B749" s="1" t="str" cm="1">
        <f t="array" ref="B749">IF(A749="","",_xlfn.IFS(COUNTIF($U:$U,A749)&gt;0,"All uploaded",COUNTIF($V:$V,A749)&gt;0,"Partly uploaded",COUNTIF($W:$X,A749)&gt;0,"Not uploaded",TRUE,"Not classified"))</f>
        <v>Not uploaded</v>
      </c>
      <c r="C749" s="1" t="str" cm="1">
        <f t="array" ref="C749">_xlfn.SWITCH(TRIM(I749),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49" s="1"/>
      <c r="E749" s="1"/>
      <c r="F749" s="1" t="str" cm="1">
        <f t="array" ref="F749">_xlfn.LET(
_xlpm.status,UPPER(TRIM(B749&amp;"")),
_xlpm.risk,UPPER(TRIM(C749&amp;"")),
_xlpm.notify,UPPER(TRIM(D749&amp;"")),
_xlpm.form,UPPER(TRIM(E749&amp;"")),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49" s="1" t="str">
        <f t="shared" si="11"/>
        <v>NA</v>
      </c>
      <c r="H749" s="5"/>
      <c r="I749" s="1" t="s">
        <v>21</v>
      </c>
      <c r="J749" s="1"/>
      <c r="K749" s="1" t="s">
        <v>1106</v>
      </c>
      <c r="L749" s="1" t="s">
        <v>21</v>
      </c>
      <c r="M749" s="1"/>
      <c r="N749" s="1" t="s">
        <v>83</v>
      </c>
      <c r="O749" s="1" t="s">
        <v>19</v>
      </c>
      <c r="P749" s="1" t="s">
        <v>18</v>
      </c>
      <c r="Q749" s="1" t="s">
        <v>20</v>
      </c>
      <c r="R749" s="1"/>
      <c r="S749" s="1"/>
      <c r="T749" s="1"/>
    </row>
    <row r="750" spans="1:20">
      <c r="A750" s="1" t="s">
        <v>1109</v>
      </c>
      <c r="B750" s="1" t="str" cm="1">
        <f t="array" ref="B750">IF(A750="","",_xlfn.IFS(COUNTIF($U:$U,A750)&gt;0,"All uploaded",COUNTIF($V:$V,A750)&gt;0,"Partly uploaded",COUNTIF($W:$X,A750)&gt;0,"Not uploaded",TRUE,"Not classified"))</f>
        <v>Not uploaded</v>
      </c>
      <c r="C750" s="1" t="str" cm="1">
        <f t="array" ref="C750">_xlfn.SWITCH(TRIM(I750),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50" s="1"/>
      <c r="E750" s="1"/>
      <c r="F750" s="1" t="str" cm="1">
        <f t="array" ref="F750">_xlfn.LET(
_xlpm.status,UPPER(TRIM(B750&amp;"")),
_xlpm.risk,UPPER(TRIM(C750&amp;"")),
_xlpm.notify,UPPER(TRIM(D750&amp;"")),
_xlpm.form,UPPER(TRIM(E750&amp;"")),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50" s="1" t="str">
        <f t="shared" si="11"/>
        <v>Required</v>
      </c>
      <c r="H750" s="5"/>
      <c r="I750" s="1" t="s">
        <v>27</v>
      </c>
      <c r="J750" s="1"/>
      <c r="K750" s="1" t="s">
        <v>1108</v>
      </c>
      <c r="L750" s="1" t="s">
        <v>27</v>
      </c>
      <c r="M750" s="1"/>
      <c r="N750" s="1" t="s">
        <v>440</v>
      </c>
      <c r="O750" s="1" t="s">
        <v>19</v>
      </c>
      <c r="P750" s="1" t="s">
        <v>18</v>
      </c>
      <c r="Q750" s="1" t="s">
        <v>20</v>
      </c>
      <c r="R750" s="1"/>
      <c r="S750" s="1"/>
      <c r="T750" s="1"/>
    </row>
    <row r="751" spans="1:20">
      <c r="A751" s="1" t="s">
        <v>1111</v>
      </c>
      <c r="B751" s="1" t="str" cm="1">
        <f t="array" ref="B751">IF(A751="","",_xlfn.IFS(COUNTIF($U:$U,A751)&gt;0,"All uploaded",COUNTIF($V:$V,A751)&gt;0,"Partly uploaded",COUNTIF($W:$X,A751)&gt;0,"Not uploaded",TRUE,"Not classified"))</f>
        <v>Not uploaded</v>
      </c>
      <c r="C751" s="1" t="str" cm="1">
        <f t="array" ref="C751">_xlfn.SWITCH(TRIM(I751),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51" s="1"/>
      <c r="E751" s="1"/>
      <c r="F751" s="1" t="str" cm="1">
        <f t="array" ref="F751">_xlfn.LET(
_xlpm.status,UPPER(TRIM(B751&amp;"")),
_xlpm.risk,UPPER(TRIM(C751&amp;"")),
_xlpm.notify,UPPER(TRIM(D751&amp;"")),
_xlpm.form,UPPER(TRIM(E751&amp;"")),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51" s="1" t="str">
        <f t="shared" si="11"/>
        <v>NA</v>
      </c>
      <c r="H751" s="5"/>
      <c r="I751" s="1" t="s">
        <v>22</v>
      </c>
      <c r="J751" s="1"/>
      <c r="K751" s="1" t="s">
        <v>1110</v>
      </c>
      <c r="L751" s="1" t="s">
        <v>22</v>
      </c>
      <c r="M751" s="1"/>
      <c r="N751" s="1" t="s">
        <v>1112</v>
      </c>
      <c r="O751" s="1" t="s">
        <v>19</v>
      </c>
      <c r="P751" s="1" t="s">
        <v>18</v>
      </c>
      <c r="Q751" s="1" t="s">
        <v>20</v>
      </c>
      <c r="R751" s="1"/>
      <c r="S751" s="1"/>
      <c r="T751" s="1"/>
    </row>
    <row r="752" spans="1:20">
      <c r="A752" s="1" t="s">
        <v>1118</v>
      </c>
      <c r="B752" s="1" t="str" cm="1">
        <f t="array" ref="B752">IF(A752="","",_xlfn.IFS(COUNTIF($U:$U,A752)&gt;0,"All uploaded",COUNTIF($V:$V,A752)&gt;0,"Partly uploaded",COUNTIF($W:$X,A752)&gt;0,"Not uploaded",TRUE,"Not classified"))</f>
        <v>Partly uploaded</v>
      </c>
      <c r="C752" s="1" t="str" cm="1">
        <f t="array" ref="C752">_xlfn.SWITCH(TRIM(I752),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52" s="1"/>
      <c r="E752" s="1"/>
      <c r="F752" s="1" t="str" cm="1">
        <f t="array" ref="F752">_xlfn.LET(
_xlpm.status,UPPER(TRIM(B752&amp;"")),
_xlpm.risk,UPPER(TRIM(C752&amp;"")),
_xlpm.notify,UPPER(TRIM(D752&amp;"")),
_xlpm.form,UPPER(TRIM(E752&amp;"")),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52" s="1" t="str">
        <f t="shared" si="11"/>
        <v>Required</v>
      </c>
      <c r="H752" s="5"/>
      <c r="I752" s="1" t="s">
        <v>27</v>
      </c>
      <c r="J752" s="1"/>
      <c r="K752" s="1" t="s">
        <v>1110</v>
      </c>
      <c r="L752" s="1" t="s">
        <v>27</v>
      </c>
      <c r="M752" s="1"/>
      <c r="N752" s="1" t="s">
        <v>1114</v>
      </c>
      <c r="O752" s="1" t="s">
        <v>19</v>
      </c>
      <c r="P752" s="1" t="s">
        <v>18</v>
      </c>
      <c r="Q752" s="1" t="s">
        <v>20</v>
      </c>
      <c r="R752" s="1"/>
      <c r="S752" s="1"/>
      <c r="T752" s="1"/>
    </row>
    <row r="753" spans="1:20">
      <c r="A753" s="1" t="s">
        <v>1129</v>
      </c>
      <c r="B753" s="1" t="str" cm="1">
        <f t="array" ref="B753">IF(A753="","",_xlfn.IFS(COUNTIF($U:$U,A753)&gt;0,"All uploaded",COUNTIF($V:$V,A753)&gt;0,"Partly uploaded",COUNTIF($W:$X,A753)&gt;0,"Not uploaded",TRUE,"Not classified"))</f>
        <v>Partly uploaded</v>
      </c>
      <c r="C753" s="1" t="str" cm="1">
        <f t="array" ref="C753">_xlfn.SWITCH(TRIM(I753),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53" s="1"/>
      <c r="E753" s="1"/>
      <c r="F753" s="1" t="str" cm="1">
        <f t="array" ref="F753">_xlfn.LET(
_xlpm.status,UPPER(TRIM(B753&amp;"")),
_xlpm.risk,UPPER(TRIM(C753&amp;"")),
_xlpm.notify,UPPER(TRIM(D753&amp;"")),
_xlpm.form,UPPER(TRIM(E753&amp;"")),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53" s="1" t="str">
        <f t="shared" si="11"/>
        <v>NA</v>
      </c>
      <c r="H753" s="5"/>
      <c r="I753" s="1" t="s">
        <v>22</v>
      </c>
      <c r="J753" s="1"/>
      <c r="K753" s="1" t="s">
        <v>1128</v>
      </c>
      <c r="L753" s="1" t="s">
        <v>22</v>
      </c>
      <c r="M753" s="1"/>
      <c r="N753" s="1" t="s">
        <v>1130</v>
      </c>
      <c r="O753" s="1" t="s">
        <v>19</v>
      </c>
      <c r="P753" s="1" t="s">
        <v>18</v>
      </c>
      <c r="Q753" s="1" t="s">
        <v>20</v>
      </c>
      <c r="R753" s="1"/>
      <c r="S753" s="1"/>
      <c r="T753" s="1"/>
    </row>
    <row r="754" spans="1:20">
      <c r="A754" s="1" t="s">
        <v>1135</v>
      </c>
      <c r="B754" s="1" t="str" cm="1">
        <f t="array" ref="B754">IF(A754="","",_xlfn.IFS(COUNTIF($U:$U,A754)&gt;0,"All uploaded",COUNTIF($V:$V,A754)&gt;0,"Partly uploaded",COUNTIF($W:$X,A754)&gt;0,"Not uploaded",TRUE,"Not classified"))</f>
        <v>Partly uploaded</v>
      </c>
      <c r="C754" s="1" t="str" cm="1">
        <f t="array" ref="C754">_xlfn.SWITCH(TRIM(I754),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54" s="1"/>
      <c r="E754" s="1"/>
      <c r="F754" s="1" t="str" cm="1">
        <f t="array" ref="F754">_xlfn.LET(
_xlpm.status,UPPER(TRIM(B754&amp;"")),
_xlpm.risk,UPPER(TRIM(C754&amp;"")),
_xlpm.notify,UPPER(TRIM(D754&amp;"")),
_xlpm.form,UPPER(TRIM(E754&amp;"")),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54" s="1" t="str">
        <f t="shared" si="11"/>
        <v>NA</v>
      </c>
      <c r="H754" s="5"/>
      <c r="I754" s="1" t="s">
        <v>35</v>
      </c>
      <c r="J754" s="1"/>
      <c r="K754" s="1" t="s">
        <v>1128</v>
      </c>
      <c r="L754" s="1" t="s">
        <v>35</v>
      </c>
      <c r="M754" s="1"/>
      <c r="N754" s="1" t="s">
        <v>1136</v>
      </c>
      <c r="O754" s="1" t="s">
        <v>19</v>
      </c>
      <c r="P754" s="1" t="s">
        <v>18</v>
      </c>
      <c r="Q754" s="1" t="s">
        <v>20</v>
      </c>
      <c r="R754" s="1"/>
      <c r="S754" s="1"/>
      <c r="T754" s="1"/>
    </row>
    <row r="755" spans="1:20">
      <c r="A755" s="1" t="s">
        <v>1131</v>
      </c>
      <c r="B755" s="1" t="str" cm="1">
        <f t="array" ref="B755">IF(A755="","",_xlfn.IFS(COUNTIF($U:$U,A755)&gt;0,"All uploaded",COUNTIF($V:$V,A755)&gt;0,"Partly uploaded",COUNTIF($W:$X,A755)&gt;0,"Not uploaded",TRUE,"Not classified"))</f>
        <v>Partly uploaded</v>
      </c>
      <c r="C755" s="1" t="str" cm="1">
        <f t="array" ref="C755">_xlfn.SWITCH(TRIM(I755),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55" s="1"/>
      <c r="E755" s="1"/>
      <c r="F755" s="1" t="str" cm="1">
        <f t="array" ref="F755">_xlfn.LET(
_xlpm.status,UPPER(TRIM(B755&amp;"")),
_xlpm.risk,UPPER(TRIM(C755&amp;"")),
_xlpm.notify,UPPER(TRIM(D755&amp;"")),
_xlpm.form,UPPER(TRIM(E755&amp;"")),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55" s="1" t="str">
        <f t="shared" si="11"/>
        <v>NA</v>
      </c>
      <c r="H755" s="5"/>
      <c r="I755" s="1" t="s">
        <v>22</v>
      </c>
      <c r="J755" s="1"/>
      <c r="K755" s="1" t="s">
        <v>1128</v>
      </c>
      <c r="L755" s="1" t="s">
        <v>22</v>
      </c>
      <c r="M755" s="1"/>
      <c r="N755" s="1" t="s">
        <v>45</v>
      </c>
      <c r="O755" s="1" t="s">
        <v>19</v>
      </c>
      <c r="P755" s="1" t="s">
        <v>18</v>
      </c>
      <c r="Q755" s="1" t="s">
        <v>20</v>
      </c>
      <c r="R755" s="1"/>
      <c r="S755" s="1"/>
      <c r="T755" s="1"/>
    </row>
    <row r="756" spans="1:20">
      <c r="A756" s="1" t="s">
        <v>1144</v>
      </c>
      <c r="B756" s="1" t="str" cm="1">
        <f t="array" ref="B756">IF(A756="","",_xlfn.IFS(COUNTIF($U:$U,A756)&gt;0,"All uploaded",COUNTIF($V:$V,A756)&gt;0,"Partly uploaded",COUNTIF($W:$X,A756)&gt;0,"Not uploaded",TRUE,"Not classified"))</f>
        <v>Not uploaded</v>
      </c>
      <c r="C756" s="1" t="str" cm="1">
        <f t="array" ref="C756">_xlfn.SWITCH(TRIM(I756),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56" s="1"/>
      <c r="E756" s="1"/>
      <c r="F756" s="1" t="str" cm="1">
        <f t="array" ref="F756">_xlfn.LET(
_xlpm.status,UPPER(TRIM(B756&amp;"")),
_xlpm.risk,UPPER(TRIM(C756&amp;"")),
_xlpm.notify,UPPER(TRIM(D756&amp;"")),
_xlpm.form,UPPER(TRIM(E756&amp;"")),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56" s="1" t="str">
        <f t="shared" si="11"/>
        <v>NA</v>
      </c>
      <c r="H756" s="5"/>
      <c r="I756" s="1" t="s">
        <v>22</v>
      </c>
      <c r="J756" s="1"/>
      <c r="K756" s="1" t="s">
        <v>1128</v>
      </c>
      <c r="L756" s="1" t="s">
        <v>22</v>
      </c>
      <c r="M756" s="1"/>
      <c r="N756" s="1" t="s">
        <v>1145</v>
      </c>
      <c r="O756" s="1" t="s">
        <v>19</v>
      </c>
      <c r="P756" s="1" t="s">
        <v>18</v>
      </c>
      <c r="Q756" s="1" t="s">
        <v>20</v>
      </c>
      <c r="R756" s="1"/>
      <c r="S756" s="1"/>
      <c r="T756" s="1"/>
    </row>
    <row r="757" spans="1:20">
      <c r="A757" s="1" t="s">
        <v>1147</v>
      </c>
      <c r="B757" s="1" t="str" cm="1">
        <f t="array" ref="B757">IF(A757="","",_xlfn.IFS(COUNTIF($U:$U,A757)&gt;0,"All uploaded",COUNTIF($V:$V,A757)&gt;0,"Partly uploaded",COUNTIF($W:$X,A757)&gt;0,"Not uploaded",TRUE,"Not classified"))</f>
        <v>Not uploaded</v>
      </c>
      <c r="C757" s="1" t="str" cm="1">
        <f t="array" ref="C757">_xlfn.SWITCH(TRIM(I757),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57" s="1"/>
      <c r="E757" s="1"/>
      <c r="F757" s="1" t="str" cm="1">
        <f t="array" ref="F757">_xlfn.LET(
_xlpm.status,UPPER(TRIM(B757&amp;"")),
_xlpm.risk,UPPER(TRIM(C757&amp;"")),
_xlpm.notify,UPPER(TRIM(D757&amp;"")),
_xlpm.form,UPPER(TRIM(E757&amp;"")),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57" s="1" t="str">
        <f t="shared" si="11"/>
        <v>NA</v>
      </c>
      <c r="H757" s="5"/>
      <c r="I757" s="1" t="s">
        <v>22</v>
      </c>
      <c r="J757" s="1"/>
      <c r="K757" s="1" t="s">
        <v>1146</v>
      </c>
      <c r="L757" s="1" t="s">
        <v>22</v>
      </c>
      <c r="M757" s="1"/>
      <c r="N757" s="1" t="s">
        <v>1148</v>
      </c>
      <c r="O757" s="1" t="s">
        <v>19</v>
      </c>
      <c r="P757" s="1" t="s">
        <v>18</v>
      </c>
      <c r="Q757" s="1" t="s">
        <v>20</v>
      </c>
      <c r="R757" s="1"/>
      <c r="S757" s="1"/>
      <c r="T757" s="1"/>
    </row>
    <row r="758" spans="1:20">
      <c r="A758" s="1" t="s">
        <v>1150</v>
      </c>
      <c r="B758" s="1" t="str" cm="1">
        <f t="array" ref="B758">IF(A758="","",_xlfn.IFS(COUNTIF($U:$U,A758)&gt;0,"All uploaded",COUNTIF($V:$V,A758)&gt;0,"Partly uploaded",COUNTIF($W:$X,A758)&gt;0,"Not uploaded",TRUE,"Not classified"))</f>
        <v>Not uploaded</v>
      </c>
      <c r="C758" s="1" t="str" cm="1">
        <f t="array" ref="C758">_xlfn.SWITCH(TRIM(I758),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58" s="1"/>
      <c r="E758" s="1"/>
      <c r="F758" s="1" t="str" cm="1">
        <f t="array" ref="F758">_xlfn.LET(
_xlpm.status,UPPER(TRIM(B758&amp;"")),
_xlpm.risk,UPPER(TRIM(C758&amp;"")),
_xlpm.notify,UPPER(TRIM(D758&amp;"")),
_xlpm.form,UPPER(TRIM(E758&amp;"")),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58" s="1" t="str">
        <f t="shared" si="11"/>
        <v>NA</v>
      </c>
      <c r="H758" s="5"/>
      <c r="I758" s="1" t="s">
        <v>21</v>
      </c>
      <c r="J758" s="1"/>
      <c r="K758" s="1" t="s">
        <v>1149</v>
      </c>
      <c r="L758" s="1" t="s">
        <v>21</v>
      </c>
      <c r="M758" s="1"/>
      <c r="N758" s="1" t="s">
        <v>1151</v>
      </c>
      <c r="O758" s="1" t="s">
        <v>19</v>
      </c>
      <c r="P758" s="1" t="s">
        <v>18</v>
      </c>
      <c r="Q758" s="1" t="s">
        <v>20</v>
      </c>
      <c r="R758" s="1"/>
      <c r="S758" s="1"/>
      <c r="T758" s="1"/>
    </row>
    <row r="759" spans="1:20">
      <c r="A759" s="1" t="s">
        <v>1153</v>
      </c>
      <c r="B759" s="1" t="str" cm="1">
        <f t="array" ref="B759">IF(A759="","",_xlfn.IFS(COUNTIF($U:$U,A759)&gt;0,"All uploaded",COUNTIF($V:$V,A759)&gt;0,"Partly uploaded",COUNTIF($W:$X,A759)&gt;0,"Not uploaded",TRUE,"Not classified"))</f>
        <v>Not uploaded</v>
      </c>
      <c r="C759" s="1" t="str" cm="1">
        <f t="array" ref="C759">_xlfn.SWITCH(TRIM(I759),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59" s="1"/>
      <c r="E759" s="1"/>
      <c r="F759" s="1" t="str" cm="1">
        <f t="array" ref="F759">_xlfn.LET(
_xlpm.status,UPPER(TRIM(B759&amp;"")),
_xlpm.risk,UPPER(TRIM(C759&amp;"")),
_xlpm.notify,UPPER(TRIM(D759&amp;"")),
_xlpm.form,UPPER(TRIM(E759&amp;"")),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59" s="1" t="str">
        <f t="shared" si="11"/>
        <v>NA</v>
      </c>
      <c r="H759" s="5"/>
      <c r="I759" s="1" t="s">
        <v>22</v>
      </c>
      <c r="J759" s="1"/>
      <c r="K759" s="1" t="s">
        <v>1152</v>
      </c>
      <c r="L759" s="1" t="s">
        <v>22</v>
      </c>
      <c r="M759" s="1"/>
      <c r="N759" s="1" t="s">
        <v>1154</v>
      </c>
      <c r="O759" s="1" t="s">
        <v>19</v>
      </c>
      <c r="P759" s="1" t="s">
        <v>18</v>
      </c>
      <c r="Q759" s="1" t="s">
        <v>20</v>
      </c>
      <c r="R759" s="1"/>
      <c r="S759" s="1"/>
      <c r="T759" s="1"/>
    </row>
    <row r="760" spans="1:20">
      <c r="A760" s="1" t="s">
        <v>1166</v>
      </c>
      <c r="B760" s="1" t="str" cm="1">
        <f t="array" ref="B760">IF(A760="","",_xlfn.IFS(COUNTIF($U:$U,A760)&gt;0,"All uploaded",COUNTIF($V:$V,A760)&gt;0,"Partly uploaded",COUNTIF($W:$X,A760)&gt;0,"Not uploaded",TRUE,"Not classified"))</f>
        <v>Not uploaded</v>
      </c>
      <c r="C760" s="1" t="str" cm="1">
        <f t="array" ref="C760">_xlfn.SWITCH(TRIM(I760),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60" s="1"/>
      <c r="E760" s="1"/>
      <c r="F760" s="1" t="str" cm="1">
        <f t="array" ref="F760">_xlfn.LET(
_xlpm.status,UPPER(TRIM(B760&amp;"")),
_xlpm.risk,UPPER(TRIM(C760&amp;"")),
_xlpm.notify,UPPER(TRIM(D760&amp;"")),
_xlpm.form,UPPER(TRIM(E760&amp;"")),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60" s="1" t="str">
        <f t="shared" si="11"/>
        <v>Required</v>
      </c>
      <c r="H760" s="5"/>
      <c r="I760" s="1" t="s">
        <v>27</v>
      </c>
      <c r="J760" s="1"/>
      <c r="K760" s="1" t="s">
        <v>1155</v>
      </c>
      <c r="L760" s="1" t="s">
        <v>27</v>
      </c>
      <c r="M760" s="1"/>
      <c r="N760" s="1" t="s">
        <v>440</v>
      </c>
      <c r="O760" s="1" t="s">
        <v>19</v>
      </c>
      <c r="P760" s="1" t="s">
        <v>18</v>
      </c>
      <c r="Q760" s="1" t="s">
        <v>20</v>
      </c>
      <c r="R760" s="1"/>
      <c r="S760" s="1"/>
      <c r="T760" s="1"/>
    </row>
    <row r="761" spans="1:20">
      <c r="A761" s="1" t="s">
        <v>1167</v>
      </c>
      <c r="B761" s="1" t="str" cm="1">
        <f t="array" ref="B761">IF(A761="","",_xlfn.IFS(COUNTIF($U:$U,A761)&gt;0,"All uploaded",COUNTIF($V:$V,A761)&gt;0,"Partly uploaded",COUNTIF($W:$X,A761)&gt;0,"Not uploaded",TRUE,"Not classified"))</f>
        <v>Not uploaded</v>
      </c>
      <c r="C761" s="1" t="str" cm="1">
        <f t="array" ref="C761">_xlfn.SWITCH(TRIM(I761),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61" s="1"/>
      <c r="E761" s="1"/>
      <c r="F761" s="1" t="str" cm="1">
        <f t="array" ref="F761">_xlfn.LET(
_xlpm.status,UPPER(TRIM(B761&amp;"")),
_xlpm.risk,UPPER(TRIM(C761&amp;"")),
_xlpm.notify,UPPER(TRIM(D761&amp;"")),
_xlpm.form,UPPER(TRIM(E761&amp;"")),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61" s="1" t="str">
        <f t="shared" si="11"/>
        <v>Required</v>
      </c>
      <c r="H761" s="5"/>
      <c r="I761" s="1" t="s">
        <v>27</v>
      </c>
      <c r="J761" s="1"/>
      <c r="K761" s="1" t="s">
        <v>1155</v>
      </c>
      <c r="L761" s="1" t="s">
        <v>27</v>
      </c>
      <c r="M761" s="1"/>
      <c r="N761" s="1" t="s">
        <v>1168</v>
      </c>
      <c r="O761" s="1" t="s">
        <v>19</v>
      </c>
      <c r="P761" s="1" t="s">
        <v>18</v>
      </c>
      <c r="Q761" s="1" t="s">
        <v>20</v>
      </c>
      <c r="R761" s="1"/>
      <c r="S761" s="1"/>
      <c r="T761" s="1"/>
    </row>
    <row r="762" spans="1:20">
      <c r="A762" s="1" t="s">
        <v>1170</v>
      </c>
      <c r="B762" s="1" t="str" cm="1">
        <f t="array" ref="B762">IF(A762="","",_xlfn.IFS(COUNTIF($U:$U,A762)&gt;0,"All uploaded",COUNTIF($V:$V,A762)&gt;0,"Partly uploaded",COUNTIF($W:$X,A762)&gt;0,"Not uploaded",TRUE,"Not classified"))</f>
        <v>Not uploaded</v>
      </c>
      <c r="C762" s="1" t="str" cm="1">
        <f t="array" ref="C762">_xlfn.SWITCH(TRIM(I762),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62" s="1"/>
      <c r="E762" s="1"/>
      <c r="F762" s="1" t="str" cm="1">
        <f t="array" ref="F762">_xlfn.LET(
_xlpm.status,UPPER(TRIM(B762&amp;"")),
_xlpm.risk,UPPER(TRIM(C762&amp;"")),
_xlpm.notify,UPPER(TRIM(D762&amp;"")),
_xlpm.form,UPPER(TRIM(E762&amp;"")),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62" s="1" t="str">
        <f t="shared" si="11"/>
        <v>Required</v>
      </c>
      <c r="H762" s="5"/>
      <c r="I762" s="1" t="s">
        <v>33</v>
      </c>
      <c r="J762" s="1"/>
      <c r="K762" s="1" t="s">
        <v>1169</v>
      </c>
      <c r="L762" s="1" t="s">
        <v>33</v>
      </c>
      <c r="M762" s="1"/>
      <c r="N762" s="1" t="s">
        <v>1171</v>
      </c>
      <c r="O762" s="1" t="s">
        <v>19</v>
      </c>
      <c r="P762" s="1" t="s">
        <v>18</v>
      </c>
      <c r="Q762" s="1" t="s">
        <v>20</v>
      </c>
      <c r="R762" s="1"/>
      <c r="S762" s="1"/>
      <c r="T762" s="1"/>
    </row>
    <row r="763" spans="1:20">
      <c r="A763" s="1" t="s">
        <v>1173</v>
      </c>
      <c r="B763" s="1" t="str" cm="1">
        <f t="array" ref="B763">IF(A763="","",_xlfn.IFS(COUNTIF($U:$U,A763)&gt;0,"All uploaded",COUNTIF($V:$V,A763)&gt;0,"Partly uploaded",COUNTIF($W:$X,A763)&gt;0,"Not uploaded",TRUE,"Not classified"))</f>
        <v>Not uploaded</v>
      </c>
      <c r="C763" s="1" t="str" cm="1">
        <f t="array" ref="C763">_xlfn.SWITCH(TRIM(I763),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63" s="1"/>
      <c r="E763" s="1"/>
      <c r="F763" s="1" t="str" cm="1">
        <f t="array" ref="F763">_xlfn.LET(
_xlpm.status,UPPER(TRIM(B763&amp;"")),
_xlpm.risk,UPPER(TRIM(C763&amp;"")),
_xlpm.notify,UPPER(TRIM(D763&amp;"")),
_xlpm.form,UPPER(TRIM(E763&amp;"")),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63" s="1" t="str">
        <f t="shared" si="11"/>
        <v>NA</v>
      </c>
      <c r="H763" s="5"/>
      <c r="I763" s="1" t="s">
        <v>22</v>
      </c>
      <c r="J763" s="1"/>
      <c r="K763" s="1" t="s">
        <v>1172</v>
      </c>
      <c r="L763" s="1" t="s">
        <v>22</v>
      </c>
      <c r="M763" s="1"/>
      <c r="N763" s="1" t="s">
        <v>853</v>
      </c>
      <c r="O763" s="1" t="s">
        <v>19</v>
      </c>
      <c r="P763" s="1" t="s">
        <v>18</v>
      </c>
      <c r="Q763" s="1" t="s">
        <v>20</v>
      </c>
      <c r="R763" s="1"/>
      <c r="S763" s="1"/>
      <c r="T763" s="1"/>
    </row>
    <row r="764" spans="1:20">
      <c r="A764" s="1" t="s">
        <v>1181</v>
      </c>
      <c r="B764" s="1" t="str" cm="1">
        <f t="array" ref="B764">IF(A764="","",_xlfn.IFS(COUNTIF($U:$U,A764)&gt;0,"All uploaded",COUNTIF($V:$V,A764)&gt;0,"Partly uploaded",COUNTIF($W:$X,A764)&gt;0,"Not uploaded",TRUE,"Not classified"))</f>
        <v>Partly uploaded</v>
      </c>
      <c r="C764" s="1" t="str" cm="1">
        <f t="array" ref="C764">_xlfn.SWITCH(TRIM(I764),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64" s="1"/>
      <c r="E764" s="1"/>
      <c r="F764" s="1" t="str" cm="1">
        <f t="array" ref="F764">_xlfn.LET(
_xlpm.status,UPPER(TRIM(B764&amp;"")),
_xlpm.risk,UPPER(TRIM(C764&amp;"")),
_xlpm.notify,UPPER(TRIM(D764&amp;"")),
_xlpm.form,UPPER(TRIM(E764&amp;"")),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64" s="1" t="str">
        <f t="shared" si="11"/>
        <v>Required</v>
      </c>
      <c r="H764" s="5"/>
      <c r="I764" s="1" t="s">
        <v>10</v>
      </c>
      <c r="J764" s="1"/>
      <c r="K764" s="1" t="s">
        <v>1180</v>
      </c>
      <c r="L764" s="1" t="s">
        <v>10</v>
      </c>
      <c r="M764" s="1"/>
      <c r="N764" s="1" t="s">
        <v>51</v>
      </c>
      <c r="O764" s="1" t="s">
        <v>19</v>
      </c>
      <c r="P764" s="1" t="s">
        <v>18</v>
      </c>
      <c r="Q764" s="1" t="s">
        <v>20</v>
      </c>
      <c r="R764" s="1"/>
      <c r="S764" s="1"/>
      <c r="T764" s="1"/>
    </row>
    <row r="765" spans="1:20">
      <c r="A765" s="1" t="s">
        <v>1204</v>
      </c>
      <c r="B765" s="1" t="str" cm="1">
        <f t="array" ref="B765">IF(A765="","",_xlfn.IFS(COUNTIF($U:$U,A765)&gt;0,"All uploaded",COUNTIF($V:$V,A765)&gt;0,"Partly uploaded",COUNTIF($W:$X,A765)&gt;0,"Not uploaded",TRUE,"Not classified"))</f>
        <v>Not uploaded</v>
      </c>
      <c r="C765" s="1" t="str" cm="1">
        <f t="array" ref="C765">_xlfn.SWITCH(TRIM(I765),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65" s="1"/>
      <c r="E765" s="1"/>
      <c r="F765" s="1" t="str" cm="1">
        <f t="array" ref="F765">_xlfn.LET(
_xlpm.status,UPPER(TRIM(B765&amp;"")),
_xlpm.risk,UPPER(TRIM(C765&amp;"")),
_xlpm.notify,UPPER(TRIM(D765&amp;"")),
_xlpm.form,UPPER(TRIM(E765&amp;"")),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65" s="1" t="str">
        <f t="shared" si="11"/>
        <v>NA</v>
      </c>
      <c r="H765" s="5"/>
      <c r="I765" s="1" t="s">
        <v>22</v>
      </c>
      <c r="J765" s="1"/>
      <c r="K765" s="1" t="s">
        <v>1180</v>
      </c>
      <c r="L765" s="1" t="s">
        <v>22</v>
      </c>
      <c r="M765" s="1"/>
      <c r="N765" s="1" t="s">
        <v>1205</v>
      </c>
      <c r="O765" s="1" t="s">
        <v>19</v>
      </c>
      <c r="P765" s="1" t="s">
        <v>18</v>
      </c>
      <c r="Q765" s="1" t="s">
        <v>20</v>
      </c>
      <c r="R765" s="1"/>
      <c r="S765" s="1"/>
      <c r="T765" s="1"/>
    </row>
    <row r="766" spans="1:20">
      <c r="A766" s="1" t="s">
        <v>1182</v>
      </c>
      <c r="B766" s="1" t="str" cm="1">
        <f t="array" ref="B766">IF(A766="","",_xlfn.IFS(COUNTIF($U:$U,A766)&gt;0,"All uploaded",COUNTIF($V:$V,A766)&gt;0,"Partly uploaded",COUNTIF($W:$X,A766)&gt;0,"Not uploaded",TRUE,"Not classified"))</f>
        <v>Partly uploaded</v>
      </c>
      <c r="C766" s="1" t="str" cm="1">
        <f t="array" ref="C766">_xlfn.SWITCH(TRIM(I766),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66" s="1"/>
      <c r="E766" s="1"/>
      <c r="F766" s="1" t="str" cm="1">
        <f t="array" ref="F766">_xlfn.LET(
_xlpm.status,UPPER(TRIM(B766&amp;"")),
_xlpm.risk,UPPER(TRIM(C766&amp;"")),
_xlpm.notify,UPPER(TRIM(D766&amp;"")),
_xlpm.form,UPPER(TRIM(E766&amp;"")),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66" s="1" t="str">
        <f t="shared" si="11"/>
        <v>Required</v>
      </c>
      <c r="H766" s="5"/>
      <c r="I766" s="1" t="s">
        <v>27</v>
      </c>
      <c r="J766" s="1"/>
      <c r="K766" s="1" t="s">
        <v>1180</v>
      </c>
      <c r="L766" s="1" t="s">
        <v>27</v>
      </c>
      <c r="M766" s="1"/>
      <c r="N766" s="1" t="s">
        <v>1183</v>
      </c>
      <c r="O766" s="1" t="s">
        <v>19</v>
      </c>
      <c r="P766" s="1" t="s">
        <v>18</v>
      </c>
      <c r="Q766" s="1" t="s">
        <v>20</v>
      </c>
      <c r="R766" s="1"/>
      <c r="S766" s="1"/>
      <c r="T766" s="1"/>
    </row>
    <row r="767" spans="1:20">
      <c r="A767" s="1" t="s">
        <v>1207</v>
      </c>
      <c r="B767" s="1" t="str" cm="1">
        <f t="array" ref="B767">IF(A767="","",_xlfn.IFS(COUNTIF($U:$U,A767)&gt;0,"All uploaded",COUNTIF($V:$V,A767)&gt;0,"Partly uploaded",COUNTIF($W:$X,A767)&gt;0,"Not uploaded",TRUE,"Not classified"))</f>
        <v>Not uploaded</v>
      </c>
      <c r="C767" s="1" t="str" cm="1">
        <f t="array" ref="C767">_xlfn.SWITCH(TRIM(I767),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67" s="1"/>
      <c r="E767" s="1"/>
      <c r="F767" s="1" t="str" cm="1">
        <f t="array" ref="F767">_xlfn.LET(
_xlpm.status,UPPER(TRIM(B767&amp;"")),
_xlpm.risk,UPPER(TRIM(C767&amp;"")),
_xlpm.notify,UPPER(TRIM(D767&amp;"")),
_xlpm.form,UPPER(TRIM(E767&amp;"")),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67" s="1" t="str">
        <f t="shared" si="11"/>
        <v>Required</v>
      </c>
      <c r="H767" s="5"/>
      <c r="I767" s="1" t="s">
        <v>33</v>
      </c>
      <c r="J767" s="1"/>
      <c r="K767" s="1" t="s">
        <v>1206</v>
      </c>
      <c r="L767" s="1" t="s">
        <v>33</v>
      </c>
      <c r="M767" s="1"/>
      <c r="N767" s="1" t="s">
        <v>1208</v>
      </c>
      <c r="O767" s="1" t="s">
        <v>19</v>
      </c>
      <c r="P767" s="1" t="s">
        <v>18</v>
      </c>
      <c r="Q767" s="1" t="s">
        <v>20</v>
      </c>
      <c r="R767" s="1"/>
      <c r="S767" s="1"/>
      <c r="T767" s="1"/>
    </row>
    <row r="768" spans="1:20">
      <c r="A768" s="1" t="s">
        <v>1210</v>
      </c>
      <c r="B768" s="1" t="str" cm="1">
        <f t="array" ref="B768">IF(A768="","",_xlfn.IFS(COUNTIF($U:$U,A768)&gt;0,"All uploaded",COUNTIF($V:$V,A768)&gt;0,"Partly uploaded",COUNTIF($W:$X,A768)&gt;0,"Not uploaded",TRUE,"Not classified"))</f>
        <v>Not uploaded</v>
      </c>
      <c r="C768" s="1" t="str" cm="1">
        <f t="array" ref="C768">_xlfn.SWITCH(TRIM(I768),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68" s="1"/>
      <c r="E768" s="1"/>
      <c r="F768" s="1" t="str" cm="1">
        <f t="array" ref="F768">_xlfn.LET(
_xlpm.status,UPPER(TRIM(B768&amp;"")),
_xlpm.risk,UPPER(TRIM(C768&amp;"")),
_xlpm.notify,UPPER(TRIM(D768&amp;"")),
_xlpm.form,UPPER(TRIM(E768&amp;"")),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68" s="1" t="str">
        <f t="shared" si="11"/>
        <v>NA</v>
      </c>
      <c r="H768" s="5"/>
      <c r="I768" s="1" t="s">
        <v>21</v>
      </c>
      <c r="J768" s="1"/>
      <c r="K768" s="1" t="s">
        <v>1209</v>
      </c>
      <c r="L768" s="1" t="s">
        <v>21</v>
      </c>
      <c r="M768" s="1"/>
      <c r="N768" s="1" t="s">
        <v>1151</v>
      </c>
      <c r="O768" s="1" t="s">
        <v>19</v>
      </c>
      <c r="P768" s="1" t="s">
        <v>18</v>
      </c>
      <c r="Q768" s="1" t="s">
        <v>20</v>
      </c>
      <c r="R768" s="1"/>
      <c r="S768" s="1"/>
      <c r="T768" s="1"/>
    </row>
    <row r="769" spans="1:20">
      <c r="A769" s="1" t="s">
        <v>1212</v>
      </c>
      <c r="B769" s="1" t="str" cm="1">
        <f t="array" ref="B769">IF(A769="","",_xlfn.IFS(COUNTIF($U:$U,A769)&gt;0,"All uploaded",COUNTIF($V:$V,A769)&gt;0,"Partly uploaded",COUNTIF($W:$X,A769)&gt;0,"Not uploaded",TRUE,"Not classified"))</f>
        <v>Partly uploaded</v>
      </c>
      <c r="C769" s="1" t="str" cm="1">
        <f t="array" ref="C769">_xlfn.SWITCH(TRIM(I769),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69" s="1"/>
      <c r="E769" s="1"/>
      <c r="F769" s="1" t="str" cm="1">
        <f t="array" ref="F769">_xlfn.LET(
_xlpm.status,UPPER(TRIM(B769&amp;"")),
_xlpm.risk,UPPER(TRIM(C769&amp;"")),
_xlpm.notify,UPPER(TRIM(D769&amp;"")),
_xlpm.form,UPPER(TRIM(E769&amp;"")),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69" s="1" t="str">
        <f t="shared" ref="G769:G832" si="12">IF(AND(UPPER(TRIM(C769&amp;""))="MAJOR",OR(TRIM(D769&amp;"")="",UPPER(TRIM(E769&amp;""))="REJECT")),"Required","NA")</f>
        <v>Required</v>
      </c>
      <c r="H769" s="5"/>
      <c r="I769" s="1" t="s">
        <v>10</v>
      </c>
      <c r="J769" s="1"/>
      <c r="K769" s="1" t="s">
        <v>1211</v>
      </c>
      <c r="L769" s="1" t="s">
        <v>10</v>
      </c>
      <c r="M769" s="1"/>
      <c r="N769" s="1" t="s">
        <v>1213</v>
      </c>
      <c r="O769" s="1" t="s">
        <v>19</v>
      </c>
      <c r="P769" s="1" t="s">
        <v>18</v>
      </c>
      <c r="Q769" s="1" t="s">
        <v>20</v>
      </c>
      <c r="R769" s="1"/>
      <c r="S769" s="1"/>
      <c r="T769" s="1"/>
    </row>
    <row r="770" spans="1:20">
      <c r="A770" s="1" t="s">
        <v>1221</v>
      </c>
      <c r="B770" s="1" t="str" cm="1">
        <f t="array" ref="B770">IF(A770="","",_xlfn.IFS(COUNTIF($U:$U,A770)&gt;0,"All uploaded",COUNTIF($V:$V,A770)&gt;0,"Partly uploaded",COUNTIF($W:$X,A770)&gt;0,"Not uploaded",TRUE,"Not classified"))</f>
        <v>Partly uploaded</v>
      </c>
      <c r="C770" s="1" t="str" cm="1">
        <f t="array" ref="C770">_xlfn.SWITCH(TRIM(I770),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70" s="1"/>
      <c r="E770" s="1"/>
      <c r="F770" s="1" t="str" cm="1">
        <f t="array" ref="F770">_xlfn.LET(
_xlpm.status,UPPER(TRIM(B770&amp;"")),
_xlpm.risk,UPPER(TRIM(C770&amp;"")),
_xlpm.notify,UPPER(TRIM(D770&amp;"")),
_xlpm.form,UPPER(TRIM(E770&amp;"")),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70" s="1" t="str">
        <f t="shared" si="12"/>
        <v>NA</v>
      </c>
      <c r="H770" s="5"/>
      <c r="I770" s="1" t="s">
        <v>23</v>
      </c>
      <c r="J770" s="1"/>
      <c r="K770" s="1" t="s">
        <v>1220</v>
      </c>
      <c r="L770" s="1" t="s">
        <v>23</v>
      </c>
      <c r="M770" s="1"/>
      <c r="N770" s="1" t="s">
        <v>1222</v>
      </c>
      <c r="O770" s="1" t="s">
        <v>19</v>
      </c>
      <c r="P770" s="1" t="s">
        <v>18</v>
      </c>
      <c r="Q770" s="1" t="s">
        <v>20</v>
      </c>
      <c r="R770" s="1"/>
      <c r="S770" s="1"/>
      <c r="T770" s="1"/>
    </row>
    <row r="771" spans="1:20">
      <c r="A771" s="1" t="s">
        <v>1227</v>
      </c>
      <c r="B771" s="1" t="str" cm="1">
        <f t="array" ref="B771">IF(A771="","",_xlfn.IFS(COUNTIF($U:$U,A771)&gt;0,"All uploaded",COUNTIF($V:$V,A771)&gt;0,"Partly uploaded",COUNTIF($W:$X,A771)&gt;0,"Not uploaded",TRUE,"Not classified"))</f>
        <v>Partly uploaded</v>
      </c>
      <c r="C771" s="1" t="str" cm="1">
        <f t="array" ref="C771">_xlfn.SWITCH(TRIM(I771),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71" s="1"/>
      <c r="E771" s="1"/>
      <c r="F771" s="1" t="str" cm="1">
        <f t="array" ref="F771">_xlfn.LET(
_xlpm.status,UPPER(TRIM(B771&amp;"")),
_xlpm.risk,UPPER(TRIM(C771&amp;"")),
_xlpm.notify,UPPER(TRIM(D771&amp;"")),
_xlpm.form,UPPER(TRIM(E771&amp;"")),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71" s="1" t="str">
        <f t="shared" si="12"/>
        <v>NA</v>
      </c>
      <c r="H771" s="5"/>
      <c r="I771" s="1" t="s">
        <v>50</v>
      </c>
      <c r="J771" s="1"/>
      <c r="K771" s="1" t="s">
        <v>1226</v>
      </c>
      <c r="L771" s="1" t="s">
        <v>50</v>
      </c>
      <c r="M771" s="1"/>
      <c r="N771" s="1" t="s">
        <v>51</v>
      </c>
      <c r="O771" s="1" t="s">
        <v>19</v>
      </c>
      <c r="P771" s="1" t="s">
        <v>18</v>
      </c>
      <c r="Q771" s="1" t="s">
        <v>20</v>
      </c>
      <c r="R771" s="1"/>
      <c r="S771" s="1"/>
      <c r="T771" s="1"/>
    </row>
    <row r="772" spans="1:20">
      <c r="A772" s="1" t="s">
        <v>1232</v>
      </c>
      <c r="B772" s="1" t="str" cm="1">
        <f t="array" ref="B772">IF(A772="","",_xlfn.IFS(COUNTIF($U:$U,A772)&gt;0,"All uploaded",COUNTIF($V:$V,A772)&gt;0,"Partly uploaded",COUNTIF($W:$X,A772)&gt;0,"Not uploaded",TRUE,"Not classified"))</f>
        <v>Partly uploaded</v>
      </c>
      <c r="C772" s="1" t="str" cm="1">
        <f t="array" ref="C772">_xlfn.SWITCH(TRIM(I772),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72" s="1"/>
      <c r="E772" s="1"/>
      <c r="F772" s="1" t="str" cm="1">
        <f t="array" ref="F772">_xlfn.LET(
_xlpm.status,UPPER(TRIM(B772&amp;"")),
_xlpm.risk,UPPER(TRIM(C772&amp;"")),
_xlpm.notify,UPPER(TRIM(D772&amp;"")),
_xlpm.form,UPPER(TRIM(E772&amp;"")),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72" s="1" t="str">
        <f t="shared" si="12"/>
        <v>Required</v>
      </c>
      <c r="H772" s="5"/>
      <c r="I772" s="1" t="s">
        <v>25</v>
      </c>
      <c r="J772" s="1"/>
      <c r="K772" s="1" t="s">
        <v>1231</v>
      </c>
      <c r="L772" s="1" t="s">
        <v>25</v>
      </c>
      <c r="M772" s="1"/>
      <c r="N772" s="1" t="s">
        <v>104</v>
      </c>
      <c r="O772" s="1" t="s">
        <v>19</v>
      </c>
      <c r="P772" s="1" t="s">
        <v>18</v>
      </c>
      <c r="Q772" s="1" t="s">
        <v>20</v>
      </c>
      <c r="R772" s="1"/>
      <c r="S772" s="1"/>
      <c r="T772" s="1"/>
    </row>
    <row r="773" spans="1:20">
      <c r="A773" s="1" t="s">
        <v>1237</v>
      </c>
      <c r="B773" s="1" t="str" cm="1">
        <f t="array" ref="B773">IF(A773="","",_xlfn.IFS(COUNTIF($U:$U,A773)&gt;0,"All uploaded",COUNTIF($V:$V,A773)&gt;0,"Partly uploaded",COUNTIF($W:$X,A773)&gt;0,"Not uploaded",TRUE,"Not classified"))</f>
        <v>Partly uploaded</v>
      </c>
      <c r="C773" s="1" t="str" cm="1">
        <f t="array" ref="C773">_xlfn.SWITCH(TRIM(I773),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73" s="1"/>
      <c r="E773" s="1"/>
      <c r="F773" s="1" t="str" cm="1">
        <f t="array" ref="F773">_xlfn.LET(
_xlpm.status,UPPER(TRIM(B773&amp;"")),
_xlpm.risk,UPPER(TRIM(C773&amp;"")),
_xlpm.notify,UPPER(TRIM(D773&amp;"")),
_xlpm.form,UPPER(TRIM(E773&amp;"")),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73" s="1" t="str">
        <f t="shared" si="12"/>
        <v>Required</v>
      </c>
      <c r="H773" s="5"/>
      <c r="I773" s="1" t="s">
        <v>27</v>
      </c>
      <c r="J773" s="1"/>
      <c r="K773" s="1" t="s">
        <v>1231</v>
      </c>
      <c r="L773" s="1" t="s">
        <v>27</v>
      </c>
      <c r="M773" s="1"/>
      <c r="N773" s="1" t="s">
        <v>1238</v>
      </c>
      <c r="O773" s="1" t="s">
        <v>19</v>
      </c>
      <c r="P773" s="1" t="s">
        <v>18</v>
      </c>
      <c r="Q773" s="1" t="s">
        <v>20</v>
      </c>
      <c r="R773" s="1"/>
      <c r="S773" s="1"/>
      <c r="T773" s="1"/>
    </row>
    <row r="774" spans="1:20">
      <c r="A774" s="1" t="s">
        <v>1249</v>
      </c>
      <c r="B774" s="1" t="str" cm="1">
        <f t="array" ref="B774">IF(A774="","",_xlfn.IFS(COUNTIF($U:$U,A774)&gt;0,"All uploaded",COUNTIF($V:$V,A774)&gt;0,"Partly uploaded",COUNTIF($W:$X,A774)&gt;0,"Not uploaded",TRUE,"Not classified"))</f>
        <v>Partly uploaded</v>
      </c>
      <c r="C774" s="1" t="str" cm="1">
        <f t="array" ref="C774">_xlfn.SWITCH(TRIM(I774),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74" s="1"/>
      <c r="E774" s="1"/>
      <c r="F774" s="1" t="str" cm="1">
        <f t="array" ref="F774">_xlfn.LET(
_xlpm.status,UPPER(TRIM(B774&amp;"")),
_xlpm.risk,UPPER(TRIM(C774&amp;"")),
_xlpm.notify,UPPER(TRIM(D774&amp;"")),
_xlpm.form,UPPER(TRIM(E774&amp;"")),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74" s="1" t="str">
        <f t="shared" si="12"/>
        <v>Required</v>
      </c>
      <c r="H774" s="5"/>
      <c r="I774" s="1" t="s">
        <v>10</v>
      </c>
      <c r="J774" s="1"/>
      <c r="K774" s="1" t="s">
        <v>1248</v>
      </c>
      <c r="L774" s="1" t="s">
        <v>10</v>
      </c>
      <c r="M774" s="1"/>
      <c r="N774" s="1" t="s">
        <v>724</v>
      </c>
      <c r="O774" s="1" t="s">
        <v>19</v>
      </c>
      <c r="P774" s="1" t="s">
        <v>18</v>
      </c>
      <c r="Q774" s="1" t="s">
        <v>20</v>
      </c>
      <c r="R774" s="1"/>
      <c r="S774" s="1"/>
      <c r="T774" s="1"/>
    </row>
    <row r="775" spans="1:20">
      <c r="A775" s="1" t="s">
        <v>1261</v>
      </c>
      <c r="B775" s="1" t="str" cm="1">
        <f t="array" ref="B775">IF(A775="","",_xlfn.IFS(COUNTIF($U:$U,A775)&gt;0,"All uploaded",COUNTIF($V:$V,A775)&gt;0,"Partly uploaded",COUNTIF($W:$X,A775)&gt;0,"Not uploaded",TRUE,"Not classified"))</f>
        <v>Partly uploaded</v>
      </c>
      <c r="C775" s="1" t="str" cm="1">
        <f t="array" ref="C775">_xlfn.SWITCH(TRIM(I775),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75" s="1"/>
      <c r="E775" s="1"/>
      <c r="F775" s="1" t="str" cm="1">
        <f t="array" ref="F775">_xlfn.LET(
_xlpm.status,UPPER(TRIM(B775&amp;"")),
_xlpm.risk,UPPER(TRIM(C775&amp;"")),
_xlpm.notify,UPPER(TRIM(D775&amp;"")),
_xlpm.form,UPPER(TRIM(E775&amp;"")),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75" s="1" t="str">
        <f t="shared" si="12"/>
        <v>Required</v>
      </c>
      <c r="H775" s="5"/>
      <c r="I775" s="1" t="s">
        <v>27</v>
      </c>
      <c r="J775" s="1"/>
      <c r="K775" s="1" t="s">
        <v>1253</v>
      </c>
      <c r="L775" s="1" t="s">
        <v>27</v>
      </c>
      <c r="M775" s="1"/>
      <c r="N775" s="1" t="s">
        <v>1262</v>
      </c>
      <c r="O775" s="1" t="s">
        <v>19</v>
      </c>
      <c r="P775" s="1" t="s">
        <v>18</v>
      </c>
      <c r="Q775" s="1" t="s">
        <v>20</v>
      </c>
      <c r="R775" s="1"/>
      <c r="S775" s="1"/>
      <c r="T775" s="1"/>
    </row>
    <row r="776" spans="1:20">
      <c r="A776" s="1" t="s">
        <v>1254</v>
      </c>
      <c r="B776" s="1" t="str" cm="1">
        <f t="array" ref="B776">IF(A776="","",_xlfn.IFS(COUNTIF($U:$U,A776)&gt;0,"All uploaded",COUNTIF($V:$V,A776)&gt;0,"Partly uploaded",COUNTIF($W:$X,A776)&gt;0,"Not uploaded",TRUE,"Not classified"))</f>
        <v>Partly uploaded</v>
      </c>
      <c r="C776" s="1" t="str" cm="1">
        <f t="array" ref="C776">_xlfn.SWITCH(TRIM(I776),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76" s="1"/>
      <c r="E776" s="1"/>
      <c r="F776" s="1" t="str" cm="1">
        <f t="array" ref="F776">_xlfn.LET(
_xlpm.status,UPPER(TRIM(B776&amp;"")),
_xlpm.risk,UPPER(TRIM(C776&amp;"")),
_xlpm.notify,UPPER(TRIM(D776&amp;"")),
_xlpm.form,UPPER(TRIM(E776&amp;"")),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76" s="1" t="str">
        <f t="shared" si="12"/>
        <v>Required</v>
      </c>
      <c r="H776" s="5"/>
      <c r="I776" s="1" t="s">
        <v>27</v>
      </c>
      <c r="J776" s="1"/>
      <c r="K776" s="1" t="s">
        <v>1253</v>
      </c>
      <c r="L776" s="1" t="s">
        <v>27</v>
      </c>
      <c r="M776" s="1"/>
      <c r="N776" s="1" t="s">
        <v>1255</v>
      </c>
      <c r="O776" s="1" t="s">
        <v>19</v>
      </c>
      <c r="P776" s="1" t="s">
        <v>18</v>
      </c>
      <c r="Q776" s="1" t="s">
        <v>20</v>
      </c>
      <c r="R776" s="1"/>
      <c r="S776" s="1"/>
      <c r="T776" s="1"/>
    </row>
    <row r="777" spans="1:20">
      <c r="A777" s="1" t="s">
        <v>1281</v>
      </c>
      <c r="B777" s="1" t="str" cm="1">
        <f t="array" ref="B777">IF(A777="","",_xlfn.IFS(COUNTIF($U:$U,A777)&gt;0,"All uploaded",COUNTIF($V:$V,A777)&gt;0,"Partly uploaded",COUNTIF($W:$X,A777)&gt;0,"Not uploaded",TRUE,"Not classified"))</f>
        <v>Partly uploaded</v>
      </c>
      <c r="C777" s="1" t="str" cm="1">
        <f t="array" ref="C777">_xlfn.SWITCH(TRIM(I777),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77" s="1"/>
      <c r="E777" s="1"/>
      <c r="F777" s="1" t="str" cm="1">
        <f t="array" ref="F777">_xlfn.LET(
_xlpm.status,UPPER(TRIM(B777&amp;"")),
_xlpm.risk,UPPER(TRIM(C777&amp;"")),
_xlpm.notify,UPPER(TRIM(D777&amp;"")),
_xlpm.form,UPPER(TRIM(E777&amp;"")),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77" s="1" t="str">
        <f t="shared" si="12"/>
        <v>Required</v>
      </c>
      <c r="H777" s="5"/>
      <c r="I777" s="1" t="s">
        <v>27</v>
      </c>
      <c r="J777" s="1"/>
      <c r="K777" s="1" t="s">
        <v>1271</v>
      </c>
      <c r="L777" s="1" t="s">
        <v>27</v>
      </c>
      <c r="M777" s="1"/>
      <c r="N777" s="1" t="s">
        <v>1282</v>
      </c>
      <c r="O777" s="1" t="s">
        <v>19</v>
      </c>
      <c r="P777" s="1" t="s">
        <v>18</v>
      </c>
      <c r="Q777" s="1" t="s">
        <v>20</v>
      </c>
      <c r="R777" s="1"/>
      <c r="S777" s="1"/>
      <c r="T777" s="1"/>
    </row>
    <row r="778" spans="1:20">
      <c r="A778" s="1" t="s">
        <v>1276</v>
      </c>
      <c r="B778" s="1" t="str" cm="1">
        <f t="array" ref="B778">IF(A778="","",_xlfn.IFS(COUNTIF($U:$U,A778)&gt;0,"All uploaded",COUNTIF($V:$V,A778)&gt;0,"Partly uploaded",COUNTIF($W:$X,A778)&gt;0,"Not uploaded",TRUE,"Not classified"))</f>
        <v>Partly uploaded</v>
      </c>
      <c r="C778" s="1" t="str" cm="1">
        <f t="array" ref="C778">_xlfn.SWITCH(TRIM(I778),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78" s="1"/>
      <c r="E778" s="1"/>
      <c r="F778" s="1" t="str" cm="1">
        <f t="array" ref="F778">_xlfn.LET(
_xlpm.status,UPPER(TRIM(B778&amp;"")),
_xlpm.risk,UPPER(TRIM(C778&amp;"")),
_xlpm.notify,UPPER(TRIM(D778&amp;"")),
_xlpm.form,UPPER(TRIM(E778&amp;"")),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78" s="1" t="str">
        <f t="shared" si="12"/>
        <v>NA</v>
      </c>
      <c r="H778" s="5"/>
      <c r="I778" s="1" t="s">
        <v>23</v>
      </c>
      <c r="J778" s="1"/>
      <c r="K778" s="1" t="s">
        <v>1271</v>
      </c>
      <c r="L778" s="1" t="s">
        <v>23</v>
      </c>
      <c r="M778" s="1"/>
      <c r="N778" s="1" t="s">
        <v>1277</v>
      </c>
      <c r="O778" s="1" t="s">
        <v>19</v>
      </c>
      <c r="P778" s="1" t="s">
        <v>18</v>
      </c>
      <c r="Q778" s="1" t="s">
        <v>20</v>
      </c>
      <c r="R778" s="1"/>
      <c r="S778" s="1"/>
      <c r="T778" s="1"/>
    </row>
    <row r="779" spans="1:20">
      <c r="A779" s="1" t="s">
        <v>1283</v>
      </c>
      <c r="B779" s="1" t="str" cm="1">
        <f t="array" ref="B779">IF(A779="","",_xlfn.IFS(COUNTIF($U:$U,A779)&gt;0,"All uploaded",COUNTIF($V:$V,A779)&gt;0,"Partly uploaded",COUNTIF($W:$X,A779)&gt;0,"Not uploaded",TRUE,"Not classified"))</f>
        <v>Partly uploaded</v>
      </c>
      <c r="C779" s="1" t="str" cm="1">
        <f t="array" ref="C779">_xlfn.SWITCH(TRIM(I779),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79" s="1"/>
      <c r="E779" s="1"/>
      <c r="F779" s="1" t="str" cm="1">
        <f t="array" ref="F779">_xlfn.LET(
_xlpm.status,UPPER(TRIM(B779&amp;"")),
_xlpm.risk,UPPER(TRIM(C779&amp;"")),
_xlpm.notify,UPPER(TRIM(D779&amp;"")),
_xlpm.form,UPPER(TRIM(E779&amp;"")),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79" s="1" t="str">
        <f t="shared" si="12"/>
        <v>Required</v>
      </c>
      <c r="H779" s="5"/>
      <c r="I779" s="1" t="s">
        <v>27</v>
      </c>
      <c r="J779" s="1"/>
      <c r="K779" s="1" t="s">
        <v>1271</v>
      </c>
      <c r="L779" s="1" t="s">
        <v>27</v>
      </c>
      <c r="M779" s="1"/>
      <c r="N779" s="1" t="s">
        <v>1262</v>
      </c>
      <c r="O779" s="1" t="s">
        <v>19</v>
      </c>
      <c r="P779" s="1" t="s">
        <v>18</v>
      </c>
      <c r="Q779" s="1" t="s">
        <v>20</v>
      </c>
      <c r="R779" s="1"/>
      <c r="S779" s="1"/>
      <c r="T779" s="1"/>
    </row>
    <row r="780" spans="1:20">
      <c r="A780" s="1" t="s">
        <v>1299</v>
      </c>
      <c r="B780" s="1" t="str" cm="1">
        <f t="array" ref="B780">IF(A780="","",_xlfn.IFS(COUNTIF($U:$U,A780)&gt;0,"All uploaded",COUNTIF($V:$V,A780)&gt;0,"Partly uploaded",COUNTIF($W:$X,A780)&gt;0,"Not uploaded",TRUE,"Not classified"))</f>
        <v>Not uploaded</v>
      </c>
      <c r="C780" s="1" t="str" cm="1">
        <f t="array" ref="C780">_xlfn.SWITCH(TRIM(I780),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80" s="1"/>
      <c r="E780" s="1"/>
      <c r="F780" s="1" t="str" cm="1">
        <f t="array" ref="F780">_xlfn.LET(
_xlpm.status,UPPER(TRIM(B780&amp;"")),
_xlpm.risk,UPPER(TRIM(C780&amp;"")),
_xlpm.notify,UPPER(TRIM(D780&amp;"")),
_xlpm.form,UPPER(TRIM(E780&amp;"")),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80" s="1" t="str">
        <f t="shared" si="12"/>
        <v>NA</v>
      </c>
      <c r="H780" s="5"/>
      <c r="I780" s="1" t="s">
        <v>22</v>
      </c>
      <c r="J780" s="1"/>
      <c r="K780" s="1" t="s">
        <v>1298</v>
      </c>
      <c r="L780" s="1" t="s">
        <v>22</v>
      </c>
      <c r="M780" s="1"/>
      <c r="N780" s="1" t="s">
        <v>1300</v>
      </c>
      <c r="O780" s="1" t="s">
        <v>19</v>
      </c>
      <c r="P780" s="1" t="s">
        <v>18</v>
      </c>
      <c r="Q780" s="1" t="s">
        <v>20</v>
      </c>
      <c r="R780" s="1"/>
      <c r="S780" s="1"/>
      <c r="T780" s="1"/>
    </row>
    <row r="781" spans="1:20">
      <c r="A781" s="1" t="s">
        <v>1301</v>
      </c>
      <c r="B781" s="1" t="str" cm="1">
        <f t="array" ref="B781">IF(A781="","",_xlfn.IFS(COUNTIF($U:$U,A781)&gt;0,"All uploaded",COUNTIF($V:$V,A781)&gt;0,"Partly uploaded",COUNTIF($W:$X,A781)&gt;0,"Not uploaded",TRUE,"Not classified"))</f>
        <v>Not uploaded</v>
      </c>
      <c r="C781" s="1" t="str" cm="1">
        <f t="array" ref="C781">_xlfn.SWITCH(TRIM(I781),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81" s="1"/>
      <c r="E781" s="1"/>
      <c r="F781" s="1" t="str" cm="1">
        <f t="array" ref="F781">_xlfn.LET(
_xlpm.status,UPPER(TRIM(B781&amp;"")),
_xlpm.risk,UPPER(TRIM(C781&amp;"")),
_xlpm.notify,UPPER(TRIM(D781&amp;"")),
_xlpm.form,UPPER(TRIM(E781&amp;"")),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81" s="1" t="str">
        <f t="shared" si="12"/>
        <v>NA</v>
      </c>
      <c r="H781" s="5"/>
      <c r="I781" s="1" t="s">
        <v>22</v>
      </c>
      <c r="J781" s="1"/>
      <c r="K781" s="1" t="s">
        <v>1298</v>
      </c>
      <c r="L781" s="1" t="s">
        <v>22</v>
      </c>
      <c r="M781" s="1"/>
      <c r="N781" s="1" t="s">
        <v>1302</v>
      </c>
      <c r="O781" s="1" t="s">
        <v>19</v>
      </c>
      <c r="P781" s="1" t="s">
        <v>18</v>
      </c>
      <c r="Q781" s="1" t="s">
        <v>20</v>
      </c>
      <c r="R781" s="1"/>
      <c r="S781" s="1"/>
      <c r="T781" s="1"/>
    </row>
    <row r="782" spans="1:20">
      <c r="A782" s="1" t="s">
        <v>1310</v>
      </c>
      <c r="B782" s="1" t="str" cm="1">
        <f t="array" ref="B782">IF(A782="","",_xlfn.IFS(COUNTIF($U:$U,A782)&gt;0,"All uploaded",COUNTIF($V:$V,A782)&gt;0,"Partly uploaded",COUNTIF($W:$X,A782)&gt;0,"Not uploaded",TRUE,"Not classified"))</f>
        <v>Not uploaded</v>
      </c>
      <c r="C782" s="1" t="str" cm="1">
        <f t="array" ref="C782">_xlfn.SWITCH(TRIM(I782),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82" s="1"/>
      <c r="E782" s="1"/>
      <c r="F782" s="1" t="str" cm="1">
        <f t="array" ref="F782">_xlfn.LET(
_xlpm.status,UPPER(TRIM(B782&amp;"")),
_xlpm.risk,UPPER(TRIM(C782&amp;"")),
_xlpm.notify,UPPER(TRIM(D782&amp;"")),
_xlpm.form,UPPER(TRIM(E782&amp;"")),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82" s="1" t="str">
        <f t="shared" si="12"/>
        <v>NA</v>
      </c>
      <c r="H782" s="5"/>
      <c r="I782" s="1" t="s">
        <v>22</v>
      </c>
      <c r="J782" s="1"/>
      <c r="K782" s="1" t="s">
        <v>1309</v>
      </c>
      <c r="L782" s="1" t="s">
        <v>22</v>
      </c>
      <c r="M782" s="1"/>
      <c r="N782" s="1" t="s">
        <v>1311</v>
      </c>
      <c r="O782" s="1" t="s">
        <v>19</v>
      </c>
      <c r="P782" s="1" t="s">
        <v>18</v>
      </c>
      <c r="Q782" s="1" t="s">
        <v>20</v>
      </c>
      <c r="R782" s="1"/>
      <c r="S782" s="1"/>
      <c r="T782" s="1"/>
    </row>
    <row r="783" spans="1:20">
      <c r="A783" s="1" t="s">
        <v>1313</v>
      </c>
      <c r="B783" s="1" t="str" cm="1">
        <f t="array" ref="B783">IF(A783="","",_xlfn.IFS(COUNTIF($U:$U,A783)&gt;0,"All uploaded",COUNTIF($V:$V,A783)&gt;0,"Partly uploaded",COUNTIF($W:$X,A783)&gt;0,"Not uploaded",TRUE,"Not classified"))</f>
        <v>Partly uploaded</v>
      </c>
      <c r="C783" s="1" t="str" cm="1">
        <f t="array" ref="C783">_xlfn.SWITCH(TRIM(I783),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83" s="1"/>
      <c r="E783" s="1"/>
      <c r="F783" s="1" t="str" cm="1">
        <f t="array" ref="F783">_xlfn.LET(
_xlpm.status,UPPER(TRIM(B783&amp;"")),
_xlpm.risk,UPPER(TRIM(C783&amp;"")),
_xlpm.notify,UPPER(TRIM(D783&amp;"")),
_xlpm.form,UPPER(TRIM(E783&amp;"")),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83" s="1" t="str">
        <f t="shared" si="12"/>
        <v>Required</v>
      </c>
      <c r="H783" s="5"/>
      <c r="I783" s="1" t="s">
        <v>27</v>
      </c>
      <c r="J783" s="1"/>
      <c r="K783" s="1" t="s">
        <v>1312</v>
      </c>
      <c r="L783" s="1" t="s">
        <v>27</v>
      </c>
      <c r="M783" s="1"/>
      <c r="N783" s="1" t="s">
        <v>1314</v>
      </c>
      <c r="O783" s="1" t="s">
        <v>19</v>
      </c>
      <c r="P783" s="1" t="s">
        <v>18</v>
      </c>
      <c r="Q783" s="1" t="s">
        <v>20</v>
      </c>
      <c r="R783" s="1"/>
      <c r="S783" s="1"/>
      <c r="T783" s="1"/>
    </row>
    <row r="784" spans="1:20">
      <c r="A784" s="1" t="s">
        <v>1318</v>
      </c>
      <c r="B784" s="1" t="str" cm="1">
        <f t="array" ref="B784">IF(A784="","",_xlfn.IFS(COUNTIF($U:$U,A784)&gt;0,"All uploaded",COUNTIF($V:$V,A784)&gt;0,"Partly uploaded",COUNTIF($W:$X,A784)&gt;0,"Not uploaded",TRUE,"Not classified"))</f>
        <v>Not uploaded</v>
      </c>
      <c r="C784" s="1" t="str" cm="1">
        <f t="array" ref="C784">_xlfn.SWITCH(TRIM(I784),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784" s="1"/>
      <c r="E784" s="1"/>
      <c r="F784" s="1" t="str" cm="1">
        <f t="array" ref="F784">_xlfn.LET(
_xlpm.status,UPPER(TRIM(B784&amp;"")),
_xlpm.risk,UPPER(TRIM(C784&amp;"")),
_xlpm.notify,UPPER(TRIM(D784&amp;"")),
_xlpm.form,UPPER(TRIM(E784&amp;"")),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784" s="1" t="str">
        <f t="shared" si="12"/>
        <v>NA</v>
      </c>
      <c r="H784" s="5"/>
      <c r="I784" s="1" t="s">
        <v>21</v>
      </c>
      <c r="J784" s="1"/>
      <c r="K784" s="1" t="s">
        <v>1312</v>
      </c>
      <c r="L784" s="1" t="s">
        <v>21</v>
      </c>
      <c r="M784" s="1"/>
      <c r="N784" s="1" t="s">
        <v>83</v>
      </c>
      <c r="O784" s="1" t="s">
        <v>19</v>
      </c>
      <c r="P784" s="1" t="s">
        <v>18</v>
      </c>
      <c r="Q784" s="1" t="s">
        <v>20</v>
      </c>
      <c r="R784" s="1"/>
      <c r="S784" s="1"/>
      <c r="T784" s="1"/>
    </row>
    <row r="785" spans="1:20">
      <c r="A785" s="1" t="s">
        <v>1332</v>
      </c>
      <c r="B785" s="1" t="str" cm="1">
        <f t="array" ref="B785">IF(A785="","",_xlfn.IFS(COUNTIF($U:$U,A785)&gt;0,"All uploaded",COUNTIF($V:$V,A785)&gt;0,"Partly uploaded",COUNTIF($W:$X,A785)&gt;0,"Not uploaded",TRUE,"Not classified"))</f>
        <v>Partly uploaded</v>
      </c>
      <c r="C785" s="1" t="str" cm="1">
        <f t="array" ref="C785">_xlfn.SWITCH(TRIM(I785),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85" s="1"/>
      <c r="E785" s="1"/>
      <c r="F785" s="1" t="str" cm="1">
        <f t="array" ref="F785">_xlfn.LET(
_xlpm.status,UPPER(TRIM(B785&amp;"")),
_xlpm.risk,UPPER(TRIM(C785&amp;"")),
_xlpm.notify,UPPER(TRIM(D785&amp;"")),
_xlpm.form,UPPER(TRIM(E785&amp;"")),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85" s="1" t="str">
        <f t="shared" si="12"/>
        <v>Required</v>
      </c>
      <c r="H785" s="5"/>
      <c r="I785" s="1" t="s">
        <v>27</v>
      </c>
      <c r="J785" s="1"/>
      <c r="K785" s="1" t="s">
        <v>1331</v>
      </c>
      <c r="L785" s="1" t="s">
        <v>27</v>
      </c>
      <c r="M785" s="1"/>
      <c r="N785" s="1" t="s">
        <v>1333</v>
      </c>
      <c r="O785" s="1" t="s">
        <v>19</v>
      </c>
      <c r="P785" s="1" t="s">
        <v>18</v>
      </c>
      <c r="Q785" s="1" t="s">
        <v>20</v>
      </c>
      <c r="R785" s="1"/>
      <c r="S785" s="1"/>
      <c r="T785" s="1"/>
    </row>
    <row r="786" spans="1:20">
      <c r="A786" s="1" t="s">
        <v>1337</v>
      </c>
      <c r="B786" s="1" t="str" cm="1">
        <f t="array" ref="B786">IF(A786="","",_xlfn.IFS(COUNTIF($U:$U,A786)&gt;0,"All uploaded",COUNTIF($V:$V,A786)&gt;0,"Partly uploaded",COUNTIF($W:$X,A786)&gt;0,"Not uploaded",TRUE,"Not classified"))</f>
        <v>Not uploaded</v>
      </c>
      <c r="C786" s="1" t="str" cm="1">
        <f t="array" ref="C786">_xlfn.SWITCH(TRIM(I786),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86" s="1"/>
      <c r="E786" s="1"/>
      <c r="F786" s="1" t="str" cm="1">
        <f t="array" ref="F786">_xlfn.LET(
_xlpm.status,UPPER(TRIM(B786&amp;"")),
_xlpm.risk,UPPER(TRIM(C786&amp;"")),
_xlpm.notify,UPPER(TRIM(D786&amp;"")),
_xlpm.form,UPPER(TRIM(E786&amp;"")),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86" s="1" t="str">
        <f t="shared" si="12"/>
        <v>Required</v>
      </c>
      <c r="H786" s="5"/>
      <c r="I786" s="1" t="s">
        <v>27</v>
      </c>
      <c r="J786" s="1"/>
      <c r="K786" s="1" t="s">
        <v>1331</v>
      </c>
      <c r="L786" s="1" t="s">
        <v>27</v>
      </c>
      <c r="M786" s="1"/>
      <c r="N786" s="1" t="s">
        <v>1338</v>
      </c>
      <c r="O786" s="1" t="s">
        <v>19</v>
      </c>
      <c r="P786" s="1" t="s">
        <v>18</v>
      </c>
      <c r="Q786" s="1" t="s">
        <v>20</v>
      </c>
      <c r="R786" s="1"/>
      <c r="S786" s="1"/>
      <c r="T786" s="1"/>
    </row>
    <row r="787" spans="1:20">
      <c r="A787" s="1" t="s">
        <v>1339</v>
      </c>
      <c r="B787" s="1" t="str" cm="1">
        <f t="array" ref="B787">IF(A787="","",_xlfn.IFS(COUNTIF($U:$U,A787)&gt;0,"All uploaded",COUNTIF($V:$V,A787)&gt;0,"Partly uploaded",COUNTIF($W:$X,A787)&gt;0,"Not uploaded",TRUE,"Not classified"))</f>
        <v>Not uploaded</v>
      </c>
      <c r="C787" s="1" t="str" cm="1">
        <f t="array" ref="C787">_xlfn.SWITCH(TRIM(I787),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87" s="1"/>
      <c r="E787" s="1"/>
      <c r="F787" s="1" t="str" cm="1">
        <f t="array" ref="F787">_xlfn.LET(
_xlpm.status,UPPER(TRIM(B787&amp;"")),
_xlpm.risk,UPPER(TRIM(C787&amp;"")),
_xlpm.notify,UPPER(TRIM(D787&amp;"")),
_xlpm.form,UPPER(TRIM(E787&amp;"")),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87" s="1" t="str">
        <f t="shared" si="12"/>
        <v>Required</v>
      </c>
      <c r="H787" s="5"/>
      <c r="I787" s="1" t="s">
        <v>27</v>
      </c>
      <c r="J787" s="1"/>
      <c r="K787" s="1" t="s">
        <v>1331</v>
      </c>
      <c r="L787" s="1" t="s">
        <v>27</v>
      </c>
      <c r="M787" s="1"/>
      <c r="N787" s="1" t="s">
        <v>440</v>
      </c>
      <c r="O787" s="1" t="s">
        <v>19</v>
      </c>
      <c r="P787" s="1" t="s">
        <v>18</v>
      </c>
      <c r="Q787" s="1" t="s">
        <v>20</v>
      </c>
      <c r="R787" s="1"/>
      <c r="S787" s="1"/>
      <c r="T787" s="1"/>
    </row>
    <row r="788" spans="1:20">
      <c r="A788" s="1" t="s">
        <v>1343</v>
      </c>
      <c r="B788" s="1" t="str" cm="1">
        <f t="array" ref="B788">IF(A788="","",_xlfn.IFS(COUNTIF($U:$U,A788)&gt;0,"All uploaded",COUNTIF($V:$V,A788)&gt;0,"Partly uploaded",COUNTIF($W:$X,A788)&gt;0,"Not uploaded",TRUE,"Not classified"))</f>
        <v>Not uploaded</v>
      </c>
      <c r="C788" s="1" t="str" cm="1">
        <f t="array" ref="C788">_xlfn.SWITCH(TRIM(I788),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88" s="1"/>
      <c r="E788" s="1"/>
      <c r="F788" s="1" t="str" cm="1">
        <f t="array" ref="F788">_xlfn.LET(
_xlpm.status,UPPER(TRIM(B788&amp;"")),
_xlpm.risk,UPPER(TRIM(C788&amp;"")),
_xlpm.notify,UPPER(TRIM(D788&amp;"")),
_xlpm.form,UPPER(TRIM(E788&amp;"")),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88" s="1" t="str">
        <f t="shared" si="12"/>
        <v>Required</v>
      </c>
      <c r="H788" s="5"/>
      <c r="I788" s="1" t="s">
        <v>27</v>
      </c>
      <c r="J788" s="1"/>
      <c r="K788" s="1" t="s">
        <v>1331</v>
      </c>
      <c r="L788" s="1" t="s">
        <v>27</v>
      </c>
      <c r="M788" s="1"/>
      <c r="N788" s="1" t="s">
        <v>1344</v>
      </c>
      <c r="O788" s="1" t="s">
        <v>19</v>
      </c>
      <c r="P788" s="1" t="s">
        <v>18</v>
      </c>
      <c r="Q788" s="1" t="s">
        <v>20</v>
      </c>
      <c r="R788" s="1"/>
      <c r="S788" s="1"/>
      <c r="T788" s="1"/>
    </row>
    <row r="789" spans="1:20">
      <c r="A789" s="1" t="s">
        <v>1346</v>
      </c>
      <c r="B789" s="1" t="str" cm="1">
        <f t="array" ref="B789">IF(A789="","",_xlfn.IFS(COUNTIF($U:$U,A789)&gt;0,"All uploaded",COUNTIF($V:$V,A789)&gt;0,"Partly uploaded",COUNTIF($W:$X,A789)&gt;0,"Not uploaded",TRUE,"Not classified"))</f>
        <v>Partly uploaded</v>
      </c>
      <c r="C789" s="1" t="str" cm="1">
        <f t="array" ref="C789">_xlfn.SWITCH(TRIM(I789),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89" s="1"/>
      <c r="E789" s="1"/>
      <c r="F789" s="1" t="str" cm="1">
        <f t="array" ref="F789">_xlfn.LET(
_xlpm.status,UPPER(TRIM(B789&amp;"")),
_xlpm.risk,UPPER(TRIM(C789&amp;"")),
_xlpm.notify,UPPER(TRIM(D789&amp;"")),
_xlpm.form,UPPER(TRIM(E789&amp;"")),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89" s="1" t="str">
        <f t="shared" si="12"/>
        <v>NA</v>
      </c>
      <c r="H789" s="5"/>
      <c r="I789" s="1" t="s">
        <v>35</v>
      </c>
      <c r="J789" s="1"/>
      <c r="K789" s="1" t="s">
        <v>1345</v>
      </c>
      <c r="L789" s="1" t="s">
        <v>35</v>
      </c>
      <c r="M789" s="1"/>
      <c r="N789" s="1" t="s">
        <v>85</v>
      </c>
      <c r="O789" s="1" t="s">
        <v>19</v>
      </c>
      <c r="P789" s="1" t="s">
        <v>18</v>
      </c>
      <c r="Q789" s="1" t="s">
        <v>20</v>
      </c>
      <c r="R789" s="1"/>
      <c r="S789" s="1"/>
      <c r="T789" s="1"/>
    </row>
    <row r="790" spans="1:20">
      <c r="A790" s="1" t="s">
        <v>1356</v>
      </c>
      <c r="B790" s="1" t="str" cm="1">
        <f t="array" ref="B790">IF(A790="","",_xlfn.IFS(COUNTIF($U:$U,A790)&gt;0,"All uploaded",COUNTIF($V:$V,A790)&gt;0,"Partly uploaded",COUNTIF($W:$X,A790)&gt;0,"Not uploaded",TRUE,"Not classified"))</f>
        <v>Not uploaded</v>
      </c>
      <c r="C790" s="1" t="str" cm="1">
        <f t="array" ref="C790">_xlfn.SWITCH(TRIM(I790),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90" s="1"/>
      <c r="E790" s="1"/>
      <c r="F790" s="1" t="str" cm="1">
        <f t="array" ref="F790">_xlfn.LET(
_xlpm.status,UPPER(TRIM(B790&amp;"")),
_xlpm.risk,UPPER(TRIM(C790&amp;"")),
_xlpm.notify,UPPER(TRIM(D790&amp;"")),
_xlpm.form,UPPER(TRIM(E790&amp;"")),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90" s="1" t="str">
        <f t="shared" si="12"/>
        <v>NA</v>
      </c>
      <c r="H790" s="5"/>
      <c r="I790" s="1" t="s">
        <v>22</v>
      </c>
      <c r="J790" s="1"/>
      <c r="K790" s="1" t="s">
        <v>1355</v>
      </c>
      <c r="L790" s="1" t="s">
        <v>22</v>
      </c>
      <c r="M790" s="1"/>
      <c r="N790" s="1" t="s">
        <v>1357</v>
      </c>
      <c r="O790" s="1" t="s">
        <v>19</v>
      </c>
      <c r="P790" s="1" t="s">
        <v>18</v>
      </c>
      <c r="Q790" s="1" t="s">
        <v>20</v>
      </c>
      <c r="R790" s="1"/>
      <c r="S790" s="1"/>
      <c r="T790" s="1"/>
    </row>
    <row r="791" spans="1:20">
      <c r="A791" s="1" t="s">
        <v>1358</v>
      </c>
      <c r="B791" s="1" t="str" cm="1">
        <f t="array" ref="B791">IF(A791="","",_xlfn.IFS(COUNTIF($U:$U,A791)&gt;0,"All uploaded",COUNTIF($V:$V,A791)&gt;0,"Partly uploaded",COUNTIF($W:$X,A791)&gt;0,"Not uploaded",TRUE,"Not classified"))</f>
        <v>Partly uploaded</v>
      </c>
      <c r="C791" s="1" t="str" cm="1">
        <f t="array" ref="C791">_xlfn.SWITCH(TRIM(I791),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91" s="1"/>
      <c r="E791" s="1"/>
      <c r="F791" s="1" t="str" cm="1">
        <f t="array" ref="F791">_xlfn.LET(
_xlpm.status,UPPER(TRIM(B791&amp;"")),
_xlpm.risk,UPPER(TRIM(C791&amp;"")),
_xlpm.notify,UPPER(TRIM(D791&amp;"")),
_xlpm.form,UPPER(TRIM(E791&amp;"")),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91" s="1" t="str">
        <f t="shared" si="12"/>
        <v>NA</v>
      </c>
      <c r="H791" s="5"/>
      <c r="I791" s="1" t="s">
        <v>22</v>
      </c>
      <c r="J791" s="1"/>
      <c r="K791" s="1" t="s">
        <v>1355</v>
      </c>
      <c r="L791" s="1" t="s">
        <v>22</v>
      </c>
      <c r="M791" s="1"/>
      <c r="N791" s="1" t="s">
        <v>1359</v>
      </c>
      <c r="O791" s="1" t="s">
        <v>19</v>
      </c>
      <c r="P791" s="1" t="s">
        <v>18</v>
      </c>
      <c r="Q791" s="1" t="s">
        <v>20</v>
      </c>
      <c r="R791" s="1"/>
      <c r="S791" s="1"/>
      <c r="T791" s="1"/>
    </row>
    <row r="792" spans="1:20">
      <c r="A792" s="1" t="s">
        <v>1371</v>
      </c>
      <c r="B792" s="1" t="str" cm="1">
        <f t="array" ref="B792">IF(A792="","",_xlfn.IFS(COUNTIF($U:$U,A792)&gt;0,"All uploaded",COUNTIF($V:$V,A792)&gt;0,"Partly uploaded",COUNTIF($W:$X,A792)&gt;0,"Not uploaded",TRUE,"Not classified"))</f>
        <v>Partly uploaded</v>
      </c>
      <c r="C792" s="1" t="str" cm="1">
        <f t="array" ref="C792">_xlfn.SWITCH(TRIM(I792),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92" s="1"/>
      <c r="E792" s="1"/>
      <c r="F792" s="1" t="str" cm="1">
        <f t="array" ref="F792">_xlfn.LET(
_xlpm.status,UPPER(TRIM(B792&amp;"")),
_xlpm.risk,UPPER(TRIM(C792&amp;"")),
_xlpm.notify,UPPER(TRIM(D792&amp;"")),
_xlpm.form,UPPER(TRIM(E792&amp;"")),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92" s="1" t="str">
        <f t="shared" si="12"/>
        <v>NA</v>
      </c>
      <c r="H792" s="5"/>
      <c r="I792" s="1" t="s">
        <v>23</v>
      </c>
      <c r="J792" s="1"/>
      <c r="K792" s="1" t="s">
        <v>1370</v>
      </c>
      <c r="L792" s="1" t="s">
        <v>23</v>
      </c>
      <c r="M792" s="1"/>
      <c r="N792" s="1" t="s">
        <v>1372</v>
      </c>
      <c r="O792" s="1" t="s">
        <v>19</v>
      </c>
      <c r="P792" s="1" t="s">
        <v>18</v>
      </c>
      <c r="Q792" s="1" t="s">
        <v>20</v>
      </c>
      <c r="R792" s="1"/>
      <c r="S792" s="1"/>
      <c r="T792" s="1"/>
    </row>
    <row r="793" spans="1:20">
      <c r="A793" s="1" t="s">
        <v>1385</v>
      </c>
      <c r="B793" s="1" t="str" cm="1">
        <f t="array" ref="B793">IF(A793="","",_xlfn.IFS(COUNTIF($U:$U,A793)&gt;0,"All uploaded",COUNTIF($V:$V,A793)&gt;0,"Partly uploaded",COUNTIF($W:$X,A793)&gt;0,"Not uploaded",TRUE,"Not classified"))</f>
        <v>Not uploaded</v>
      </c>
      <c r="C793" s="1" t="str" cm="1">
        <f t="array" ref="C793">_xlfn.SWITCH(TRIM(I793),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93" s="1"/>
      <c r="E793" s="1"/>
      <c r="F793" s="1" t="str" cm="1">
        <f t="array" ref="F793">_xlfn.LET(
_xlpm.status,UPPER(TRIM(B793&amp;"")),
_xlpm.risk,UPPER(TRIM(C793&amp;"")),
_xlpm.notify,UPPER(TRIM(D793&amp;"")),
_xlpm.form,UPPER(TRIM(E793&amp;"")),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93" s="1" t="str">
        <f t="shared" si="12"/>
        <v>NA</v>
      </c>
      <c r="H793" s="5"/>
      <c r="I793" s="1" t="s">
        <v>35</v>
      </c>
      <c r="J793" s="1"/>
      <c r="K793" s="1" t="s">
        <v>1379</v>
      </c>
      <c r="L793" s="1" t="s">
        <v>35</v>
      </c>
      <c r="M793" s="1"/>
      <c r="N793" s="1" t="s">
        <v>1386</v>
      </c>
      <c r="O793" s="1" t="s">
        <v>19</v>
      </c>
      <c r="P793" s="1" t="s">
        <v>18</v>
      </c>
      <c r="Q793" s="1" t="s">
        <v>20</v>
      </c>
      <c r="R793" s="1"/>
      <c r="S793" s="1"/>
      <c r="T793" s="1"/>
    </row>
    <row r="794" spans="1:20">
      <c r="A794" s="1" t="s">
        <v>1388</v>
      </c>
      <c r="B794" s="1" t="str" cm="1">
        <f t="array" ref="B794">IF(A794="","",_xlfn.IFS(COUNTIF($U:$U,A794)&gt;0,"All uploaded",COUNTIF($V:$V,A794)&gt;0,"Partly uploaded",COUNTIF($W:$X,A794)&gt;0,"Not uploaded",TRUE,"Not classified"))</f>
        <v>Partly uploaded</v>
      </c>
      <c r="C794" s="1" t="str" cm="1">
        <f t="array" ref="C794">_xlfn.SWITCH(TRIM(I794),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94" s="1"/>
      <c r="E794" s="1"/>
      <c r="F794" s="1" t="str" cm="1">
        <f t="array" ref="F794">_xlfn.LET(
_xlpm.status,UPPER(TRIM(B794&amp;"")),
_xlpm.risk,UPPER(TRIM(C794&amp;"")),
_xlpm.notify,UPPER(TRIM(D794&amp;"")),
_xlpm.form,UPPER(TRIM(E794&amp;"")),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94" s="1" t="str">
        <f t="shared" si="12"/>
        <v>Required</v>
      </c>
      <c r="H794" s="5"/>
      <c r="I794" s="1" t="s">
        <v>33</v>
      </c>
      <c r="J794" s="1"/>
      <c r="K794" s="1" t="s">
        <v>1387</v>
      </c>
      <c r="L794" s="1" t="s">
        <v>33</v>
      </c>
      <c r="M794" s="1"/>
      <c r="N794" s="1" t="s">
        <v>1389</v>
      </c>
      <c r="O794" s="1" t="s">
        <v>19</v>
      </c>
      <c r="P794" s="1" t="s">
        <v>18</v>
      </c>
      <c r="Q794" s="1" t="s">
        <v>20</v>
      </c>
      <c r="R794" s="1"/>
      <c r="S794" s="1"/>
      <c r="T794" s="1"/>
    </row>
    <row r="795" spans="1:20">
      <c r="A795" s="1" t="s">
        <v>1404</v>
      </c>
      <c r="B795" s="1" t="str" cm="1">
        <f t="array" ref="B795">IF(A795="","",_xlfn.IFS(COUNTIF($U:$U,A795)&gt;0,"All uploaded",COUNTIF($V:$V,A795)&gt;0,"Partly uploaded",COUNTIF($W:$X,A795)&gt;0,"Not uploaded",TRUE,"Not classified"))</f>
        <v>Partly uploaded</v>
      </c>
      <c r="C795" s="1" t="str" cm="1">
        <f t="array" ref="C795">_xlfn.SWITCH(TRIM(I795),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95" s="1"/>
      <c r="E795" s="1"/>
      <c r="F795" s="1" t="str" cm="1">
        <f t="array" ref="F795">_xlfn.LET(
_xlpm.status,UPPER(TRIM(B795&amp;"")),
_xlpm.risk,UPPER(TRIM(C795&amp;"")),
_xlpm.notify,UPPER(TRIM(D795&amp;"")),
_xlpm.form,UPPER(TRIM(E795&amp;"")),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95" s="1" t="str">
        <f t="shared" si="12"/>
        <v>Required</v>
      </c>
      <c r="H795" s="5"/>
      <c r="I795" s="1" t="s">
        <v>27</v>
      </c>
      <c r="J795" s="1"/>
      <c r="K795" s="1" t="s">
        <v>1398</v>
      </c>
      <c r="L795" s="1" t="s">
        <v>27</v>
      </c>
      <c r="M795" s="1"/>
      <c r="N795" s="1" t="s">
        <v>1405</v>
      </c>
      <c r="O795" s="1" t="s">
        <v>19</v>
      </c>
      <c r="P795" s="1" t="s">
        <v>18</v>
      </c>
      <c r="Q795" s="1" t="s">
        <v>20</v>
      </c>
      <c r="R795" s="1"/>
      <c r="S795" s="1"/>
      <c r="T795" s="1"/>
    </row>
    <row r="796" spans="1:20">
      <c r="A796" s="1" t="s">
        <v>1412</v>
      </c>
      <c r="B796" s="1" t="str" cm="1">
        <f t="array" ref="B796">IF(A796="","",_xlfn.IFS(COUNTIF($U:$U,A796)&gt;0,"All uploaded",COUNTIF($V:$V,A796)&gt;0,"Partly uploaded",COUNTIF($W:$X,A796)&gt;0,"Not uploaded",TRUE,"Not classified"))</f>
        <v>Partly uploaded</v>
      </c>
      <c r="C796" s="1" t="str" cm="1">
        <f t="array" ref="C796">_xlfn.SWITCH(TRIM(I796),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96" s="1"/>
      <c r="E796" s="1"/>
      <c r="F796" s="1" t="str" cm="1">
        <f t="array" ref="F796">_xlfn.LET(
_xlpm.status,UPPER(TRIM(B796&amp;"")),
_xlpm.risk,UPPER(TRIM(C796&amp;"")),
_xlpm.notify,UPPER(TRIM(D796&amp;"")),
_xlpm.form,UPPER(TRIM(E796&amp;"")),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96" s="1" t="str">
        <f t="shared" si="12"/>
        <v>Required</v>
      </c>
      <c r="H796" s="5"/>
      <c r="I796" s="1" t="s">
        <v>27</v>
      </c>
      <c r="J796" s="1"/>
      <c r="K796" s="1" t="s">
        <v>1398</v>
      </c>
      <c r="L796" s="1" t="s">
        <v>27</v>
      </c>
      <c r="M796" s="1"/>
      <c r="N796" s="1" t="s">
        <v>1255</v>
      </c>
      <c r="O796" s="1" t="s">
        <v>19</v>
      </c>
      <c r="P796" s="1" t="s">
        <v>18</v>
      </c>
      <c r="Q796" s="1" t="s">
        <v>20</v>
      </c>
      <c r="R796" s="1"/>
      <c r="S796" s="1"/>
      <c r="T796" s="1"/>
    </row>
    <row r="797" spans="1:20">
      <c r="A797" s="1" t="s">
        <v>1423</v>
      </c>
      <c r="B797" s="1" t="str" cm="1">
        <f t="array" ref="B797">IF(A797="","",_xlfn.IFS(COUNTIF($U:$U,A797)&gt;0,"All uploaded",COUNTIF($V:$V,A797)&gt;0,"Partly uploaded",COUNTIF($W:$X,A797)&gt;0,"Not uploaded",TRUE,"Not classified"))</f>
        <v>Not uploaded</v>
      </c>
      <c r="C797" s="1" t="str" cm="1">
        <f t="array" ref="C797">_xlfn.SWITCH(TRIM(I797),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97" s="1"/>
      <c r="E797" s="1"/>
      <c r="F797" s="1" t="str" cm="1">
        <f t="array" ref="F797">_xlfn.LET(
_xlpm.status,UPPER(TRIM(B797&amp;"")),
_xlpm.risk,UPPER(TRIM(C797&amp;"")),
_xlpm.notify,UPPER(TRIM(D797&amp;"")),
_xlpm.form,UPPER(TRIM(E797&amp;"")),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97" s="1" t="str">
        <f t="shared" si="12"/>
        <v>NA</v>
      </c>
      <c r="H797" s="5"/>
      <c r="I797" s="1" t="s">
        <v>22</v>
      </c>
      <c r="J797" s="1"/>
      <c r="K797" s="1" t="s">
        <v>1416</v>
      </c>
      <c r="L797" s="1" t="s">
        <v>22</v>
      </c>
      <c r="M797" s="1"/>
      <c r="N797" s="1" t="s">
        <v>38</v>
      </c>
      <c r="O797" s="1" t="s">
        <v>19</v>
      </c>
      <c r="P797" s="1" t="s">
        <v>18</v>
      </c>
      <c r="Q797" s="1" t="s">
        <v>20</v>
      </c>
      <c r="R797" s="1"/>
      <c r="S797" s="1"/>
      <c r="T797" s="1"/>
    </row>
    <row r="798" spans="1:20">
      <c r="A798" s="1" t="s">
        <v>1432</v>
      </c>
      <c r="B798" s="1" t="str" cm="1">
        <f t="array" ref="B798">IF(A798="","",_xlfn.IFS(COUNTIF($U:$U,A798)&gt;0,"All uploaded",COUNTIF($V:$V,A798)&gt;0,"Partly uploaded",COUNTIF($W:$X,A798)&gt;0,"Not uploaded",TRUE,"Not classified"))</f>
        <v>Partly uploaded</v>
      </c>
      <c r="C798" s="1" t="str" cm="1">
        <f t="array" ref="C798">_xlfn.SWITCH(TRIM(I798),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798" s="1"/>
      <c r="E798" s="1"/>
      <c r="F798" s="1" t="str" cm="1">
        <f t="array" ref="F798">_xlfn.LET(
_xlpm.status,UPPER(TRIM(B798&amp;"")),
_xlpm.risk,UPPER(TRIM(C798&amp;"")),
_xlpm.notify,UPPER(TRIM(D798&amp;"")),
_xlpm.form,UPPER(TRIM(E798&amp;"")),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98" s="1" t="str">
        <f t="shared" si="12"/>
        <v>Required</v>
      </c>
      <c r="H798" s="5"/>
      <c r="I798" s="1" t="s">
        <v>33</v>
      </c>
      <c r="J798" s="1"/>
      <c r="K798" s="1" t="s">
        <v>1431</v>
      </c>
      <c r="L798" s="1" t="s">
        <v>33</v>
      </c>
      <c r="M798" s="1"/>
      <c r="N798" s="1" t="s">
        <v>1433</v>
      </c>
      <c r="O798" s="1" t="s">
        <v>19</v>
      </c>
      <c r="P798" s="1" t="s">
        <v>18</v>
      </c>
      <c r="Q798" s="1" t="s">
        <v>20</v>
      </c>
      <c r="R798" s="1"/>
      <c r="S798" s="1"/>
      <c r="T798" s="1"/>
    </row>
    <row r="799" spans="1:20">
      <c r="A799" s="1" t="s">
        <v>1436</v>
      </c>
      <c r="B799" s="1" t="str" cm="1">
        <f t="array" ref="B799">IF(A799="","",_xlfn.IFS(COUNTIF($U:$U,A799)&gt;0,"All uploaded",COUNTIF($V:$V,A799)&gt;0,"Partly uploaded",COUNTIF($W:$X,A799)&gt;0,"Not uploaded",TRUE,"Not classified"))</f>
        <v>Partly uploaded</v>
      </c>
      <c r="C799" s="1" t="str" cm="1">
        <f t="array" ref="C799">_xlfn.SWITCH(TRIM(I799),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799" s="1"/>
      <c r="E799" s="1"/>
      <c r="F799" s="1" t="str" cm="1">
        <f t="array" ref="F799">_xlfn.LET(
_xlpm.status,UPPER(TRIM(B799&amp;"")),
_xlpm.risk,UPPER(TRIM(C799&amp;"")),
_xlpm.notify,UPPER(TRIM(D799&amp;"")),
_xlpm.form,UPPER(TRIM(E799&amp;"")),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799" s="1" t="str">
        <f t="shared" si="12"/>
        <v>NA</v>
      </c>
      <c r="H799" s="5"/>
      <c r="I799" s="1" t="s">
        <v>22</v>
      </c>
      <c r="J799" s="1"/>
      <c r="K799" s="1" t="s">
        <v>1431</v>
      </c>
      <c r="L799" s="1" t="s">
        <v>22</v>
      </c>
      <c r="M799" s="1"/>
      <c r="N799" s="1" t="s">
        <v>481</v>
      </c>
      <c r="O799" s="1" t="s">
        <v>19</v>
      </c>
      <c r="P799" s="1" t="s">
        <v>18</v>
      </c>
      <c r="Q799" s="1" t="s">
        <v>20</v>
      </c>
      <c r="R799" s="1"/>
      <c r="S799" s="1"/>
      <c r="T799" s="1"/>
    </row>
    <row r="800" spans="1:20">
      <c r="A800" s="1" t="s">
        <v>1440</v>
      </c>
      <c r="B800" s="1" t="str" cm="1">
        <f t="array" ref="B800">IF(A800="","",_xlfn.IFS(COUNTIF($U:$U,A800)&gt;0,"All uploaded",COUNTIF($V:$V,A800)&gt;0,"Partly uploaded",COUNTIF($W:$X,A800)&gt;0,"Not uploaded",TRUE,"Not classified"))</f>
        <v>Not uploaded</v>
      </c>
      <c r="C800" s="1" t="str" cm="1">
        <f t="array" ref="C800">_xlfn.SWITCH(TRIM(I800),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00" s="1"/>
      <c r="E800" s="1"/>
      <c r="F800" s="1" t="str" cm="1">
        <f t="array" ref="F800">_xlfn.LET(
_xlpm.status,UPPER(TRIM(B800&amp;"")),
_xlpm.risk,UPPER(TRIM(C800&amp;"")),
_xlpm.notify,UPPER(TRIM(D800&amp;"")),
_xlpm.form,UPPER(TRIM(E800&amp;"")),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00" s="1" t="str">
        <f t="shared" si="12"/>
        <v>NA</v>
      </c>
      <c r="H800" s="5"/>
      <c r="I800" s="1" t="s">
        <v>22</v>
      </c>
      <c r="J800" s="1"/>
      <c r="K800" s="1" t="s">
        <v>1439</v>
      </c>
      <c r="L800" s="1" t="s">
        <v>22</v>
      </c>
      <c r="M800" s="1"/>
      <c r="N800" s="1" t="s">
        <v>1441</v>
      </c>
      <c r="O800" s="1" t="s">
        <v>19</v>
      </c>
      <c r="P800" s="1" t="s">
        <v>18</v>
      </c>
      <c r="Q800" s="1" t="s">
        <v>20</v>
      </c>
      <c r="R800" s="1"/>
      <c r="S800" s="1"/>
      <c r="T800" s="1"/>
    </row>
    <row r="801" spans="1:20">
      <c r="A801" s="1" t="s">
        <v>1442</v>
      </c>
      <c r="B801" s="1" t="str" cm="1">
        <f t="array" ref="B801">IF(A801="","",_xlfn.IFS(COUNTIF($U:$U,A801)&gt;0,"All uploaded",COUNTIF($V:$V,A801)&gt;0,"Partly uploaded",COUNTIF($W:$X,A801)&gt;0,"Not uploaded",TRUE,"Not classified"))</f>
        <v>Not uploaded</v>
      </c>
      <c r="C801" s="1" t="str" cm="1">
        <f t="array" ref="C801">_xlfn.SWITCH(TRIM(I801),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01" s="1"/>
      <c r="E801" s="1"/>
      <c r="F801" s="1" t="str" cm="1">
        <f t="array" ref="F801">_xlfn.LET(
_xlpm.status,UPPER(TRIM(B801&amp;"")),
_xlpm.risk,UPPER(TRIM(C801&amp;"")),
_xlpm.notify,UPPER(TRIM(D801&amp;"")),
_xlpm.form,UPPER(TRIM(E801&amp;"")),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01" s="1" t="str">
        <f t="shared" si="12"/>
        <v>NA</v>
      </c>
      <c r="H801" s="5"/>
      <c r="I801" s="1" t="s">
        <v>22</v>
      </c>
      <c r="J801" s="1"/>
      <c r="K801" s="1" t="s">
        <v>1439</v>
      </c>
      <c r="L801" s="1" t="s">
        <v>22</v>
      </c>
      <c r="M801" s="1"/>
      <c r="N801" s="1" t="s">
        <v>1443</v>
      </c>
      <c r="O801" s="1" t="s">
        <v>19</v>
      </c>
      <c r="P801" s="1" t="s">
        <v>18</v>
      </c>
      <c r="Q801" s="1" t="s">
        <v>20</v>
      </c>
      <c r="R801" s="1"/>
      <c r="S801" s="1"/>
      <c r="T801" s="1"/>
    </row>
    <row r="802" spans="1:20">
      <c r="A802" s="1" t="s">
        <v>1444</v>
      </c>
      <c r="B802" s="1" t="str" cm="1">
        <f t="array" ref="B802">IF(A802="","",_xlfn.IFS(COUNTIF($U:$U,A802)&gt;0,"All uploaded",COUNTIF($V:$V,A802)&gt;0,"Partly uploaded",COUNTIF($W:$X,A802)&gt;0,"Not uploaded",TRUE,"Not classified"))</f>
        <v>Not uploaded</v>
      </c>
      <c r="C802" s="1" t="str" cm="1">
        <f t="array" ref="C802">_xlfn.SWITCH(TRIM(I802),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02" s="1"/>
      <c r="E802" s="1"/>
      <c r="F802" s="1" t="str" cm="1">
        <f t="array" ref="F802">_xlfn.LET(
_xlpm.status,UPPER(TRIM(B802&amp;"")),
_xlpm.risk,UPPER(TRIM(C802&amp;"")),
_xlpm.notify,UPPER(TRIM(D802&amp;"")),
_xlpm.form,UPPER(TRIM(E802&amp;"")),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02" s="1" t="str">
        <f t="shared" si="12"/>
        <v>NA</v>
      </c>
      <c r="H802" s="5"/>
      <c r="I802" s="1" t="s">
        <v>22</v>
      </c>
      <c r="J802" s="1"/>
      <c r="K802" s="1" t="s">
        <v>1439</v>
      </c>
      <c r="L802" s="1" t="s">
        <v>22</v>
      </c>
      <c r="M802" s="1"/>
      <c r="N802" s="1" t="s">
        <v>1445</v>
      </c>
      <c r="O802" s="1" t="s">
        <v>19</v>
      </c>
      <c r="P802" s="1" t="s">
        <v>18</v>
      </c>
      <c r="Q802" s="1" t="s">
        <v>20</v>
      </c>
      <c r="R802" s="1"/>
      <c r="S802" s="1"/>
      <c r="T802" s="1"/>
    </row>
    <row r="803" spans="1:20">
      <c r="A803" s="1" t="s">
        <v>1447</v>
      </c>
      <c r="B803" s="1" t="str" cm="1">
        <f t="array" ref="B803">IF(A803="","",_xlfn.IFS(COUNTIF($U:$U,A803)&gt;0,"All uploaded",COUNTIF($V:$V,A803)&gt;0,"Partly uploaded",COUNTIF($W:$X,A803)&gt;0,"Not uploaded",TRUE,"Not classified"))</f>
        <v>Partly uploaded</v>
      </c>
      <c r="C803" s="1" t="str" cm="1">
        <f t="array" ref="C803">_xlfn.SWITCH(TRIM(I803),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03" s="1"/>
      <c r="E803" s="1"/>
      <c r="F803" s="1" t="str" cm="1">
        <f t="array" ref="F803">_xlfn.LET(
_xlpm.status,UPPER(TRIM(B803&amp;"")),
_xlpm.risk,UPPER(TRIM(C803&amp;"")),
_xlpm.notify,UPPER(TRIM(D803&amp;"")),
_xlpm.form,UPPER(TRIM(E803&amp;"")),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03" s="1" t="str">
        <f t="shared" si="12"/>
        <v>Required</v>
      </c>
      <c r="H803" s="5"/>
      <c r="I803" s="1" t="s">
        <v>27</v>
      </c>
      <c r="J803" s="1"/>
      <c r="K803" s="1" t="s">
        <v>1446</v>
      </c>
      <c r="L803" s="1" t="s">
        <v>27</v>
      </c>
      <c r="M803" s="1"/>
      <c r="N803" s="1" t="s">
        <v>440</v>
      </c>
      <c r="O803" s="1" t="s">
        <v>19</v>
      </c>
      <c r="P803" s="1" t="s">
        <v>18</v>
      </c>
      <c r="Q803" s="1" t="s">
        <v>20</v>
      </c>
      <c r="R803" s="1"/>
      <c r="S803" s="1"/>
      <c r="T803" s="1"/>
    </row>
    <row r="804" spans="1:20">
      <c r="A804" s="1" t="s">
        <v>1453</v>
      </c>
      <c r="B804" s="1" t="str" cm="1">
        <f t="array" ref="B804">IF(A804="","",_xlfn.IFS(COUNTIF($U:$U,A804)&gt;0,"All uploaded",COUNTIF($V:$V,A804)&gt;0,"Partly uploaded",COUNTIF($W:$X,A804)&gt;0,"Not uploaded",TRUE,"Not classified"))</f>
        <v>Not uploaded</v>
      </c>
      <c r="C804" s="1" t="str" cm="1">
        <f t="array" ref="C804">_xlfn.SWITCH(TRIM(I804),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04" s="1"/>
      <c r="E804" s="1"/>
      <c r="F804" s="1" t="str" cm="1">
        <f t="array" ref="F804">_xlfn.LET(
_xlpm.status,UPPER(TRIM(B804&amp;"")),
_xlpm.risk,UPPER(TRIM(C804&amp;"")),
_xlpm.notify,UPPER(TRIM(D804&amp;"")),
_xlpm.form,UPPER(TRIM(E804&amp;"")),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04" s="1" t="str">
        <f t="shared" si="12"/>
        <v>NA</v>
      </c>
      <c r="H804" s="5"/>
      <c r="I804" s="1" t="s">
        <v>22</v>
      </c>
      <c r="J804" s="1"/>
      <c r="K804" s="1" t="s">
        <v>1452</v>
      </c>
      <c r="L804" s="1" t="s">
        <v>22</v>
      </c>
      <c r="M804" s="1"/>
      <c r="N804" s="1" t="s">
        <v>1454</v>
      </c>
      <c r="O804" s="1" t="s">
        <v>19</v>
      </c>
      <c r="P804" s="1" t="s">
        <v>18</v>
      </c>
      <c r="Q804" s="1" t="s">
        <v>20</v>
      </c>
      <c r="R804" s="1"/>
      <c r="S804" s="1"/>
      <c r="T804" s="1"/>
    </row>
    <row r="805" spans="1:20">
      <c r="A805" s="1" t="s">
        <v>1456</v>
      </c>
      <c r="B805" s="1" t="str" cm="1">
        <f t="array" ref="B805">IF(A805="","",_xlfn.IFS(COUNTIF($U:$U,A805)&gt;0,"All uploaded",COUNTIF($V:$V,A805)&gt;0,"Partly uploaded",COUNTIF($W:$X,A805)&gt;0,"Not uploaded",TRUE,"Not classified"))</f>
        <v>Partly uploaded</v>
      </c>
      <c r="C805" s="1" t="str" cm="1">
        <f t="array" ref="C805">_xlfn.SWITCH(TRIM(I805),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05" s="1"/>
      <c r="E805" s="1"/>
      <c r="F805" s="1" t="str" cm="1">
        <f t="array" ref="F805">_xlfn.LET(
_xlpm.status,UPPER(TRIM(B805&amp;"")),
_xlpm.risk,UPPER(TRIM(C805&amp;"")),
_xlpm.notify,UPPER(TRIM(D805&amp;"")),
_xlpm.form,UPPER(TRIM(E805&amp;"")),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05" s="1" t="str">
        <f t="shared" si="12"/>
        <v>NA</v>
      </c>
      <c r="H805" s="5"/>
      <c r="I805" s="1" t="s">
        <v>23</v>
      </c>
      <c r="J805" s="1"/>
      <c r="K805" s="1" t="s">
        <v>1455</v>
      </c>
      <c r="L805" s="1" t="s">
        <v>23</v>
      </c>
      <c r="M805" s="1"/>
      <c r="N805" s="1" t="s">
        <v>1457</v>
      </c>
      <c r="O805" s="1" t="s">
        <v>19</v>
      </c>
      <c r="P805" s="1" t="s">
        <v>18</v>
      </c>
      <c r="Q805" s="1" t="s">
        <v>20</v>
      </c>
      <c r="R805" s="1"/>
      <c r="S805" s="1"/>
      <c r="T805" s="1"/>
    </row>
    <row r="806" spans="1:20">
      <c r="A806" s="1" t="s">
        <v>1469</v>
      </c>
      <c r="B806" s="1" t="str" cm="1">
        <f t="array" ref="B806">IF(A806="","",_xlfn.IFS(COUNTIF($U:$U,A806)&gt;0,"All uploaded",COUNTIF($V:$V,A806)&gt;0,"Partly uploaded",COUNTIF($W:$X,A806)&gt;0,"Not uploaded",TRUE,"Not classified"))</f>
        <v>Partly uploaded</v>
      </c>
      <c r="C806" s="1" t="str" cm="1">
        <f t="array" ref="C806">_xlfn.SWITCH(TRIM(I806),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06" s="1"/>
      <c r="E806" s="1"/>
      <c r="F806" s="1" t="str" cm="1">
        <f t="array" ref="F806">_xlfn.LET(
_xlpm.status,UPPER(TRIM(B806&amp;"")),
_xlpm.risk,UPPER(TRIM(C806&amp;"")),
_xlpm.notify,UPPER(TRIM(D806&amp;"")),
_xlpm.form,UPPER(TRIM(E806&amp;"")),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06" s="1" t="str">
        <f t="shared" si="12"/>
        <v>Required</v>
      </c>
      <c r="H806" s="5"/>
      <c r="I806" s="1" t="s">
        <v>27</v>
      </c>
      <c r="J806" s="1"/>
      <c r="K806" s="1" t="s">
        <v>1468</v>
      </c>
      <c r="L806" s="1" t="s">
        <v>27</v>
      </c>
      <c r="M806" s="1"/>
      <c r="N806" s="1" t="s">
        <v>440</v>
      </c>
      <c r="O806" s="1" t="s">
        <v>19</v>
      </c>
      <c r="P806" s="1" t="s">
        <v>18</v>
      </c>
      <c r="Q806" s="1" t="s">
        <v>20</v>
      </c>
      <c r="R806" s="1"/>
      <c r="S806" s="1"/>
      <c r="T806" s="1"/>
    </row>
    <row r="807" spans="1:20">
      <c r="A807" s="1" t="s">
        <v>1474</v>
      </c>
      <c r="B807" s="1" t="str" cm="1">
        <f t="array" ref="B807">IF(A807="","",_xlfn.IFS(COUNTIF($U:$U,A807)&gt;0,"All uploaded",COUNTIF($V:$V,A807)&gt;0,"Partly uploaded",COUNTIF($W:$X,A807)&gt;0,"Not uploaded",TRUE,"Not classified"))</f>
        <v>Partly uploaded</v>
      </c>
      <c r="C807" s="1" t="str" cm="1">
        <f t="array" ref="C807">_xlfn.SWITCH(TRIM(I807),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07" s="1"/>
      <c r="E807" s="1"/>
      <c r="F807" s="1" t="str" cm="1">
        <f t="array" ref="F807">_xlfn.LET(
_xlpm.status,UPPER(TRIM(B807&amp;"")),
_xlpm.risk,UPPER(TRIM(C807&amp;"")),
_xlpm.notify,UPPER(TRIM(D807&amp;"")),
_xlpm.form,UPPER(TRIM(E807&amp;"")),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07" s="1" t="str">
        <f t="shared" si="12"/>
        <v>NA</v>
      </c>
      <c r="H807" s="5"/>
      <c r="I807" s="1" t="s">
        <v>22</v>
      </c>
      <c r="J807" s="1"/>
      <c r="K807" s="1" t="s">
        <v>1473</v>
      </c>
      <c r="L807" s="1" t="s">
        <v>22</v>
      </c>
      <c r="M807" s="1"/>
      <c r="N807" s="1" t="s">
        <v>68</v>
      </c>
      <c r="O807" s="1" t="s">
        <v>19</v>
      </c>
      <c r="P807" s="1" t="s">
        <v>18</v>
      </c>
      <c r="Q807" s="1" t="s">
        <v>20</v>
      </c>
      <c r="R807" s="1"/>
      <c r="S807" s="1"/>
      <c r="T807" s="1"/>
    </row>
    <row r="808" spans="1:20">
      <c r="A808" s="1" t="s">
        <v>1479</v>
      </c>
      <c r="B808" s="1" t="str" cm="1">
        <f t="array" ref="B808">IF(A808="","",_xlfn.IFS(COUNTIF($U:$U,A808)&gt;0,"All uploaded",COUNTIF($V:$V,A808)&gt;0,"Partly uploaded",COUNTIF($W:$X,A808)&gt;0,"Not uploaded",TRUE,"Not classified"))</f>
        <v>Not uploaded</v>
      </c>
      <c r="C808" s="1" t="str" cm="1">
        <f t="array" ref="C808">_xlfn.SWITCH(TRIM(I808),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08" s="1"/>
      <c r="E808" s="1"/>
      <c r="F808" s="1" t="str" cm="1">
        <f t="array" ref="F808">_xlfn.LET(
_xlpm.status,UPPER(TRIM(B808&amp;"")),
_xlpm.risk,UPPER(TRIM(C808&amp;"")),
_xlpm.notify,UPPER(TRIM(D808&amp;"")),
_xlpm.form,UPPER(TRIM(E808&amp;"")),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08" s="1" t="str">
        <f t="shared" si="12"/>
        <v>NA</v>
      </c>
      <c r="H808" s="5"/>
      <c r="I808" s="1" t="s">
        <v>22</v>
      </c>
      <c r="J808" s="1"/>
      <c r="K808" s="1" t="s">
        <v>1478</v>
      </c>
      <c r="L808" s="1" t="s">
        <v>22</v>
      </c>
      <c r="M808" s="1"/>
      <c r="N808" s="1" t="s">
        <v>1480</v>
      </c>
      <c r="O808" s="1" t="s">
        <v>19</v>
      </c>
      <c r="P808" s="1" t="s">
        <v>18</v>
      </c>
      <c r="Q808" s="1" t="s">
        <v>20</v>
      </c>
      <c r="R808" s="1"/>
      <c r="S808" s="1"/>
      <c r="T808" s="1"/>
    </row>
    <row r="809" spans="1:20">
      <c r="A809" s="1" t="s">
        <v>1481</v>
      </c>
      <c r="B809" s="1" t="str" cm="1">
        <f t="array" ref="B809">IF(A809="","",_xlfn.IFS(COUNTIF($U:$U,A809)&gt;0,"All uploaded",COUNTIF($V:$V,A809)&gt;0,"Partly uploaded",COUNTIF($W:$X,A809)&gt;0,"Not uploaded",TRUE,"Not classified"))</f>
        <v>Not uploaded</v>
      </c>
      <c r="C809" s="1" t="str" cm="1">
        <f t="array" ref="C809">_xlfn.SWITCH(TRIM(I809),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09" s="1"/>
      <c r="E809" s="1"/>
      <c r="F809" s="1" t="str" cm="1">
        <f t="array" ref="F809">_xlfn.LET(
_xlpm.status,UPPER(TRIM(B809&amp;"")),
_xlpm.risk,UPPER(TRIM(C809&amp;"")),
_xlpm.notify,UPPER(TRIM(D809&amp;"")),
_xlpm.form,UPPER(TRIM(E809&amp;"")),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09" s="1" t="str">
        <f t="shared" si="12"/>
        <v>NA</v>
      </c>
      <c r="H809" s="5"/>
      <c r="I809" s="1" t="s">
        <v>22</v>
      </c>
      <c r="J809" s="1"/>
      <c r="K809" s="1" t="s">
        <v>1478</v>
      </c>
      <c r="L809" s="1" t="s">
        <v>22</v>
      </c>
      <c r="M809" s="1"/>
      <c r="N809" s="1" t="s">
        <v>1482</v>
      </c>
      <c r="O809" s="1" t="s">
        <v>19</v>
      </c>
      <c r="P809" s="1" t="s">
        <v>18</v>
      </c>
      <c r="Q809" s="1" t="s">
        <v>20</v>
      </c>
      <c r="R809" s="1"/>
      <c r="S809" s="1"/>
      <c r="T809" s="1"/>
    </row>
    <row r="810" spans="1:20">
      <c r="A810" s="1" t="s">
        <v>1502</v>
      </c>
      <c r="B810" s="1" t="str" cm="1">
        <f t="array" ref="B810">IF(A810="","",_xlfn.IFS(COUNTIF($U:$U,A810)&gt;0,"All uploaded",COUNTIF($V:$V,A810)&gt;0,"Partly uploaded",COUNTIF($W:$X,A810)&gt;0,"Not uploaded",TRUE,"Not classified"))</f>
        <v>Not uploaded</v>
      </c>
      <c r="C810" s="1" t="str" cm="1">
        <f t="array" ref="C810">_xlfn.SWITCH(TRIM(I810),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10" s="1"/>
      <c r="E810" s="1"/>
      <c r="F810" s="1" t="str" cm="1">
        <f t="array" ref="F810">_xlfn.LET(
_xlpm.status,UPPER(TRIM(B810&amp;"")),
_xlpm.risk,UPPER(TRIM(C810&amp;"")),
_xlpm.notify,UPPER(TRIM(D810&amp;"")),
_xlpm.form,UPPER(TRIM(E810&amp;"")),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10" s="1" t="str">
        <f t="shared" si="12"/>
        <v>Required</v>
      </c>
      <c r="H810" s="5"/>
      <c r="I810" s="1" t="s">
        <v>27</v>
      </c>
      <c r="J810" s="1"/>
      <c r="K810" s="1" t="s">
        <v>1483</v>
      </c>
      <c r="L810" s="1" t="s">
        <v>27</v>
      </c>
      <c r="M810" s="1"/>
      <c r="N810" s="1" t="s">
        <v>811</v>
      </c>
      <c r="O810" s="1" t="s">
        <v>19</v>
      </c>
      <c r="P810" s="1" t="s">
        <v>18</v>
      </c>
      <c r="Q810" s="1" t="s">
        <v>20</v>
      </c>
      <c r="R810" s="1"/>
      <c r="S810" s="1"/>
      <c r="T810" s="1"/>
    </row>
    <row r="811" spans="1:20">
      <c r="A811" s="1" t="s">
        <v>1495</v>
      </c>
      <c r="B811" s="1" t="str" cm="1">
        <f t="array" ref="B811">IF(A811="","",_xlfn.IFS(COUNTIF($U:$U,A811)&gt;0,"All uploaded",COUNTIF($V:$V,A811)&gt;0,"Partly uploaded",COUNTIF($W:$X,A811)&gt;0,"Not uploaded",TRUE,"Not classified"))</f>
        <v>Partly uploaded</v>
      </c>
      <c r="C811" s="1" t="str" cm="1">
        <f t="array" ref="C811">_xlfn.SWITCH(TRIM(I811),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11" s="1"/>
      <c r="E811" s="1"/>
      <c r="F811" s="1" t="str" cm="1">
        <f t="array" ref="F811">_xlfn.LET(
_xlpm.status,UPPER(TRIM(B811&amp;"")),
_xlpm.risk,UPPER(TRIM(C811&amp;"")),
_xlpm.notify,UPPER(TRIM(D811&amp;"")),
_xlpm.form,UPPER(TRIM(E811&amp;"")),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11" s="1" t="str">
        <f t="shared" si="12"/>
        <v>Required</v>
      </c>
      <c r="H811" s="5"/>
      <c r="I811" s="1" t="s">
        <v>27</v>
      </c>
      <c r="J811" s="1"/>
      <c r="K811" s="1" t="s">
        <v>1483</v>
      </c>
      <c r="L811" s="1" t="s">
        <v>27</v>
      </c>
      <c r="M811" s="1"/>
      <c r="N811" s="1" t="s">
        <v>1496</v>
      </c>
      <c r="O811" s="1" t="s">
        <v>19</v>
      </c>
      <c r="P811" s="1" t="s">
        <v>18</v>
      </c>
      <c r="Q811" s="1" t="s">
        <v>20</v>
      </c>
      <c r="R811" s="1"/>
      <c r="S811" s="1"/>
      <c r="T811" s="1"/>
    </row>
    <row r="812" spans="1:20">
      <c r="A812" s="1" t="s">
        <v>1504</v>
      </c>
      <c r="B812" s="1" t="str" cm="1">
        <f t="array" ref="B812">IF(A812="","",_xlfn.IFS(COUNTIF($U:$U,A812)&gt;0,"All uploaded",COUNTIF($V:$V,A812)&gt;0,"Partly uploaded",COUNTIF($W:$X,A812)&gt;0,"Not uploaded",TRUE,"Not classified"))</f>
        <v>Not uploaded</v>
      </c>
      <c r="C812" s="1" t="str" cm="1">
        <f t="array" ref="C812">_xlfn.SWITCH(TRIM(I812),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812" s="1"/>
      <c r="E812" s="1"/>
      <c r="F812" s="1" t="str" cm="1">
        <f t="array" ref="F812">_xlfn.LET(
_xlpm.status,UPPER(TRIM(B812&amp;"")),
_xlpm.risk,UPPER(TRIM(C812&amp;"")),
_xlpm.notify,UPPER(TRIM(D812&amp;"")),
_xlpm.form,UPPER(TRIM(E812&amp;"")),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812" s="1" t="str">
        <f t="shared" si="12"/>
        <v>NA</v>
      </c>
      <c r="H812" s="5"/>
      <c r="I812" s="1" t="s">
        <v>21</v>
      </c>
      <c r="J812" s="1"/>
      <c r="K812" s="1" t="s">
        <v>1503</v>
      </c>
      <c r="L812" s="1" t="s">
        <v>21</v>
      </c>
      <c r="M812" s="1"/>
      <c r="N812" s="1" t="s">
        <v>155</v>
      </c>
      <c r="O812" s="1" t="s">
        <v>19</v>
      </c>
      <c r="P812" s="1" t="s">
        <v>18</v>
      </c>
      <c r="Q812" s="1" t="s">
        <v>20</v>
      </c>
      <c r="R812" s="1"/>
      <c r="S812" s="1"/>
      <c r="T812" s="1"/>
    </row>
    <row r="813" spans="1:20">
      <c r="A813" s="1" t="s">
        <v>1505</v>
      </c>
      <c r="B813" s="1" t="str" cm="1">
        <f t="array" ref="B813">IF(A813="","",_xlfn.IFS(COUNTIF($U:$U,A813)&gt;0,"All uploaded",COUNTIF($V:$V,A813)&gt;0,"Partly uploaded",COUNTIF($W:$X,A813)&gt;0,"Not uploaded",TRUE,"Not classified"))</f>
        <v>Partly uploaded</v>
      </c>
      <c r="C813" s="1" t="str" cm="1">
        <f t="array" ref="C813">_xlfn.SWITCH(TRIM(I813),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13" s="1"/>
      <c r="E813" s="1"/>
      <c r="F813" s="1" t="str" cm="1">
        <f t="array" ref="F813">_xlfn.LET(
_xlpm.status,UPPER(TRIM(B813&amp;"")),
_xlpm.risk,UPPER(TRIM(C813&amp;"")),
_xlpm.notify,UPPER(TRIM(D813&amp;"")),
_xlpm.form,UPPER(TRIM(E813&amp;"")),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13" s="1" t="str">
        <f t="shared" si="12"/>
        <v>Required</v>
      </c>
      <c r="H813" s="5"/>
      <c r="I813" s="1" t="s">
        <v>27</v>
      </c>
      <c r="J813" s="1"/>
      <c r="K813" s="1" t="s">
        <v>1503</v>
      </c>
      <c r="L813" s="1" t="s">
        <v>27</v>
      </c>
      <c r="M813" s="1"/>
      <c r="N813" s="1" t="s">
        <v>1282</v>
      </c>
      <c r="O813" s="1" t="s">
        <v>19</v>
      </c>
      <c r="P813" s="1" t="s">
        <v>18</v>
      </c>
      <c r="Q813" s="1" t="s">
        <v>20</v>
      </c>
      <c r="R813" s="1"/>
      <c r="S813" s="1"/>
      <c r="T813" s="1"/>
    </row>
    <row r="814" spans="1:20">
      <c r="A814" s="1" t="s">
        <v>1521</v>
      </c>
      <c r="B814" s="1" t="str" cm="1">
        <f t="array" ref="B814">IF(A814="","",_xlfn.IFS(COUNTIF($U:$U,A814)&gt;0,"All uploaded",COUNTIF($V:$V,A814)&gt;0,"Partly uploaded",COUNTIF($W:$X,A814)&gt;0,"Not uploaded",TRUE,"Not classified"))</f>
        <v>Partly uploaded</v>
      </c>
      <c r="C814" s="1" t="str" cm="1">
        <f t="array" ref="C814">_xlfn.SWITCH(TRIM(I814),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14" s="1"/>
      <c r="E814" s="1"/>
      <c r="F814" s="1" t="str" cm="1">
        <f t="array" ref="F814">_xlfn.LET(
_xlpm.status,UPPER(TRIM(B814&amp;"")),
_xlpm.risk,UPPER(TRIM(C814&amp;"")),
_xlpm.notify,UPPER(TRIM(D814&amp;"")),
_xlpm.form,UPPER(TRIM(E814&amp;"")),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14" s="1" t="str">
        <f t="shared" si="12"/>
        <v>Required</v>
      </c>
      <c r="H814" s="5"/>
      <c r="I814" s="1" t="s">
        <v>10</v>
      </c>
      <c r="J814" s="1"/>
      <c r="K814" s="1" t="s">
        <v>1520</v>
      </c>
      <c r="L814" s="1" t="s">
        <v>10</v>
      </c>
      <c r="M814" s="1"/>
      <c r="N814" s="1" t="s">
        <v>36</v>
      </c>
      <c r="O814" s="1" t="s">
        <v>19</v>
      </c>
      <c r="P814" s="1" t="s">
        <v>18</v>
      </c>
      <c r="Q814" s="1" t="s">
        <v>20</v>
      </c>
      <c r="R814" s="1"/>
      <c r="S814" s="1"/>
      <c r="T814" s="1"/>
    </row>
    <row r="815" spans="1:20">
      <c r="A815" s="1" t="s">
        <v>1531</v>
      </c>
      <c r="B815" s="1" t="str" cm="1">
        <f t="array" ref="B815">IF(A815="","",_xlfn.IFS(COUNTIF($U:$U,A815)&gt;0,"All uploaded",COUNTIF($V:$V,A815)&gt;0,"Partly uploaded",COUNTIF($W:$X,A815)&gt;0,"Not uploaded",TRUE,"Not classified"))</f>
        <v>Partly uploaded</v>
      </c>
      <c r="C815" s="1" t="str" cm="1">
        <f t="array" ref="C815">_xlfn.SWITCH(TRIM(I815),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15" s="1"/>
      <c r="E815" s="1"/>
      <c r="F815" s="1" t="str" cm="1">
        <f t="array" ref="F815">_xlfn.LET(
_xlpm.status,UPPER(TRIM(B815&amp;"")),
_xlpm.risk,UPPER(TRIM(C815&amp;"")),
_xlpm.notify,UPPER(TRIM(D815&amp;"")),
_xlpm.form,UPPER(TRIM(E815&amp;"")),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15" s="1" t="str">
        <f t="shared" si="12"/>
        <v>NA</v>
      </c>
      <c r="H815" s="5"/>
      <c r="I815" s="1" t="s">
        <v>23</v>
      </c>
      <c r="J815" s="1"/>
      <c r="K815" s="1" t="s">
        <v>1530</v>
      </c>
      <c r="L815" s="1" t="s">
        <v>23</v>
      </c>
      <c r="M815" s="1"/>
      <c r="N815" s="1" t="s">
        <v>1532</v>
      </c>
      <c r="O815" s="1" t="s">
        <v>19</v>
      </c>
      <c r="P815" s="1" t="s">
        <v>18</v>
      </c>
      <c r="Q815" s="1" t="s">
        <v>20</v>
      </c>
      <c r="R815" s="1"/>
      <c r="S815" s="1"/>
      <c r="T815" s="1"/>
    </row>
    <row r="816" spans="1:20">
      <c r="A816" s="1" t="s">
        <v>1537</v>
      </c>
      <c r="B816" s="1" t="str" cm="1">
        <f t="array" ref="B816">IF(A816="","",_xlfn.IFS(COUNTIF($U:$U,A816)&gt;0,"All uploaded",COUNTIF($V:$V,A816)&gt;0,"Partly uploaded",COUNTIF($W:$X,A816)&gt;0,"Not uploaded",TRUE,"Not classified"))</f>
        <v>Partly uploaded</v>
      </c>
      <c r="C816" s="1" t="str" cm="1">
        <f t="array" ref="C816">_xlfn.SWITCH(TRIM(I816),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16" s="1"/>
      <c r="E816" s="1"/>
      <c r="F816" s="1" t="str" cm="1">
        <f t="array" ref="F816">_xlfn.LET(
_xlpm.status,UPPER(TRIM(B816&amp;"")),
_xlpm.risk,UPPER(TRIM(C816&amp;"")),
_xlpm.notify,UPPER(TRIM(D816&amp;"")),
_xlpm.form,UPPER(TRIM(E816&amp;"")),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16" s="1" t="str">
        <f t="shared" si="12"/>
        <v>NA</v>
      </c>
      <c r="H816" s="5"/>
      <c r="I816" s="1" t="s">
        <v>23</v>
      </c>
      <c r="J816" s="1"/>
      <c r="K816" s="1" t="s">
        <v>1536</v>
      </c>
      <c r="L816" s="1" t="s">
        <v>23</v>
      </c>
      <c r="M816" s="1"/>
      <c r="N816" s="1" t="s">
        <v>1538</v>
      </c>
      <c r="O816" s="1" t="s">
        <v>19</v>
      </c>
      <c r="P816" s="1" t="s">
        <v>18</v>
      </c>
      <c r="Q816" s="1" t="s">
        <v>20</v>
      </c>
      <c r="R816" s="1"/>
      <c r="S816" s="1"/>
      <c r="T816" s="1"/>
    </row>
    <row r="817" spans="1:20">
      <c r="A817" s="1" t="s">
        <v>1558</v>
      </c>
      <c r="B817" s="1" t="str" cm="1">
        <f t="array" ref="B817">IF(A817="","",_xlfn.IFS(COUNTIF($U:$U,A817)&gt;0,"All uploaded",COUNTIF($V:$V,A817)&gt;0,"Partly uploaded",COUNTIF($W:$X,A817)&gt;0,"Not uploaded",TRUE,"Not classified"))</f>
        <v>Partly uploaded</v>
      </c>
      <c r="C817" s="1" t="str" cm="1">
        <f t="array" ref="C817">_xlfn.SWITCH(TRIM(I817),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17" s="1"/>
      <c r="E817" s="1"/>
      <c r="F817" s="1" t="str" cm="1">
        <f t="array" ref="F817">_xlfn.LET(
_xlpm.status,UPPER(TRIM(B817&amp;"")),
_xlpm.risk,UPPER(TRIM(C817&amp;"")),
_xlpm.notify,UPPER(TRIM(D817&amp;"")),
_xlpm.form,UPPER(TRIM(E817&amp;"")),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17" s="1" t="str">
        <f t="shared" si="12"/>
        <v>Required</v>
      </c>
      <c r="H817" s="5"/>
      <c r="I817" s="1" t="s">
        <v>27</v>
      </c>
      <c r="J817" s="1"/>
      <c r="K817" s="1" t="s">
        <v>1557</v>
      </c>
      <c r="L817" s="1" t="s">
        <v>27</v>
      </c>
      <c r="M817" s="1"/>
      <c r="N817" s="1" t="s">
        <v>1559</v>
      </c>
      <c r="O817" s="1" t="s">
        <v>19</v>
      </c>
      <c r="P817" s="1" t="s">
        <v>18</v>
      </c>
      <c r="Q817" s="1" t="s">
        <v>20</v>
      </c>
      <c r="R817" s="1"/>
      <c r="S817" s="1"/>
      <c r="T817" s="1"/>
    </row>
    <row r="818" spans="1:20">
      <c r="A818" s="1" t="s">
        <v>1564</v>
      </c>
      <c r="B818" s="1" t="str" cm="1">
        <f t="array" ref="B818">IF(A818="","",_xlfn.IFS(COUNTIF($U:$U,A818)&gt;0,"All uploaded",COUNTIF($V:$V,A818)&gt;0,"Partly uploaded",COUNTIF($W:$X,A818)&gt;0,"Not uploaded",TRUE,"Not classified"))</f>
        <v>Partly uploaded</v>
      </c>
      <c r="C818" s="1" t="str" cm="1">
        <f t="array" ref="C818">_xlfn.SWITCH(TRIM(I818),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18" s="1"/>
      <c r="E818" s="1"/>
      <c r="F818" s="1" t="str" cm="1">
        <f t="array" ref="F818">_xlfn.LET(
_xlpm.status,UPPER(TRIM(B818&amp;"")),
_xlpm.risk,UPPER(TRIM(C818&amp;"")),
_xlpm.notify,UPPER(TRIM(D818&amp;"")),
_xlpm.form,UPPER(TRIM(E818&amp;"")),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18" s="1" t="str">
        <f t="shared" si="12"/>
        <v>Required</v>
      </c>
      <c r="H818" s="5"/>
      <c r="I818" s="1" t="s">
        <v>27</v>
      </c>
      <c r="J818" s="1"/>
      <c r="K818" s="1" t="s">
        <v>1557</v>
      </c>
      <c r="L818" s="1" t="s">
        <v>27</v>
      </c>
      <c r="M818" s="1"/>
      <c r="N818" s="1" t="s">
        <v>1565</v>
      </c>
      <c r="O818" s="1" t="s">
        <v>19</v>
      </c>
      <c r="P818" s="1" t="s">
        <v>18</v>
      </c>
      <c r="Q818" s="1" t="s">
        <v>20</v>
      </c>
      <c r="R818" s="1"/>
      <c r="S818" s="1"/>
      <c r="T818" s="1"/>
    </row>
    <row r="819" spans="1:20">
      <c r="A819" s="1" t="s">
        <v>1575</v>
      </c>
      <c r="B819" s="1" t="str" cm="1">
        <f t="array" ref="B819">IF(A819="","",_xlfn.IFS(COUNTIF($U:$U,A819)&gt;0,"All uploaded",COUNTIF($V:$V,A819)&gt;0,"Partly uploaded",COUNTIF($W:$X,A819)&gt;0,"Not uploaded",TRUE,"Not classified"))</f>
        <v>Not uploaded</v>
      </c>
      <c r="C819" s="1" t="str" cm="1">
        <f t="array" ref="C819">_xlfn.SWITCH(TRIM(I819),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19" s="1"/>
      <c r="E819" s="1"/>
      <c r="F819" s="1" t="str" cm="1">
        <f t="array" ref="F819">_xlfn.LET(
_xlpm.status,UPPER(TRIM(B819&amp;"")),
_xlpm.risk,UPPER(TRIM(C819&amp;"")),
_xlpm.notify,UPPER(TRIM(D819&amp;"")),
_xlpm.form,UPPER(TRIM(E819&amp;"")),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19" s="1" t="str">
        <f t="shared" si="12"/>
        <v>Required</v>
      </c>
      <c r="H819" s="5"/>
      <c r="I819" s="1" t="s">
        <v>27</v>
      </c>
      <c r="J819" s="1"/>
      <c r="K819" s="1" t="s">
        <v>1557</v>
      </c>
      <c r="L819" s="1" t="s">
        <v>27</v>
      </c>
      <c r="M819" s="1"/>
      <c r="N819" s="1" t="s">
        <v>1576</v>
      </c>
      <c r="O819" s="1" t="s">
        <v>19</v>
      </c>
      <c r="P819" s="1" t="s">
        <v>18</v>
      </c>
      <c r="Q819" s="1" t="s">
        <v>20</v>
      </c>
      <c r="R819" s="1"/>
      <c r="S819" s="1"/>
      <c r="T819" s="1"/>
    </row>
    <row r="820" spans="1:20">
      <c r="A820" s="1" t="s">
        <v>1577</v>
      </c>
      <c r="B820" s="1" t="str" cm="1">
        <f t="array" ref="B820">IF(A820="","",_xlfn.IFS(COUNTIF($U:$U,A820)&gt;0,"All uploaded",COUNTIF($V:$V,A820)&gt;0,"Partly uploaded",COUNTIF($W:$X,A820)&gt;0,"Not uploaded",TRUE,"Not classified"))</f>
        <v>Partly uploaded</v>
      </c>
      <c r="C820" s="1" t="str" cm="1">
        <f t="array" ref="C820">_xlfn.SWITCH(TRIM(I820),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20" s="1"/>
      <c r="E820" s="1"/>
      <c r="F820" s="1" t="str" cm="1">
        <f t="array" ref="F820">_xlfn.LET(
_xlpm.status,UPPER(TRIM(B820&amp;"")),
_xlpm.risk,UPPER(TRIM(C820&amp;"")),
_xlpm.notify,UPPER(TRIM(D820&amp;"")),
_xlpm.form,UPPER(TRIM(E820&amp;"")),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20" s="1" t="str">
        <f t="shared" si="12"/>
        <v>Required</v>
      </c>
      <c r="H820" s="5"/>
      <c r="I820" s="1" t="s">
        <v>25</v>
      </c>
      <c r="J820" s="1"/>
      <c r="K820" s="1" t="s">
        <v>1557</v>
      </c>
      <c r="L820" s="1" t="s">
        <v>25</v>
      </c>
      <c r="M820" s="1"/>
      <c r="N820" s="1" t="s">
        <v>1578</v>
      </c>
      <c r="O820" s="1" t="s">
        <v>19</v>
      </c>
      <c r="P820" s="1" t="s">
        <v>18</v>
      </c>
      <c r="Q820" s="1" t="s">
        <v>20</v>
      </c>
      <c r="R820" s="1"/>
      <c r="S820" s="1"/>
      <c r="T820" s="1"/>
    </row>
    <row r="821" spans="1:20">
      <c r="A821" s="1" t="s">
        <v>1579</v>
      </c>
      <c r="B821" s="1" t="str" cm="1">
        <f t="array" ref="B821">IF(A821="","",_xlfn.IFS(COUNTIF($U:$U,A821)&gt;0,"All uploaded",COUNTIF($V:$V,A821)&gt;0,"Partly uploaded",COUNTIF($W:$X,A821)&gt;0,"Not uploaded",TRUE,"Not classified"))</f>
        <v>Partly uploaded</v>
      </c>
      <c r="C821" s="1" t="str" cm="1">
        <f t="array" ref="C821">_xlfn.SWITCH(TRIM(I821),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21" s="1"/>
      <c r="E821" s="1"/>
      <c r="F821" s="1" t="str" cm="1">
        <f t="array" ref="F821">_xlfn.LET(
_xlpm.status,UPPER(TRIM(B821&amp;"")),
_xlpm.risk,UPPER(TRIM(C821&amp;"")),
_xlpm.notify,UPPER(TRIM(D821&amp;"")),
_xlpm.form,UPPER(TRIM(E821&amp;"")),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21" s="1" t="str">
        <f t="shared" si="12"/>
        <v>Required</v>
      </c>
      <c r="H821" s="5"/>
      <c r="I821" s="1" t="s">
        <v>25</v>
      </c>
      <c r="J821" s="1"/>
      <c r="K821" s="1" t="s">
        <v>1557</v>
      </c>
      <c r="L821" s="1" t="s">
        <v>25</v>
      </c>
      <c r="M821" s="1"/>
      <c r="N821" s="1" t="s">
        <v>1580</v>
      </c>
      <c r="O821" s="1" t="s">
        <v>19</v>
      </c>
      <c r="P821" s="1" t="s">
        <v>18</v>
      </c>
      <c r="Q821" s="1" t="s">
        <v>20</v>
      </c>
      <c r="R821" s="1"/>
      <c r="S821" s="1"/>
      <c r="T821" s="1"/>
    </row>
    <row r="822" spans="1:20">
      <c r="A822" s="1" t="s">
        <v>1587</v>
      </c>
      <c r="B822" s="1" t="str" cm="1">
        <f t="array" ref="B822">IF(A822="","",_xlfn.IFS(COUNTIF($U:$U,A822)&gt;0,"All uploaded",COUNTIF($V:$V,A822)&gt;0,"Partly uploaded",COUNTIF($W:$X,A822)&gt;0,"Not uploaded",TRUE,"Not classified"))</f>
        <v>Not uploaded</v>
      </c>
      <c r="C822" s="1" t="str" cm="1">
        <f t="array" ref="C822">_xlfn.SWITCH(TRIM(I822),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22" s="1"/>
      <c r="E822" s="1"/>
      <c r="F822" s="1" t="str" cm="1">
        <f t="array" ref="F822">_xlfn.LET(
_xlpm.status,UPPER(TRIM(B822&amp;"")),
_xlpm.risk,UPPER(TRIM(C822&amp;"")),
_xlpm.notify,UPPER(TRIM(D822&amp;"")),
_xlpm.form,UPPER(TRIM(E822&amp;"")),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22" s="1" t="str">
        <f t="shared" si="12"/>
        <v>Required</v>
      </c>
      <c r="H822" s="5"/>
      <c r="I822" s="1" t="s">
        <v>27</v>
      </c>
      <c r="J822" s="1"/>
      <c r="K822" s="1" t="s">
        <v>1557</v>
      </c>
      <c r="L822" s="1" t="s">
        <v>27</v>
      </c>
      <c r="M822" s="1"/>
      <c r="N822" s="1" t="s">
        <v>1588</v>
      </c>
      <c r="O822" s="1" t="s">
        <v>19</v>
      </c>
      <c r="P822" s="1" t="s">
        <v>18</v>
      </c>
      <c r="Q822" s="1" t="s">
        <v>20</v>
      </c>
      <c r="R822" s="1"/>
      <c r="S822" s="1"/>
      <c r="T822" s="1"/>
    </row>
    <row r="823" spans="1:20">
      <c r="A823" s="1" t="s">
        <v>1570</v>
      </c>
      <c r="B823" s="1" t="str" cm="1">
        <f t="array" ref="B823">IF(A823="","",_xlfn.IFS(COUNTIF($U:$U,A823)&gt;0,"All uploaded",COUNTIF($V:$V,A823)&gt;0,"Partly uploaded",COUNTIF($W:$X,A823)&gt;0,"Not uploaded",TRUE,"Not classified"))</f>
        <v>Partly uploaded</v>
      </c>
      <c r="C823" s="1" t="str" cm="1">
        <f t="array" ref="C823">_xlfn.SWITCH(TRIM(I823),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23" s="1"/>
      <c r="E823" s="1"/>
      <c r="F823" s="1" t="str" cm="1">
        <f t="array" ref="F823">_xlfn.LET(
_xlpm.status,UPPER(TRIM(B823&amp;"")),
_xlpm.risk,UPPER(TRIM(C823&amp;"")),
_xlpm.notify,UPPER(TRIM(D823&amp;"")),
_xlpm.form,UPPER(TRIM(E823&amp;"")),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23" s="1" t="str">
        <f t="shared" si="12"/>
        <v>Required</v>
      </c>
      <c r="H823" s="5"/>
      <c r="I823" s="1" t="s">
        <v>25</v>
      </c>
      <c r="J823" s="1"/>
      <c r="K823" s="1" t="s">
        <v>1557</v>
      </c>
      <c r="L823" s="1" t="s">
        <v>25</v>
      </c>
      <c r="M823" s="1"/>
      <c r="N823" s="1" t="s">
        <v>1571</v>
      </c>
      <c r="O823" s="1" t="s">
        <v>19</v>
      </c>
      <c r="P823" s="1" t="s">
        <v>18</v>
      </c>
      <c r="Q823" s="1" t="s">
        <v>20</v>
      </c>
      <c r="R823" s="1"/>
      <c r="S823" s="1"/>
      <c r="T823" s="1"/>
    </row>
    <row r="824" spans="1:20">
      <c r="A824" s="1" t="s">
        <v>1590</v>
      </c>
      <c r="B824" s="1" t="str" cm="1">
        <f t="array" ref="B824">IF(A824="","",_xlfn.IFS(COUNTIF($U:$U,A824)&gt;0,"All uploaded",COUNTIF($V:$V,A824)&gt;0,"Partly uploaded",COUNTIF($W:$X,A824)&gt;0,"Not uploaded",TRUE,"Not classified"))</f>
        <v>Partly uploaded</v>
      </c>
      <c r="C824" s="1" t="str" cm="1">
        <f t="array" ref="C824">_xlfn.SWITCH(TRIM(I824),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24" s="1"/>
      <c r="E824" s="1"/>
      <c r="F824" s="1" t="str" cm="1">
        <f t="array" ref="F824">_xlfn.LET(
_xlpm.status,UPPER(TRIM(B824&amp;"")),
_xlpm.risk,UPPER(TRIM(C824&amp;"")),
_xlpm.notify,UPPER(TRIM(D824&amp;"")),
_xlpm.form,UPPER(TRIM(E824&amp;"")),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24" s="1" t="str">
        <f t="shared" si="12"/>
        <v>Required</v>
      </c>
      <c r="H824" s="5"/>
      <c r="I824" s="1" t="s">
        <v>10</v>
      </c>
      <c r="J824" s="1"/>
      <c r="K824" s="1" t="s">
        <v>1589</v>
      </c>
      <c r="L824" s="1" t="s">
        <v>10</v>
      </c>
      <c r="M824" s="1"/>
      <c r="N824" s="1" t="s">
        <v>51</v>
      </c>
      <c r="O824" s="1" t="s">
        <v>19</v>
      </c>
      <c r="P824" s="1" t="s">
        <v>18</v>
      </c>
      <c r="Q824" s="1" t="s">
        <v>20</v>
      </c>
      <c r="R824" s="1"/>
      <c r="S824" s="1"/>
      <c r="T824" s="1"/>
    </row>
    <row r="825" spans="1:20">
      <c r="A825" s="1" t="s">
        <v>1602</v>
      </c>
      <c r="B825" s="1" t="str" cm="1">
        <f t="array" ref="B825">IF(A825="","",_xlfn.IFS(COUNTIF($U:$U,A825)&gt;0,"All uploaded",COUNTIF($V:$V,A825)&gt;0,"Partly uploaded",COUNTIF($W:$X,A825)&gt;0,"Not uploaded",TRUE,"Not classified"))</f>
        <v>Not uploaded</v>
      </c>
      <c r="C825" s="1" t="str" cm="1">
        <f t="array" ref="C825">_xlfn.SWITCH(TRIM(I825),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25" s="1"/>
      <c r="E825" s="1"/>
      <c r="F825" s="1" t="str" cm="1">
        <f t="array" ref="F825">_xlfn.LET(
_xlpm.status,UPPER(TRIM(B825&amp;"")),
_xlpm.risk,UPPER(TRIM(C825&amp;"")),
_xlpm.notify,UPPER(TRIM(D825&amp;"")),
_xlpm.form,UPPER(TRIM(E825&amp;"")),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25" s="1" t="str">
        <f t="shared" si="12"/>
        <v>NA</v>
      </c>
      <c r="H825" s="5"/>
      <c r="I825" s="1" t="s">
        <v>23</v>
      </c>
      <c r="J825" s="1"/>
      <c r="K825" s="1" t="s">
        <v>1601</v>
      </c>
      <c r="L825" s="1" t="s">
        <v>23</v>
      </c>
      <c r="M825" s="1"/>
      <c r="N825" s="1" t="s">
        <v>67</v>
      </c>
      <c r="O825" s="1" t="s">
        <v>19</v>
      </c>
      <c r="P825" s="1" t="s">
        <v>18</v>
      </c>
      <c r="Q825" s="1" t="s">
        <v>20</v>
      </c>
      <c r="R825" s="1"/>
      <c r="S825" s="1"/>
      <c r="T825" s="1"/>
    </row>
    <row r="826" spans="1:20">
      <c r="A826" s="1" t="s">
        <v>1604</v>
      </c>
      <c r="B826" s="1" t="str" cm="1">
        <f t="array" ref="B826">IF(A826="","",_xlfn.IFS(COUNTIF($U:$U,A826)&gt;0,"All uploaded",COUNTIF($V:$V,A826)&gt;0,"Partly uploaded",COUNTIF($W:$X,A826)&gt;0,"Not uploaded",TRUE,"Not classified"))</f>
        <v>Not uploaded</v>
      </c>
      <c r="C826" s="1" t="str" cm="1">
        <f t="array" ref="C826">_xlfn.SWITCH(TRIM(I826),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26" s="1"/>
      <c r="E826" s="1"/>
      <c r="F826" s="1" t="str" cm="1">
        <f t="array" ref="F826">_xlfn.LET(
_xlpm.status,UPPER(TRIM(B826&amp;"")),
_xlpm.risk,UPPER(TRIM(C826&amp;"")),
_xlpm.notify,UPPER(TRIM(D826&amp;"")),
_xlpm.form,UPPER(TRIM(E826&amp;"")),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26" s="1" t="str">
        <f t="shared" si="12"/>
        <v>NA</v>
      </c>
      <c r="H826" s="5"/>
      <c r="I826" s="1" t="s">
        <v>22</v>
      </c>
      <c r="J826" s="1"/>
      <c r="K826" s="1" t="s">
        <v>1603</v>
      </c>
      <c r="L826" s="1" t="s">
        <v>22</v>
      </c>
      <c r="M826" s="1"/>
      <c r="N826" s="1" t="s">
        <v>1605</v>
      </c>
      <c r="O826" s="1" t="s">
        <v>19</v>
      </c>
      <c r="P826" s="1" t="s">
        <v>18</v>
      </c>
      <c r="Q826" s="1" t="s">
        <v>20</v>
      </c>
      <c r="R826" s="1"/>
      <c r="S826" s="1"/>
      <c r="T826" s="1"/>
    </row>
    <row r="827" spans="1:20">
      <c r="A827" s="1" t="s">
        <v>1606</v>
      </c>
      <c r="B827" s="1" t="str" cm="1">
        <f t="array" ref="B827">IF(A827="","",_xlfn.IFS(COUNTIF($U:$U,A827)&gt;0,"All uploaded",COUNTIF($V:$V,A827)&gt;0,"Partly uploaded",COUNTIF($W:$X,A827)&gt;0,"Not uploaded",TRUE,"Not classified"))</f>
        <v>Not uploaded</v>
      </c>
      <c r="C827" s="1" t="str" cm="1">
        <f t="array" ref="C827">_xlfn.SWITCH(TRIM(I827),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27" s="1"/>
      <c r="E827" s="1"/>
      <c r="F827" s="1" t="str" cm="1">
        <f t="array" ref="F827">_xlfn.LET(
_xlpm.status,UPPER(TRIM(B827&amp;"")),
_xlpm.risk,UPPER(TRIM(C827&amp;"")),
_xlpm.notify,UPPER(TRIM(D827&amp;"")),
_xlpm.form,UPPER(TRIM(E827&amp;"")),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27" s="1" t="str">
        <f t="shared" si="12"/>
        <v>NA</v>
      </c>
      <c r="H827" s="5"/>
      <c r="I827" s="1" t="s">
        <v>22</v>
      </c>
      <c r="J827" s="1"/>
      <c r="K827" s="1" t="s">
        <v>1603</v>
      </c>
      <c r="L827" s="1" t="s">
        <v>22</v>
      </c>
      <c r="M827" s="1"/>
      <c r="N827" s="1" t="s">
        <v>1607</v>
      </c>
      <c r="O827" s="1" t="s">
        <v>19</v>
      </c>
      <c r="P827" s="1" t="s">
        <v>18</v>
      </c>
      <c r="Q827" s="1" t="s">
        <v>20</v>
      </c>
      <c r="R827" s="1"/>
      <c r="S827" s="1"/>
      <c r="T827" s="1"/>
    </row>
    <row r="828" spans="1:20">
      <c r="A828" s="1" t="s">
        <v>1609</v>
      </c>
      <c r="B828" s="1" t="str" cm="1">
        <f t="array" ref="B828">IF(A828="","",_xlfn.IFS(COUNTIF($U:$U,A828)&gt;0,"All uploaded",COUNTIF($V:$V,A828)&gt;0,"Partly uploaded",COUNTIF($W:$X,A828)&gt;0,"Not uploaded",TRUE,"Not classified"))</f>
        <v>Partly uploaded</v>
      </c>
      <c r="C828" s="1" t="str" cm="1">
        <f t="array" ref="C828">_xlfn.SWITCH(TRIM(I828),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28" s="1"/>
      <c r="E828" s="1"/>
      <c r="F828" s="1" t="str" cm="1">
        <f t="array" ref="F828">_xlfn.LET(
_xlpm.status,UPPER(TRIM(B828&amp;"")),
_xlpm.risk,UPPER(TRIM(C828&amp;"")),
_xlpm.notify,UPPER(TRIM(D828&amp;"")),
_xlpm.form,UPPER(TRIM(E828&amp;"")),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28" s="1" t="str">
        <f t="shared" si="12"/>
        <v>NA</v>
      </c>
      <c r="H828" s="5"/>
      <c r="I828" s="1" t="s">
        <v>22</v>
      </c>
      <c r="J828" s="1"/>
      <c r="K828" s="1" t="s">
        <v>1608</v>
      </c>
      <c r="L828" s="1" t="s">
        <v>22</v>
      </c>
      <c r="M828" s="1"/>
      <c r="N828" s="1" t="s">
        <v>1610</v>
      </c>
      <c r="O828" s="1" t="s">
        <v>19</v>
      </c>
      <c r="P828" s="1" t="s">
        <v>18</v>
      </c>
      <c r="Q828" s="1" t="s">
        <v>20</v>
      </c>
      <c r="R828" s="1"/>
      <c r="S828" s="1"/>
      <c r="T828" s="1"/>
    </row>
    <row r="829" spans="1:20">
      <c r="A829" s="1" t="s">
        <v>1615</v>
      </c>
      <c r="B829" s="1" t="str" cm="1">
        <f t="array" ref="B829">IF(A829="","",_xlfn.IFS(COUNTIF($U:$U,A829)&gt;0,"All uploaded",COUNTIF($V:$V,A829)&gt;0,"Partly uploaded",COUNTIF($W:$X,A829)&gt;0,"Not uploaded",TRUE,"Not classified"))</f>
        <v>Partly uploaded</v>
      </c>
      <c r="C829" s="1" t="str" cm="1">
        <f t="array" ref="C829">_xlfn.SWITCH(TRIM(I829),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29" s="1"/>
      <c r="E829" s="1"/>
      <c r="F829" s="1" t="str" cm="1">
        <f t="array" ref="F829">_xlfn.LET(
_xlpm.status,UPPER(TRIM(B829&amp;"")),
_xlpm.risk,UPPER(TRIM(C829&amp;"")),
_xlpm.notify,UPPER(TRIM(D829&amp;"")),
_xlpm.form,UPPER(TRIM(E829&amp;"")),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29" s="1" t="str">
        <f t="shared" si="12"/>
        <v>Required</v>
      </c>
      <c r="H829" s="5"/>
      <c r="I829" s="1" t="s">
        <v>25</v>
      </c>
      <c r="J829" s="1"/>
      <c r="K829" s="1" t="s">
        <v>1608</v>
      </c>
      <c r="L829" s="1" t="s">
        <v>25</v>
      </c>
      <c r="M829" s="1"/>
      <c r="N829" s="1" t="s">
        <v>1616</v>
      </c>
      <c r="O829" s="1" t="s">
        <v>19</v>
      </c>
      <c r="P829" s="1" t="s">
        <v>18</v>
      </c>
      <c r="Q829" s="1" t="s">
        <v>20</v>
      </c>
      <c r="R829" s="1"/>
      <c r="S829" s="1"/>
      <c r="T829" s="1"/>
    </row>
    <row r="830" spans="1:20">
      <c r="A830" s="1" t="s">
        <v>1621</v>
      </c>
      <c r="B830" s="1" t="str" cm="1">
        <f t="array" ref="B830">IF(A830="","",_xlfn.IFS(COUNTIF($U:$U,A830)&gt;0,"All uploaded",COUNTIF($V:$V,A830)&gt;0,"Partly uploaded",COUNTIF($W:$X,A830)&gt;0,"Not uploaded",TRUE,"Not classified"))</f>
        <v>Partly uploaded</v>
      </c>
      <c r="C830" s="1" t="str" cm="1">
        <f t="array" ref="C830">_xlfn.SWITCH(TRIM(I830),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30" s="1"/>
      <c r="E830" s="1"/>
      <c r="F830" s="1" t="str" cm="1">
        <f t="array" ref="F830">_xlfn.LET(
_xlpm.status,UPPER(TRIM(B830&amp;"")),
_xlpm.risk,UPPER(TRIM(C830&amp;"")),
_xlpm.notify,UPPER(TRIM(D830&amp;"")),
_xlpm.form,UPPER(TRIM(E830&amp;"")),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30" s="1" t="str">
        <f t="shared" si="12"/>
        <v>NA</v>
      </c>
      <c r="H830" s="5"/>
      <c r="I830" s="1" t="s">
        <v>22</v>
      </c>
      <c r="J830" s="1"/>
      <c r="K830" s="1" t="s">
        <v>1620</v>
      </c>
      <c r="L830" s="1" t="s">
        <v>22</v>
      </c>
      <c r="M830" s="1"/>
      <c r="N830" s="1" t="s">
        <v>51</v>
      </c>
      <c r="O830" s="1" t="s">
        <v>19</v>
      </c>
      <c r="P830" s="1" t="s">
        <v>18</v>
      </c>
      <c r="Q830" s="1" t="s">
        <v>20</v>
      </c>
      <c r="R830" s="1"/>
      <c r="S830" s="1"/>
      <c r="T830" s="1"/>
    </row>
    <row r="831" spans="1:20">
      <c r="A831" s="1" t="s">
        <v>1634</v>
      </c>
      <c r="B831" s="1" t="str" cm="1">
        <f t="array" ref="B831">IF(A831="","",_xlfn.IFS(COUNTIF($U:$U,A831)&gt;0,"All uploaded",COUNTIF($V:$V,A831)&gt;0,"Partly uploaded",COUNTIF($W:$X,A831)&gt;0,"Not uploaded",TRUE,"Not classified"))</f>
        <v>Partly uploaded</v>
      </c>
      <c r="C831" s="1" t="str" cm="1">
        <f t="array" ref="C831">_xlfn.SWITCH(TRIM(I831),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31" s="1"/>
      <c r="E831" s="1"/>
      <c r="F831" s="1" t="str" cm="1">
        <f t="array" ref="F831">_xlfn.LET(
_xlpm.status,UPPER(TRIM(B831&amp;"")),
_xlpm.risk,UPPER(TRIM(C831&amp;"")),
_xlpm.notify,UPPER(TRIM(D831&amp;"")),
_xlpm.form,UPPER(TRIM(E831&amp;"")),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31" s="1" t="str">
        <f t="shared" si="12"/>
        <v>Required</v>
      </c>
      <c r="H831" s="5"/>
      <c r="I831" s="1" t="s">
        <v>10</v>
      </c>
      <c r="J831" s="1"/>
      <c r="K831" s="1" t="s">
        <v>1620</v>
      </c>
      <c r="L831" s="1" t="s">
        <v>10</v>
      </c>
      <c r="M831" s="1"/>
      <c r="N831" s="1" t="s">
        <v>1635</v>
      </c>
      <c r="O831" s="1" t="s">
        <v>19</v>
      </c>
      <c r="P831" s="1" t="s">
        <v>18</v>
      </c>
      <c r="Q831" s="1" t="s">
        <v>20</v>
      </c>
      <c r="R831" s="1"/>
      <c r="S831" s="1"/>
      <c r="T831" s="1"/>
    </row>
    <row r="832" spans="1:20">
      <c r="A832" s="1" t="s">
        <v>1646</v>
      </c>
      <c r="B832" s="1" t="str" cm="1">
        <f t="array" ref="B832">IF(A832="","",_xlfn.IFS(COUNTIF($U:$U,A832)&gt;0,"All uploaded",COUNTIF($V:$V,A832)&gt;0,"Partly uploaded",COUNTIF($W:$X,A832)&gt;0,"Not uploaded",TRUE,"Not classified"))</f>
        <v>Partly uploaded</v>
      </c>
      <c r="C832" s="1" t="str" cm="1">
        <f t="array" ref="C832">_xlfn.SWITCH(TRIM(I832),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32" s="1"/>
      <c r="E832" s="1"/>
      <c r="F832" s="1" t="str" cm="1">
        <f t="array" ref="F832">_xlfn.LET(
_xlpm.status,UPPER(TRIM(B832&amp;"")),
_xlpm.risk,UPPER(TRIM(C832&amp;"")),
_xlpm.notify,UPPER(TRIM(D832&amp;"")),
_xlpm.form,UPPER(TRIM(E832&amp;"")),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32" s="1" t="str">
        <f t="shared" si="12"/>
        <v>Required</v>
      </c>
      <c r="H832" s="5"/>
      <c r="I832" s="1" t="s">
        <v>10</v>
      </c>
      <c r="J832" s="1"/>
      <c r="K832" s="1" t="s">
        <v>1645</v>
      </c>
      <c r="L832" s="1" t="s">
        <v>10</v>
      </c>
      <c r="M832" s="1"/>
      <c r="N832" s="1" t="s">
        <v>1213</v>
      </c>
      <c r="O832" s="1" t="s">
        <v>19</v>
      </c>
      <c r="P832" s="1" t="s">
        <v>18</v>
      </c>
      <c r="Q832" s="1" t="s">
        <v>20</v>
      </c>
      <c r="R832" s="1"/>
      <c r="S832" s="1"/>
      <c r="T832" s="1"/>
    </row>
    <row r="833" spans="1:20">
      <c r="A833" s="1" t="s">
        <v>1651</v>
      </c>
      <c r="B833" s="1" t="str" cm="1">
        <f t="array" ref="B833">IF(A833="","",_xlfn.IFS(COUNTIF($U:$U,A833)&gt;0,"All uploaded",COUNTIF($V:$V,A833)&gt;0,"Partly uploaded",COUNTIF($W:$X,A833)&gt;0,"Not uploaded",TRUE,"Not classified"))</f>
        <v>Partly uploaded</v>
      </c>
      <c r="C833" s="1" t="str" cm="1">
        <f t="array" ref="C833">_xlfn.SWITCH(TRIM(I833),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33" s="1"/>
      <c r="E833" s="1"/>
      <c r="F833" s="1" t="str" cm="1">
        <f t="array" ref="F833">_xlfn.LET(
_xlpm.status,UPPER(TRIM(B833&amp;"")),
_xlpm.risk,UPPER(TRIM(C833&amp;"")),
_xlpm.notify,UPPER(TRIM(D833&amp;"")),
_xlpm.form,UPPER(TRIM(E833&amp;"")),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33" s="1" t="str">
        <f t="shared" ref="G833:G896" si="13">IF(AND(UPPER(TRIM(C833&amp;""))="MAJOR",OR(TRIM(D833&amp;"")="",UPPER(TRIM(E833&amp;""))="REJECT")),"Required","NA")</f>
        <v>Required</v>
      </c>
      <c r="H833" s="5"/>
      <c r="I833" s="1" t="s">
        <v>27</v>
      </c>
      <c r="J833" s="1"/>
      <c r="K833" s="1" t="s">
        <v>1645</v>
      </c>
      <c r="L833" s="1" t="s">
        <v>27</v>
      </c>
      <c r="M833" s="1"/>
      <c r="N833" s="1" t="s">
        <v>1255</v>
      </c>
      <c r="O833" s="1" t="s">
        <v>19</v>
      </c>
      <c r="P833" s="1" t="s">
        <v>18</v>
      </c>
      <c r="Q833" s="1" t="s">
        <v>20</v>
      </c>
      <c r="R833" s="1"/>
      <c r="S833" s="1"/>
      <c r="T833" s="1"/>
    </row>
    <row r="834" spans="1:20">
      <c r="A834" s="1" t="s">
        <v>1652</v>
      </c>
      <c r="B834" s="1" t="str" cm="1">
        <f t="array" ref="B834">IF(A834="","",_xlfn.IFS(COUNTIF($U:$U,A834)&gt;0,"All uploaded",COUNTIF($V:$V,A834)&gt;0,"Partly uploaded",COUNTIF($W:$X,A834)&gt;0,"Not uploaded",TRUE,"Not classified"))</f>
        <v>Partly uploaded</v>
      </c>
      <c r="C834" s="1" t="str" cm="1">
        <f t="array" ref="C834">_xlfn.SWITCH(TRIM(I834),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34" s="1"/>
      <c r="E834" s="1"/>
      <c r="F834" s="1" t="str" cm="1">
        <f t="array" ref="F834">_xlfn.LET(
_xlpm.status,UPPER(TRIM(B834&amp;"")),
_xlpm.risk,UPPER(TRIM(C834&amp;"")),
_xlpm.notify,UPPER(TRIM(D834&amp;"")),
_xlpm.form,UPPER(TRIM(E834&amp;"")),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34" s="1" t="str">
        <f t="shared" si="13"/>
        <v>Required</v>
      </c>
      <c r="H834" s="5"/>
      <c r="I834" s="1" t="s">
        <v>27</v>
      </c>
      <c r="J834" s="1"/>
      <c r="K834" s="1" t="s">
        <v>1645</v>
      </c>
      <c r="L834" s="1" t="s">
        <v>27</v>
      </c>
      <c r="M834" s="1"/>
      <c r="N834" s="1" t="s">
        <v>1282</v>
      </c>
      <c r="O834" s="1" t="s">
        <v>19</v>
      </c>
      <c r="P834" s="1" t="s">
        <v>18</v>
      </c>
      <c r="Q834" s="1" t="s">
        <v>20</v>
      </c>
      <c r="R834" s="1"/>
      <c r="S834" s="1"/>
      <c r="T834" s="1"/>
    </row>
    <row r="835" spans="1:20">
      <c r="A835" s="1" t="s">
        <v>1653</v>
      </c>
      <c r="B835" s="1" t="str" cm="1">
        <f t="array" ref="B835">IF(A835="","",_xlfn.IFS(COUNTIF($U:$U,A835)&gt;0,"All uploaded",COUNTIF($V:$V,A835)&gt;0,"Partly uploaded",COUNTIF($W:$X,A835)&gt;0,"Not uploaded",TRUE,"Not classified"))</f>
        <v>Partly uploaded</v>
      </c>
      <c r="C835" s="1" t="str" cm="1">
        <f t="array" ref="C835">_xlfn.SWITCH(TRIM(I835),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35" s="1"/>
      <c r="E835" s="1"/>
      <c r="F835" s="1" t="str" cm="1">
        <f t="array" ref="F835">_xlfn.LET(
_xlpm.status,UPPER(TRIM(B835&amp;"")),
_xlpm.risk,UPPER(TRIM(C835&amp;"")),
_xlpm.notify,UPPER(TRIM(D835&amp;"")),
_xlpm.form,UPPER(TRIM(E835&amp;"")),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35" s="1" t="str">
        <f t="shared" si="13"/>
        <v>Required</v>
      </c>
      <c r="H835" s="5"/>
      <c r="I835" s="1" t="s">
        <v>25</v>
      </c>
      <c r="J835" s="1"/>
      <c r="K835" s="1" t="s">
        <v>1645</v>
      </c>
      <c r="L835" s="1" t="s">
        <v>25</v>
      </c>
      <c r="M835" s="1"/>
      <c r="N835" s="1" t="s">
        <v>1333</v>
      </c>
      <c r="O835" s="1" t="s">
        <v>19</v>
      </c>
      <c r="P835" s="1" t="s">
        <v>18</v>
      </c>
      <c r="Q835" s="1" t="s">
        <v>20</v>
      </c>
      <c r="R835" s="1"/>
      <c r="S835" s="1"/>
      <c r="T835" s="1"/>
    </row>
    <row r="836" spans="1:20">
      <c r="A836" s="1" t="s">
        <v>1666</v>
      </c>
      <c r="B836" s="1" t="str" cm="1">
        <f t="array" ref="B836">IF(A836="","",_xlfn.IFS(COUNTIF($U:$U,A836)&gt;0,"All uploaded",COUNTIF($V:$V,A836)&gt;0,"Partly uploaded",COUNTIF($W:$X,A836)&gt;0,"Not uploaded",TRUE,"Not classified"))</f>
        <v>Partly uploaded</v>
      </c>
      <c r="C836" s="1" t="str" cm="1">
        <f t="array" ref="C836">_xlfn.SWITCH(TRIM(I836),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36" s="1"/>
      <c r="E836" s="1"/>
      <c r="F836" s="1" t="str" cm="1">
        <f t="array" ref="F836">_xlfn.LET(
_xlpm.status,UPPER(TRIM(B836&amp;"")),
_xlpm.risk,UPPER(TRIM(C836&amp;"")),
_xlpm.notify,UPPER(TRIM(D836&amp;"")),
_xlpm.form,UPPER(TRIM(E836&amp;"")),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36" s="1" t="str">
        <f t="shared" si="13"/>
        <v>NA</v>
      </c>
      <c r="H836" s="5"/>
      <c r="I836" s="1" t="s">
        <v>22</v>
      </c>
      <c r="J836" s="1"/>
      <c r="K836" s="1" t="s">
        <v>1665</v>
      </c>
      <c r="L836" s="1" t="s">
        <v>22</v>
      </c>
      <c r="M836" s="1"/>
      <c r="N836" s="1" t="s">
        <v>853</v>
      </c>
      <c r="O836" s="1" t="s">
        <v>19</v>
      </c>
      <c r="P836" s="1" t="s">
        <v>18</v>
      </c>
      <c r="Q836" s="1" t="s">
        <v>20</v>
      </c>
      <c r="R836" s="1"/>
      <c r="S836" s="1"/>
      <c r="T836" s="1"/>
    </row>
    <row r="837" spans="1:20">
      <c r="A837" s="1" t="s">
        <v>1684</v>
      </c>
      <c r="B837" s="1" t="str" cm="1">
        <f t="array" ref="B837">IF(A837="","",_xlfn.IFS(COUNTIF($U:$U,A837)&gt;0,"All uploaded",COUNTIF($V:$V,A837)&gt;0,"Partly uploaded",COUNTIF($W:$X,A837)&gt;0,"Not uploaded",TRUE,"Not classified"))</f>
        <v>Partly uploaded</v>
      </c>
      <c r="C837" s="1" t="str" cm="1">
        <f t="array" ref="C837">_xlfn.SWITCH(TRIM(I837),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37" s="1"/>
      <c r="E837" s="1"/>
      <c r="F837" s="1" t="str" cm="1">
        <f t="array" ref="F837">_xlfn.LET(
_xlpm.status,UPPER(TRIM(B837&amp;"")),
_xlpm.risk,UPPER(TRIM(C837&amp;"")),
_xlpm.notify,UPPER(TRIM(D837&amp;"")),
_xlpm.form,UPPER(TRIM(E837&amp;"")),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37" s="1" t="str">
        <f t="shared" si="13"/>
        <v>NA</v>
      </c>
      <c r="H837" s="5"/>
      <c r="I837" s="1" t="s">
        <v>50</v>
      </c>
      <c r="J837" s="1"/>
      <c r="K837" s="1" t="s">
        <v>1683</v>
      </c>
      <c r="L837" s="1" t="s">
        <v>50</v>
      </c>
      <c r="M837" s="1"/>
      <c r="N837" s="1" t="s">
        <v>51</v>
      </c>
      <c r="O837" s="1" t="s">
        <v>19</v>
      </c>
      <c r="P837" s="1" t="s">
        <v>18</v>
      </c>
      <c r="Q837" s="1" t="s">
        <v>20</v>
      </c>
      <c r="R837" s="1"/>
      <c r="S837" s="1"/>
      <c r="T837" s="1"/>
    </row>
    <row r="838" spans="1:20">
      <c r="A838" s="1" t="s">
        <v>1688</v>
      </c>
      <c r="B838" s="1" t="str" cm="1">
        <f t="array" ref="B838">IF(A838="","",_xlfn.IFS(COUNTIF($U:$U,A838)&gt;0,"All uploaded",COUNTIF($V:$V,A838)&gt;0,"Partly uploaded",COUNTIF($W:$X,A838)&gt;0,"Not uploaded",TRUE,"Not classified"))</f>
        <v>Partly uploaded</v>
      </c>
      <c r="C838" s="1" t="str" cm="1">
        <f t="array" ref="C838">_xlfn.SWITCH(TRIM(I838),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38" s="1"/>
      <c r="E838" s="1"/>
      <c r="F838" s="1" t="str" cm="1">
        <f t="array" ref="F838">_xlfn.LET(
_xlpm.status,UPPER(TRIM(B838&amp;"")),
_xlpm.risk,UPPER(TRIM(C838&amp;"")),
_xlpm.notify,UPPER(TRIM(D838&amp;"")),
_xlpm.form,UPPER(TRIM(E838&amp;"")),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38" s="1" t="str">
        <f t="shared" si="13"/>
        <v>NA</v>
      </c>
      <c r="H838" s="5"/>
      <c r="I838" s="1" t="s">
        <v>35</v>
      </c>
      <c r="J838" s="1"/>
      <c r="K838" s="1" t="s">
        <v>1683</v>
      </c>
      <c r="L838" s="1" t="s">
        <v>35</v>
      </c>
      <c r="M838" s="1"/>
      <c r="N838" s="1" t="s">
        <v>36</v>
      </c>
      <c r="O838" s="1" t="s">
        <v>19</v>
      </c>
      <c r="P838" s="1" t="s">
        <v>18</v>
      </c>
      <c r="Q838" s="1" t="s">
        <v>20</v>
      </c>
      <c r="R838" s="1"/>
      <c r="S838" s="1"/>
      <c r="T838" s="1"/>
    </row>
    <row r="839" spans="1:20">
      <c r="A839" s="1" t="s">
        <v>1689</v>
      </c>
      <c r="B839" s="1" t="str" cm="1">
        <f t="array" ref="B839">IF(A839="","",_xlfn.IFS(COUNTIF($U:$U,A839)&gt;0,"All uploaded",COUNTIF($V:$V,A839)&gt;0,"Partly uploaded",COUNTIF($W:$X,A839)&gt;0,"Not uploaded",TRUE,"Not classified"))</f>
        <v>Not uploaded</v>
      </c>
      <c r="C839" s="1" t="str" cm="1">
        <f t="array" ref="C839">_xlfn.SWITCH(TRIM(I839),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39" s="1"/>
      <c r="E839" s="1"/>
      <c r="F839" s="1" t="str" cm="1">
        <f t="array" ref="F839">_xlfn.LET(
_xlpm.status,UPPER(TRIM(B839&amp;"")),
_xlpm.risk,UPPER(TRIM(C839&amp;"")),
_xlpm.notify,UPPER(TRIM(D839&amp;"")),
_xlpm.form,UPPER(TRIM(E839&amp;"")),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39" s="1" t="str">
        <f t="shared" si="13"/>
        <v>NA</v>
      </c>
      <c r="H839" s="5"/>
      <c r="I839" s="1" t="s">
        <v>22</v>
      </c>
      <c r="J839" s="1"/>
      <c r="K839" s="1" t="s">
        <v>1683</v>
      </c>
      <c r="L839" s="1" t="s">
        <v>22</v>
      </c>
      <c r="M839" s="1"/>
      <c r="N839" s="1" t="s">
        <v>1690</v>
      </c>
      <c r="O839" s="1" t="s">
        <v>19</v>
      </c>
      <c r="P839" s="1" t="s">
        <v>18</v>
      </c>
      <c r="Q839" s="1" t="s">
        <v>20</v>
      </c>
      <c r="R839" s="1"/>
      <c r="S839" s="1"/>
      <c r="T839" s="1"/>
    </row>
    <row r="840" spans="1:20">
      <c r="A840" s="1" t="s">
        <v>1694</v>
      </c>
      <c r="B840" s="1" t="str" cm="1">
        <f t="array" ref="B840">IF(A840="","",_xlfn.IFS(COUNTIF($U:$U,A840)&gt;0,"All uploaded",COUNTIF($V:$V,A840)&gt;0,"Partly uploaded",COUNTIF($W:$X,A840)&gt;0,"Not uploaded",TRUE,"Not classified"))</f>
        <v>Not uploaded</v>
      </c>
      <c r="C840" s="1" t="str" cm="1">
        <f t="array" ref="C840">_xlfn.SWITCH(TRIM(I840),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40" s="1"/>
      <c r="E840" s="1"/>
      <c r="F840" s="1" t="str" cm="1">
        <f t="array" ref="F840">_xlfn.LET(
_xlpm.status,UPPER(TRIM(B840&amp;"")),
_xlpm.risk,UPPER(TRIM(C840&amp;"")),
_xlpm.notify,UPPER(TRIM(D840&amp;"")),
_xlpm.form,UPPER(TRIM(E840&amp;"")),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40" s="1" t="str">
        <f t="shared" si="13"/>
        <v>NA</v>
      </c>
      <c r="H840" s="5"/>
      <c r="I840" s="1" t="s">
        <v>22</v>
      </c>
      <c r="J840" s="1"/>
      <c r="K840" s="1" t="s">
        <v>1683</v>
      </c>
      <c r="L840" s="1" t="s">
        <v>22</v>
      </c>
      <c r="M840" s="1"/>
      <c r="N840" s="1" t="s">
        <v>1695</v>
      </c>
      <c r="O840" s="1" t="s">
        <v>19</v>
      </c>
      <c r="P840" s="1" t="s">
        <v>18</v>
      </c>
      <c r="Q840" s="1" t="s">
        <v>20</v>
      </c>
      <c r="R840" s="1"/>
      <c r="S840" s="1"/>
      <c r="T840" s="1"/>
    </row>
    <row r="841" spans="1:20">
      <c r="A841" s="1" t="s">
        <v>1697</v>
      </c>
      <c r="B841" s="1" t="str" cm="1">
        <f t="array" ref="B841">IF(A841="","",_xlfn.IFS(COUNTIF($U:$U,A841)&gt;0,"All uploaded",COUNTIF($V:$V,A841)&gt;0,"Partly uploaded",COUNTIF($W:$X,A841)&gt;0,"Not uploaded",TRUE,"Not classified"))</f>
        <v>Not uploaded</v>
      </c>
      <c r="C841" s="1" t="str" cm="1">
        <f t="array" ref="C841">_xlfn.SWITCH(TRIM(I841),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41" s="1"/>
      <c r="E841" s="1"/>
      <c r="F841" s="1" t="str" cm="1">
        <f t="array" ref="F841">_xlfn.LET(
_xlpm.status,UPPER(TRIM(B841&amp;"")),
_xlpm.risk,UPPER(TRIM(C841&amp;"")),
_xlpm.notify,UPPER(TRIM(D841&amp;"")),
_xlpm.form,UPPER(TRIM(E841&amp;"")),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41" s="1" t="str">
        <f t="shared" si="13"/>
        <v>NA</v>
      </c>
      <c r="H841" s="5"/>
      <c r="I841" s="1" t="s">
        <v>22</v>
      </c>
      <c r="J841" s="1"/>
      <c r="K841" s="1" t="s">
        <v>1696</v>
      </c>
      <c r="L841" s="1" t="s">
        <v>22</v>
      </c>
      <c r="M841" s="1"/>
      <c r="N841" s="1" t="s">
        <v>1698</v>
      </c>
      <c r="O841" s="1" t="s">
        <v>19</v>
      </c>
      <c r="P841" s="1" t="s">
        <v>18</v>
      </c>
      <c r="Q841" s="1" t="s">
        <v>20</v>
      </c>
      <c r="R841" s="1"/>
      <c r="S841" s="1"/>
      <c r="T841" s="1"/>
    </row>
    <row r="842" spans="1:20">
      <c r="A842" s="1" t="s">
        <v>1708</v>
      </c>
      <c r="B842" s="1" t="str" cm="1">
        <f t="array" ref="B842">IF(A842="","",_xlfn.IFS(COUNTIF($U:$U,A842)&gt;0,"All uploaded",COUNTIF($V:$V,A842)&gt;0,"Partly uploaded",COUNTIF($W:$X,A842)&gt;0,"Not uploaded",TRUE,"Not classified"))</f>
        <v>Not uploaded</v>
      </c>
      <c r="C842" s="1" t="str" cm="1">
        <f t="array" ref="C842">_xlfn.SWITCH(TRIM(I842),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42" s="1"/>
      <c r="E842" s="1"/>
      <c r="F842" s="1" t="str" cm="1">
        <f t="array" ref="F842">_xlfn.LET(
_xlpm.status,UPPER(TRIM(B842&amp;"")),
_xlpm.risk,UPPER(TRIM(C842&amp;"")),
_xlpm.notify,UPPER(TRIM(D842&amp;"")),
_xlpm.form,UPPER(TRIM(E842&amp;"")),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42" s="1" t="str">
        <f t="shared" si="13"/>
        <v>NA</v>
      </c>
      <c r="H842" s="5"/>
      <c r="I842" s="1" t="s">
        <v>22</v>
      </c>
      <c r="J842" s="1"/>
      <c r="K842" s="1" t="s">
        <v>1704</v>
      </c>
      <c r="L842" s="1" t="s">
        <v>22</v>
      </c>
      <c r="M842" s="1"/>
      <c r="N842" s="1" t="s">
        <v>1709</v>
      </c>
      <c r="O842" s="1" t="s">
        <v>19</v>
      </c>
      <c r="P842" s="1" t="s">
        <v>18</v>
      </c>
      <c r="Q842" s="1" t="s">
        <v>20</v>
      </c>
      <c r="R842" s="1"/>
      <c r="S842" s="1"/>
      <c r="T842" s="1"/>
    </row>
    <row r="843" spans="1:20">
      <c r="A843" s="1" t="s">
        <v>1711</v>
      </c>
      <c r="B843" s="1" t="str" cm="1">
        <f t="array" ref="B843">IF(A843="","",_xlfn.IFS(COUNTIF($U:$U,A843)&gt;0,"All uploaded",COUNTIF($V:$V,A843)&gt;0,"Partly uploaded",COUNTIF($W:$X,A843)&gt;0,"Not uploaded",TRUE,"Not classified"))</f>
        <v>Partly uploaded</v>
      </c>
      <c r="C843" s="1" t="str" cm="1">
        <f t="array" ref="C843">_xlfn.SWITCH(TRIM(I843),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43" s="1"/>
      <c r="E843" s="1"/>
      <c r="F843" s="1" t="str" cm="1">
        <f t="array" ref="F843">_xlfn.LET(
_xlpm.status,UPPER(TRIM(B843&amp;"")),
_xlpm.risk,UPPER(TRIM(C843&amp;"")),
_xlpm.notify,UPPER(TRIM(D843&amp;"")),
_xlpm.form,UPPER(TRIM(E843&amp;"")),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43" s="1" t="str">
        <f t="shared" si="13"/>
        <v>Required</v>
      </c>
      <c r="H843" s="5"/>
      <c r="I843" s="1" t="s">
        <v>25</v>
      </c>
      <c r="J843" s="1"/>
      <c r="K843" s="1" t="s">
        <v>1710</v>
      </c>
      <c r="L843" s="1" t="s">
        <v>25</v>
      </c>
      <c r="M843" s="1"/>
      <c r="N843" s="1" t="s">
        <v>1712</v>
      </c>
      <c r="O843" s="1" t="s">
        <v>19</v>
      </c>
      <c r="P843" s="1" t="s">
        <v>18</v>
      </c>
      <c r="Q843" s="1" t="s">
        <v>20</v>
      </c>
      <c r="R843" s="1"/>
      <c r="S843" s="1"/>
      <c r="T843" s="1"/>
    </row>
    <row r="844" spans="1:20">
      <c r="A844" s="1" t="s">
        <v>1713</v>
      </c>
      <c r="B844" s="1" t="str" cm="1">
        <f t="array" ref="B844">IF(A844="","",_xlfn.IFS(COUNTIF($U:$U,A844)&gt;0,"All uploaded",COUNTIF($V:$V,A844)&gt;0,"Partly uploaded",COUNTIF($W:$X,A844)&gt;0,"Not uploaded",TRUE,"Not classified"))</f>
        <v>Partly uploaded</v>
      </c>
      <c r="C844" s="1" t="str" cm="1">
        <f t="array" ref="C844">_xlfn.SWITCH(TRIM(I844),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44" s="1"/>
      <c r="E844" s="1"/>
      <c r="F844" s="1" t="str" cm="1">
        <f t="array" ref="F844">_xlfn.LET(
_xlpm.status,UPPER(TRIM(B844&amp;"")),
_xlpm.risk,UPPER(TRIM(C844&amp;"")),
_xlpm.notify,UPPER(TRIM(D844&amp;"")),
_xlpm.form,UPPER(TRIM(E844&amp;"")),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44" s="1" t="str">
        <f t="shared" si="13"/>
        <v>Required</v>
      </c>
      <c r="H844" s="5"/>
      <c r="I844" s="1" t="s">
        <v>27</v>
      </c>
      <c r="J844" s="1"/>
      <c r="K844" s="1" t="s">
        <v>1710</v>
      </c>
      <c r="L844" s="1" t="s">
        <v>27</v>
      </c>
      <c r="M844" s="1"/>
      <c r="N844" s="1" t="s">
        <v>1714</v>
      </c>
      <c r="O844" s="1" t="s">
        <v>19</v>
      </c>
      <c r="P844" s="1" t="s">
        <v>18</v>
      </c>
      <c r="Q844" s="1" t="s">
        <v>20</v>
      </c>
      <c r="R844" s="1"/>
      <c r="S844" s="1"/>
      <c r="T844" s="1"/>
    </row>
    <row r="845" spans="1:20">
      <c r="A845" s="1" t="s">
        <v>1720</v>
      </c>
      <c r="B845" s="1" t="str" cm="1">
        <f t="array" ref="B845">IF(A845="","",_xlfn.IFS(COUNTIF($U:$U,A845)&gt;0,"All uploaded",COUNTIF($V:$V,A845)&gt;0,"Partly uploaded",COUNTIF($W:$X,A845)&gt;0,"Not uploaded",TRUE,"Not classified"))</f>
        <v>Not uploaded</v>
      </c>
      <c r="C845" s="1" t="str" cm="1">
        <f t="array" ref="C845">_xlfn.SWITCH(TRIM(I845),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45" s="1"/>
      <c r="E845" s="1"/>
      <c r="F845" s="1" t="str" cm="1">
        <f t="array" ref="F845">_xlfn.LET(
_xlpm.status,UPPER(TRIM(B845&amp;"")),
_xlpm.risk,UPPER(TRIM(C845&amp;"")),
_xlpm.notify,UPPER(TRIM(D845&amp;"")),
_xlpm.form,UPPER(TRIM(E845&amp;"")),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45" s="1" t="str">
        <f t="shared" si="13"/>
        <v>Required</v>
      </c>
      <c r="H845" s="5"/>
      <c r="I845" s="1" t="s">
        <v>27</v>
      </c>
      <c r="J845" s="1"/>
      <c r="K845" s="1" t="s">
        <v>1710</v>
      </c>
      <c r="L845" s="1" t="s">
        <v>27</v>
      </c>
      <c r="M845" s="1"/>
      <c r="N845" s="1" t="s">
        <v>1721</v>
      </c>
      <c r="O845" s="1" t="s">
        <v>19</v>
      </c>
      <c r="P845" s="1" t="s">
        <v>18</v>
      </c>
      <c r="Q845" s="1" t="s">
        <v>20</v>
      </c>
      <c r="R845" s="1"/>
      <c r="S845" s="1"/>
      <c r="T845" s="1"/>
    </row>
    <row r="846" spans="1:20">
      <c r="A846" s="1" t="s">
        <v>1725</v>
      </c>
      <c r="B846" s="1" t="str" cm="1">
        <f t="array" ref="B846">IF(A846="","",_xlfn.IFS(COUNTIF($U:$U,A846)&gt;0,"All uploaded",COUNTIF($V:$V,A846)&gt;0,"Partly uploaded",COUNTIF($W:$X,A846)&gt;0,"Not uploaded",TRUE,"Not classified"))</f>
        <v>Not uploaded</v>
      </c>
      <c r="C846" s="1" t="str" cm="1">
        <f t="array" ref="C846">_xlfn.SWITCH(TRIM(I846),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46" s="1"/>
      <c r="E846" s="1"/>
      <c r="F846" s="1" t="str" cm="1">
        <f t="array" ref="F846">_xlfn.LET(
_xlpm.status,UPPER(TRIM(B846&amp;"")),
_xlpm.risk,UPPER(TRIM(C846&amp;"")),
_xlpm.notify,UPPER(TRIM(D846&amp;"")),
_xlpm.form,UPPER(TRIM(E846&amp;"")),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46" s="1" t="str">
        <f t="shared" si="13"/>
        <v>Required</v>
      </c>
      <c r="H846" s="5"/>
      <c r="I846" s="1" t="s">
        <v>27</v>
      </c>
      <c r="J846" s="1"/>
      <c r="K846" s="1" t="s">
        <v>1710</v>
      </c>
      <c r="L846" s="1" t="s">
        <v>27</v>
      </c>
      <c r="M846" s="1"/>
      <c r="N846" s="1" t="s">
        <v>1726</v>
      </c>
      <c r="O846" s="1" t="s">
        <v>19</v>
      </c>
      <c r="P846" s="1" t="s">
        <v>18</v>
      </c>
      <c r="Q846" s="1" t="s">
        <v>20</v>
      </c>
      <c r="R846" s="1"/>
      <c r="S846" s="1"/>
      <c r="T846" s="1"/>
    </row>
    <row r="847" spans="1:20">
      <c r="A847" s="1" t="s">
        <v>1727</v>
      </c>
      <c r="B847" s="1" t="str" cm="1">
        <f t="array" ref="B847">IF(A847="","",_xlfn.IFS(COUNTIF($U:$U,A847)&gt;0,"All uploaded",COUNTIF($V:$V,A847)&gt;0,"Partly uploaded",COUNTIF($W:$X,A847)&gt;0,"Not uploaded",TRUE,"Not classified"))</f>
        <v>Not uploaded</v>
      </c>
      <c r="C847" s="1" t="str" cm="1">
        <f t="array" ref="C847">_xlfn.SWITCH(TRIM(I847),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47" s="1"/>
      <c r="E847" s="1"/>
      <c r="F847" s="1" t="str" cm="1">
        <f t="array" ref="F847">_xlfn.LET(
_xlpm.status,UPPER(TRIM(B847&amp;"")),
_xlpm.risk,UPPER(TRIM(C847&amp;"")),
_xlpm.notify,UPPER(TRIM(D847&amp;"")),
_xlpm.form,UPPER(TRIM(E847&amp;"")),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47" s="1" t="str">
        <f t="shared" si="13"/>
        <v>Required</v>
      </c>
      <c r="H847" s="5"/>
      <c r="I847" s="1" t="s">
        <v>27</v>
      </c>
      <c r="J847" s="1"/>
      <c r="K847" s="1" t="s">
        <v>1710</v>
      </c>
      <c r="L847" s="1" t="s">
        <v>27</v>
      </c>
      <c r="M847" s="1"/>
      <c r="N847" s="1" t="s">
        <v>1728</v>
      </c>
      <c r="O847" s="1" t="s">
        <v>19</v>
      </c>
      <c r="P847" s="1" t="s">
        <v>18</v>
      </c>
      <c r="Q847" s="1" t="s">
        <v>20</v>
      </c>
      <c r="R847" s="1"/>
      <c r="S847" s="1"/>
      <c r="T847" s="1"/>
    </row>
    <row r="848" spans="1:20">
      <c r="A848" s="1" t="s">
        <v>1730</v>
      </c>
      <c r="B848" s="1" t="str" cm="1">
        <f t="array" ref="B848">IF(A848="","",_xlfn.IFS(COUNTIF($U:$U,A848)&gt;0,"All uploaded",COUNTIF($V:$V,A848)&gt;0,"Partly uploaded",COUNTIF($W:$X,A848)&gt;0,"Not uploaded",TRUE,"Not classified"))</f>
        <v>Not uploaded</v>
      </c>
      <c r="C848" s="1" t="str" cm="1">
        <f t="array" ref="C848">_xlfn.SWITCH(TRIM(I848),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48" s="1"/>
      <c r="E848" s="1"/>
      <c r="F848" s="1" t="str" cm="1">
        <f t="array" ref="F848">_xlfn.LET(
_xlpm.status,UPPER(TRIM(B848&amp;"")),
_xlpm.risk,UPPER(TRIM(C848&amp;"")),
_xlpm.notify,UPPER(TRIM(D848&amp;"")),
_xlpm.form,UPPER(TRIM(E848&amp;"")),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48" s="1" t="str">
        <f t="shared" si="13"/>
        <v>Required</v>
      </c>
      <c r="H848" s="5"/>
      <c r="I848" s="1" t="s">
        <v>27</v>
      </c>
      <c r="J848" s="1"/>
      <c r="K848" s="1" t="s">
        <v>1729</v>
      </c>
      <c r="L848" s="1" t="s">
        <v>27</v>
      </c>
      <c r="M848" s="1"/>
      <c r="N848" s="1" t="s">
        <v>1559</v>
      </c>
      <c r="O848" s="1" t="s">
        <v>19</v>
      </c>
      <c r="P848" s="1" t="s">
        <v>18</v>
      </c>
      <c r="Q848" s="1" t="s">
        <v>20</v>
      </c>
      <c r="R848" s="1"/>
      <c r="S848" s="1"/>
      <c r="T848" s="1"/>
    </row>
    <row r="849" spans="1:20">
      <c r="A849" s="1" t="s">
        <v>1732</v>
      </c>
      <c r="B849" s="1" t="str" cm="1">
        <f t="array" ref="B849">IF(A849="","",_xlfn.IFS(COUNTIF($U:$U,A849)&gt;0,"All uploaded",COUNTIF($V:$V,A849)&gt;0,"Partly uploaded",COUNTIF($W:$X,A849)&gt;0,"Not uploaded",TRUE,"Not classified"))</f>
        <v>Partly uploaded</v>
      </c>
      <c r="C849" s="1" t="str" cm="1">
        <f t="array" ref="C849">_xlfn.SWITCH(TRIM(I849),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49" s="1"/>
      <c r="E849" s="1"/>
      <c r="F849" s="1" t="str" cm="1">
        <f t="array" ref="F849">_xlfn.LET(
_xlpm.status,UPPER(TRIM(B849&amp;"")),
_xlpm.risk,UPPER(TRIM(C849&amp;"")),
_xlpm.notify,UPPER(TRIM(D849&amp;"")),
_xlpm.form,UPPER(TRIM(E849&amp;"")),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49" s="1" t="str">
        <f t="shared" si="13"/>
        <v>Required</v>
      </c>
      <c r="H849" s="5"/>
      <c r="I849" s="1" t="s">
        <v>10</v>
      </c>
      <c r="J849" s="1"/>
      <c r="K849" s="1" t="s">
        <v>1731</v>
      </c>
      <c r="L849" s="1" t="s">
        <v>10</v>
      </c>
      <c r="M849" s="1"/>
      <c r="N849" s="1" t="s">
        <v>1733</v>
      </c>
      <c r="O849" s="1" t="s">
        <v>19</v>
      </c>
      <c r="P849" s="1" t="s">
        <v>18</v>
      </c>
      <c r="Q849" s="1" t="s">
        <v>20</v>
      </c>
      <c r="R849" s="1"/>
      <c r="S849" s="1"/>
      <c r="T849" s="1"/>
    </row>
    <row r="850" spans="1:20">
      <c r="A850" s="1" t="s">
        <v>1737</v>
      </c>
      <c r="B850" s="1" t="str" cm="1">
        <f t="array" ref="B850">IF(A850="","",_xlfn.IFS(COUNTIF($U:$U,A850)&gt;0,"All uploaded",COUNTIF($V:$V,A850)&gt;0,"Partly uploaded",COUNTIF($W:$X,A850)&gt;0,"Not uploaded",TRUE,"Not classified"))</f>
        <v>Partly uploaded</v>
      </c>
      <c r="C850" s="1" t="str" cm="1">
        <f t="array" ref="C850">_xlfn.SWITCH(TRIM(I850),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50" s="1"/>
      <c r="E850" s="1"/>
      <c r="F850" s="1" t="str" cm="1">
        <f t="array" ref="F850">_xlfn.LET(
_xlpm.status,UPPER(TRIM(B850&amp;"")),
_xlpm.risk,UPPER(TRIM(C850&amp;"")),
_xlpm.notify,UPPER(TRIM(D850&amp;"")),
_xlpm.form,UPPER(TRIM(E850&amp;"")),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50" s="1" t="str">
        <f t="shared" si="13"/>
        <v>NA</v>
      </c>
      <c r="H850" s="5"/>
      <c r="I850" s="1" t="s">
        <v>23</v>
      </c>
      <c r="J850" s="1"/>
      <c r="K850" s="1" t="s">
        <v>1731</v>
      </c>
      <c r="L850" s="1" t="s">
        <v>23</v>
      </c>
      <c r="M850" s="1"/>
      <c r="N850" s="1" t="s">
        <v>1457</v>
      </c>
      <c r="O850" s="1" t="s">
        <v>19</v>
      </c>
      <c r="P850" s="1" t="s">
        <v>18</v>
      </c>
      <c r="Q850" s="1" t="s">
        <v>20</v>
      </c>
      <c r="R850" s="1"/>
      <c r="S850" s="1"/>
      <c r="T850" s="1"/>
    </row>
    <row r="851" spans="1:20">
      <c r="A851" s="1" t="s">
        <v>1747</v>
      </c>
      <c r="B851" s="1" t="str" cm="1">
        <f t="array" ref="B851">IF(A851="","",_xlfn.IFS(COUNTIF($U:$U,A851)&gt;0,"All uploaded",COUNTIF($V:$V,A851)&gt;0,"Partly uploaded",COUNTIF($W:$X,A851)&gt;0,"Not uploaded",TRUE,"Not classified"))</f>
        <v>Not uploaded</v>
      </c>
      <c r="C851" s="1" t="str" cm="1">
        <f t="array" ref="C851">_xlfn.SWITCH(TRIM(I851),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51" s="1"/>
      <c r="E851" s="1"/>
      <c r="F851" s="1" t="str" cm="1">
        <f t="array" ref="F851">_xlfn.LET(
_xlpm.status,UPPER(TRIM(B851&amp;"")),
_xlpm.risk,UPPER(TRIM(C851&amp;"")),
_xlpm.notify,UPPER(TRIM(D851&amp;"")),
_xlpm.form,UPPER(TRIM(E851&amp;"")),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51" s="1" t="str">
        <f t="shared" si="13"/>
        <v>Required</v>
      </c>
      <c r="H851" s="5"/>
      <c r="I851" s="1" t="s">
        <v>27</v>
      </c>
      <c r="J851" s="1"/>
      <c r="K851" s="1" t="s">
        <v>1746</v>
      </c>
      <c r="L851" s="1" t="s">
        <v>27</v>
      </c>
      <c r="M851" s="1"/>
      <c r="N851" s="1" t="s">
        <v>1748</v>
      </c>
      <c r="O851" s="1" t="s">
        <v>19</v>
      </c>
      <c r="P851" s="1" t="s">
        <v>18</v>
      </c>
      <c r="Q851" s="1" t="s">
        <v>20</v>
      </c>
      <c r="R851" s="1"/>
      <c r="S851" s="1"/>
      <c r="T851" s="1"/>
    </row>
    <row r="852" spans="1:20">
      <c r="A852" s="1" t="s">
        <v>1760</v>
      </c>
      <c r="B852" s="1" t="str" cm="1">
        <f t="array" ref="B852">IF(A852="","",_xlfn.IFS(COUNTIF($U:$U,A852)&gt;0,"All uploaded",COUNTIF($V:$V,A852)&gt;0,"Partly uploaded",COUNTIF($W:$X,A852)&gt;0,"Not uploaded",TRUE,"Not classified"))</f>
        <v>Not uploaded</v>
      </c>
      <c r="C852" s="1" t="str" cm="1">
        <f t="array" ref="C852">_xlfn.SWITCH(TRIM(I852),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52" s="1"/>
      <c r="E852" s="1"/>
      <c r="F852" s="1" t="str" cm="1">
        <f t="array" ref="F852">_xlfn.LET(
_xlpm.status,UPPER(TRIM(B852&amp;"")),
_xlpm.risk,UPPER(TRIM(C852&amp;"")),
_xlpm.notify,UPPER(TRIM(D852&amp;"")),
_xlpm.form,UPPER(TRIM(E852&amp;"")),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52" s="1" t="str">
        <f t="shared" si="13"/>
        <v>NA</v>
      </c>
      <c r="H852" s="5"/>
      <c r="I852" s="1" t="s">
        <v>22</v>
      </c>
      <c r="J852" s="1"/>
      <c r="K852" s="1" t="s">
        <v>1749</v>
      </c>
      <c r="L852" s="1" t="s">
        <v>22</v>
      </c>
      <c r="M852" s="1"/>
      <c r="N852" s="1" t="s">
        <v>1761</v>
      </c>
      <c r="O852" s="1" t="s">
        <v>19</v>
      </c>
      <c r="P852" s="1" t="s">
        <v>18</v>
      </c>
      <c r="Q852" s="1" t="s">
        <v>20</v>
      </c>
      <c r="R852" s="1"/>
      <c r="S852" s="1"/>
      <c r="T852" s="1"/>
    </row>
    <row r="853" spans="1:20">
      <c r="A853" s="1" t="s">
        <v>1762</v>
      </c>
      <c r="B853" s="1" t="str" cm="1">
        <f t="array" ref="B853">IF(A853="","",_xlfn.IFS(COUNTIF($U:$U,A853)&gt;0,"All uploaded",COUNTIF($V:$V,A853)&gt;0,"Partly uploaded",COUNTIF($W:$X,A853)&gt;0,"Not uploaded",TRUE,"Not classified"))</f>
        <v>Not uploaded</v>
      </c>
      <c r="C853" s="1" t="str" cm="1">
        <f t="array" ref="C853">_xlfn.SWITCH(TRIM(I853),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53" s="1"/>
      <c r="E853" s="1"/>
      <c r="F853" s="1" t="str" cm="1">
        <f t="array" ref="F853">_xlfn.LET(
_xlpm.status,UPPER(TRIM(B853&amp;"")),
_xlpm.risk,UPPER(TRIM(C853&amp;"")),
_xlpm.notify,UPPER(TRIM(D853&amp;"")),
_xlpm.form,UPPER(TRIM(E853&amp;"")),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53" s="1" t="str">
        <f t="shared" si="13"/>
        <v>NA</v>
      </c>
      <c r="H853" s="5"/>
      <c r="I853" s="1" t="s">
        <v>22</v>
      </c>
      <c r="J853" s="1"/>
      <c r="K853" s="1" t="s">
        <v>1749</v>
      </c>
      <c r="L853" s="1" t="s">
        <v>22</v>
      </c>
      <c r="M853" s="1"/>
      <c r="N853" s="1" t="s">
        <v>1763</v>
      </c>
      <c r="O853" s="1" t="s">
        <v>19</v>
      </c>
      <c r="P853" s="1" t="s">
        <v>18</v>
      </c>
      <c r="Q853" s="1" t="s">
        <v>20</v>
      </c>
      <c r="R853" s="1"/>
      <c r="S853" s="1"/>
      <c r="T853" s="1"/>
    </row>
    <row r="854" spans="1:20">
      <c r="A854" s="1" t="s">
        <v>1774</v>
      </c>
      <c r="B854" s="1" t="str" cm="1">
        <f t="array" ref="B854">IF(A854="","",_xlfn.IFS(COUNTIF($U:$U,A854)&gt;0,"All uploaded",COUNTIF($V:$V,A854)&gt;0,"Partly uploaded",COUNTIF($W:$X,A854)&gt;0,"Not uploaded",TRUE,"Not classified"))</f>
        <v>Not uploaded</v>
      </c>
      <c r="C854" s="1" t="str" cm="1">
        <f t="array" ref="C854">_xlfn.SWITCH(TRIM(I854),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54" s="1"/>
      <c r="E854" s="1"/>
      <c r="F854" s="1" t="str" cm="1">
        <f t="array" ref="F854">_xlfn.LET(
_xlpm.status,UPPER(TRIM(B854&amp;"")),
_xlpm.risk,UPPER(TRIM(C854&amp;"")),
_xlpm.notify,UPPER(TRIM(D854&amp;"")),
_xlpm.form,UPPER(TRIM(E854&amp;"")),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54" s="1" t="str">
        <f t="shared" si="13"/>
        <v>NA</v>
      </c>
      <c r="H854" s="5"/>
      <c r="I854" s="1" t="s">
        <v>22</v>
      </c>
      <c r="J854" s="1"/>
      <c r="K854" s="1" t="s">
        <v>1773</v>
      </c>
      <c r="L854" s="1" t="s">
        <v>22</v>
      </c>
      <c r="M854" s="1"/>
      <c r="N854" s="1" t="s">
        <v>1775</v>
      </c>
      <c r="O854" s="1" t="s">
        <v>19</v>
      </c>
      <c r="P854" s="1" t="s">
        <v>18</v>
      </c>
      <c r="Q854" s="1" t="s">
        <v>20</v>
      </c>
      <c r="R854" s="1"/>
      <c r="S854" s="1"/>
      <c r="T854" s="1"/>
    </row>
    <row r="855" spans="1:20">
      <c r="A855" s="1" t="s">
        <v>1776</v>
      </c>
      <c r="B855" s="1" t="str" cm="1">
        <f t="array" ref="B855">IF(A855="","",_xlfn.IFS(COUNTIF($U:$U,A855)&gt;0,"All uploaded",COUNTIF($V:$V,A855)&gt;0,"Partly uploaded",COUNTIF($W:$X,A855)&gt;0,"Not uploaded",TRUE,"Not classified"))</f>
        <v>Not uploaded</v>
      </c>
      <c r="C855" s="1" t="str" cm="1">
        <f t="array" ref="C855">_xlfn.SWITCH(TRIM(I855),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55" s="1"/>
      <c r="E855" s="1"/>
      <c r="F855" s="1" t="str" cm="1">
        <f t="array" ref="F855">_xlfn.LET(
_xlpm.status,UPPER(TRIM(B855&amp;"")),
_xlpm.risk,UPPER(TRIM(C855&amp;"")),
_xlpm.notify,UPPER(TRIM(D855&amp;"")),
_xlpm.form,UPPER(TRIM(E855&amp;"")),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55" s="1" t="str">
        <f t="shared" si="13"/>
        <v>NA</v>
      </c>
      <c r="H855" s="5"/>
      <c r="I855" s="1" t="s">
        <v>22</v>
      </c>
      <c r="J855" s="1"/>
      <c r="K855" s="1" t="s">
        <v>1773</v>
      </c>
      <c r="L855" s="1" t="s">
        <v>22</v>
      </c>
      <c r="M855" s="1"/>
      <c r="N855" s="1" t="s">
        <v>1777</v>
      </c>
      <c r="O855" s="1" t="s">
        <v>19</v>
      </c>
      <c r="P855" s="1" t="s">
        <v>18</v>
      </c>
      <c r="Q855" s="1" t="s">
        <v>20</v>
      </c>
      <c r="R855" s="1"/>
      <c r="S855" s="1"/>
      <c r="T855" s="1"/>
    </row>
    <row r="856" spans="1:20">
      <c r="A856" s="1" t="s">
        <v>1778</v>
      </c>
      <c r="B856" s="1" t="str" cm="1">
        <f t="array" ref="B856">IF(A856="","",_xlfn.IFS(COUNTIF($U:$U,A856)&gt;0,"All uploaded",COUNTIF($V:$V,A856)&gt;0,"Partly uploaded",COUNTIF($W:$X,A856)&gt;0,"Not uploaded",TRUE,"Not classified"))</f>
        <v>Not uploaded</v>
      </c>
      <c r="C856" s="1" t="str" cm="1">
        <f t="array" ref="C856">_xlfn.SWITCH(TRIM(I856),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56" s="1"/>
      <c r="E856" s="1"/>
      <c r="F856" s="1" t="str" cm="1">
        <f t="array" ref="F856">_xlfn.LET(
_xlpm.status,UPPER(TRIM(B856&amp;"")),
_xlpm.risk,UPPER(TRIM(C856&amp;"")),
_xlpm.notify,UPPER(TRIM(D856&amp;"")),
_xlpm.form,UPPER(TRIM(E856&amp;"")),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56" s="1" t="str">
        <f t="shared" si="13"/>
        <v>NA</v>
      </c>
      <c r="H856" s="5"/>
      <c r="I856" s="1" t="s">
        <v>22</v>
      </c>
      <c r="J856" s="1"/>
      <c r="K856" s="1" t="s">
        <v>1773</v>
      </c>
      <c r="L856" s="1" t="s">
        <v>22</v>
      </c>
      <c r="M856" s="1"/>
      <c r="N856" s="1" t="s">
        <v>1779</v>
      </c>
      <c r="O856" s="1" t="s">
        <v>19</v>
      </c>
      <c r="P856" s="1" t="s">
        <v>18</v>
      </c>
      <c r="Q856" s="1" t="s">
        <v>20</v>
      </c>
      <c r="R856" s="1"/>
      <c r="S856" s="1"/>
      <c r="T856" s="1"/>
    </row>
    <row r="857" spans="1:20">
      <c r="A857" s="1" t="s">
        <v>1781</v>
      </c>
      <c r="B857" s="1" t="str" cm="1">
        <f t="array" ref="B857">IF(A857="","",_xlfn.IFS(COUNTIF($U:$U,A857)&gt;0,"All uploaded",COUNTIF($V:$V,A857)&gt;0,"Partly uploaded",COUNTIF($W:$X,A857)&gt;0,"Not uploaded",TRUE,"Not classified"))</f>
        <v>Partly uploaded</v>
      </c>
      <c r="C857" s="1" t="str" cm="1">
        <f t="array" ref="C857">_xlfn.SWITCH(TRIM(I857),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57" s="1"/>
      <c r="E857" s="1"/>
      <c r="F857" s="1" t="str" cm="1">
        <f t="array" ref="F857">_xlfn.LET(
_xlpm.status,UPPER(TRIM(B857&amp;"")),
_xlpm.risk,UPPER(TRIM(C857&amp;"")),
_xlpm.notify,UPPER(TRIM(D857&amp;"")),
_xlpm.form,UPPER(TRIM(E857&amp;"")),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57" s="1" t="str">
        <f t="shared" si="13"/>
        <v>Required</v>
      </c>
      <c r="H857" s="5"/>
      <c r="I857" s="1" t="s">
        <v>25</v>
      </c>
      <c r="J857" s="1"/>
      <c r="K857" s="1" t="s">
        <v>1780</v>
      </c>
      <c r="L857" s="1" t="s">
        <v>25</v>
      </c>
      <c r="M857" s="1"/>
      <c r="N857" s="1" t="s">
        <v>1782</v>
      </c>
      <c r="O857" s="1" t="s">
        <v>19</v>
      </c>
      <c r="P857" s="1" t="s">
        <v>18</v>
      </c>
      <c r="Q857" s="1" t="s">
        <v>20</v>
      </c>
      <c r="R857" s="1"/>
      <c r="S857" s="1"/>
      <c r="T857" s="1"/>
    </row>
    <row r="858" spans="1:20">
      <c r="A858" s="1" t="s">
        <v>1786</v>
      </c>
      <c r="B858" s="1" t="str" cm="1">
        <f t="array" ref="B858">IF(A858="","",_xlfn.IFS(COUNTIF($U:$U,A858)&gt;0,"All uploaded",COUNTIF($V:$V,A858)&gt;0,"Partly uploaded",COUNTIF($W:$X,A858)&gt;0,"Not uploaded",TRUE,"Not classified"))</f>
        <v>Not uploaded</v>
      </c>
      <c r="C858" s="1" t="str" cm="1">
        <f t="array" ref="C858">_xlfn.SWITCH(TRIM(I858),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58" s="1"/>
      <c r="E858" s="1"/>
      <c r="F858" s="1" t="str" cm="1">
        <f t="array" ref="F858">_xlfn.LET(
_xlpm.status,UPPER(TRIM(B858&amp;"")),
_xlpm.risk,UPPER(TRIM(C858&amp;"")),
_xlpm.notify,UPPER(TRIM(D858&amp;"")),
_xlpm.form,UPPER(TRIM(E858&amp;"")),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58" s="1" t="str">
        <f t="shared" si="13"/>
        <v>NA</v>
      </c>
      <c r="H858" s="5"/>
      <c r="I858" s="1" t="s">
        <v>22</v>
      </c>
      <c r="J858" s="1"/>
      <c r="K858" s="1" t="s">
        <v>1780</v>
      </c>
      <c r="L858" s="1" t="s">
        <v>22</v>
      </c>
      <c r="M858" s="1"/>
      <c r="N858" s="1" t="s">
        <v>1787</v>
      </c>
      <c r="O858" s="1" t="s">
        <v>19</v>
      </c>
      <c r="P858" s="1" t="s">
        <v>18</v>
      </c>
      <c r="Q858" s="1" t="s">
        <v>20</v>
      </c>
      <c r="R858" s="1"/>
      <c r="S858" s="1"/>
      <c r="T858" s="1"/>
    </row>
    <row r="859" spans="1:20">
      <c r="A859" s="1" t="s">
        <v>1795</v>
      </c>
      <c r="B859" s="1" t="str" cm="1">
        <f t="array" ref="B859">IF(A859="","",_xlfn.IFS(COUNTIF($U:$U,A859)&gt;0,"All uploaded",COUNTIF($V:$V,A859)&gt;0,"Partly uploaded",COUNTIF($W:$X,A859)&gt;0,"Not uploaded",TRUE,"Not classified"))</f>
        <v>Not uploaded</v>
      </c>
      <c r="C859" s="1" t="str" cm="1">
        <f t="array" ref="C859">_xlfn.SWITCH(TRIM(I859),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59" s="1"/>
      <c r="E859" s="1"/>
      <c r="F859" s="1" t="str" cm="1">
        <f t="array" ref="F859">_xlfn.LET(
_xlpm.status,UPPER(TRIM(B859&amp;"")),
_xlpm.risk,UPPER(TRIM(C859&amp;"")),
_xlpm.notify,UPPER(TRIM(D859&amp;"")),
_xlpm.form,UPPER(TRIM(E859&amp;"")),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59" s="1" t="str">
        <f t="shared" si="13"/>
        <v>Required</v>
      </c>
      <c r="H859" s="5"/>
      <c r="I859" s="1" t="s">
        <v>25</v>
      </c>
      <c r="J859" s="1"/>
      <c r="K859" s="1" t="s">
        <v>1788</v>
      </c>
      <c r="L859" s="1" t="s">
        <v>25</v>
      </c>
      <c r="M859" s="1"/>
      <c r="N859" s="1" t="s">
        <v>1782</v>
      </c>
      <c r="O859" s="1" t="s">
        <v>19</v>
      </c>
      <c r="P859" s="1" t="s">
        <v>18</v>
      </c>
      <c r="Q859" s="1" t="s">
        <v>20</v>
      </c>
      <c r="R859" s="1"/>
      <c r="S859" s="1"/>
      <c r="T859" s="1"/>
    </row>
    <row r="860" spans="1:20">
      <c r="A860" s="1" t="s">
        <v>1800</v>
      </c>
      <c r="B860" s="1" t="str" cm="1">
        <f t="array" ref="B860">IF(A860="","",_xlfn.IFS(COUNTIF($U:$U,A860)&gt;0,"All uploaded",COUNTIF($V:$V,A860)&gt;0,"Partly uploaded",COUNTIF($W:$X,A860)&gt;0,"Not uploaded",TRUE,"Not classified"))</f>
        <v>Not uploaded</v>
      </c>
      <c r="C860" s="1" t="str" cm="1">
        <f t="array" ref="C860">_xlfn.SWITCH(TRIM(I860),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60" s="1"/>
      <c r="E860" s="1"/>
      <c r="F860" s="1" t="str" cm="1">
        <f t="array" ref="F860">_xlfn.LET(
_xlpm.status,UPPER(TRIM(B860&amp;"")),
_xlpm.risk,UPPER(TRIM(C860&amp;"")),
_xlpm.notify,UPPER(TRIM(D860&amp;"")),
_xlpm.form,UPPER(TRIM(E860&amp;"")),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60" s="1" t="str">
        <f t="shared" si="13"/>
        <v>NA</v>
      </c>
      <c r="H860" s="5"/>
      <c r="I860" s="1" t="s">
        <v>22</v>
      </c>
      <c r="J860" s="1"/>
      <c r="K860" s="1" t="s">
        <v>1788</v>
      </c>
      <c r="L860" s="1" t="s">
        <v>22</v>
      </c>
      <c r="M860" s="1"/>
      <c r="N860" s="1" t="s">
        <v>1801</v>
      </c>
      <c r="O860" s="1" t="s">
        <v>30</v>
      </c>
      <c r="P860" s="1" t="s">
        <v>58</v>
      </c>
      <c r="Q860" s="1" t="s">
        <v>59</v>
      </c>
      <c r="R860" s="1"/>
      <c r="S860" s="1"/>
      <c r="T860" s="1"/>
    </row>
    <row r="861" spans="1:20">
      <c r="A861" s="1" t="s">
        <v>1803</v>
      </c>
      <c r="B861" s="1" t="str" cm="1">
        <f t="array" ref="B861">IF(A861="","",_xlfn.IFS(COUNTIF($U:$U,A861)&gt;0,"All uploaded",COUNTIF($V:$V,A861)&gt;0,"Partly uploaded",COUNTIF($W:$X,A861)&gt;0,"Not uploaded",TRUE,"Not classified"))</f>
        <v>Not uploaded</v>
      </c>
      <c r="C861" s="1" t="str" cm="1">
        <f t="array" ref="C861">_xlfn.SWITCH(TRIM(I861),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61" s="1"/>
      <c r="E861" s="1"/>
      <c r="F861" s="1" t="str" cm="1">
        <f t="array" ref="F861">_xlfn.LET(
_xlpm.status,UPPER(TRIM(B861&amp;"")),
_xlpm.risk,UPPER(TRIM(C861&amp;"")),
_xlpm.notify,UPPER(TRIM(D861&amp;"")),
_xlpm.form,UPPER(TRIM(E861&amp;"")),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61" s="1" t="str">
        <f t="shared" si="13"/>
        <v>NA</v>
      </c>
      <c r="H861" s="5"/>
      <c r="I861" s="1" t="s">
        <v>22</v>
      </c>
      <c r="J861" s="1"/>
      <c r="K861" s="1" t="s">
        <v>1802</v>
      </c>
      <c r="L861" s="1" t="s">
        <v>22</v>
      </c>
      <c r="M861" s="1"/>
      <c r="N861" s="1" t="s">
        <v>1804</v>
      </c>
      <c r="O861" s="1" t="s">
        <v>19</v>
      </c>
      <c r="P861" s="1" t="s">
        <v>18</v>
      </c>
      <c r="Q861" s="1" t="s">
        <v>20</v>
      </c>
      <c r="R861" s="1"/>
      <c r="S861" s="1"/>
      <c r="T861" s="1"/>
    </row>
    <row r="862" spans="1:20">
      <c r="A862" s="1" t="s">
        <v>1805</v>
      </c>
      <c r="B862" s="1" t="str" cm="1">
        <f t="array" ref="B862">IF(A862="","",_xlfn.IFS(COUNTIF($U:$U,A862)&gt;0,"All uploaded",COUNTIF($V:$V,A862)&gt;0,"Partly uploaded",COUNTIF($W:$X,A862)&gt;0,"Not uploaded",TRUE,"Not classified"))</f>
        <v>Partly uploaded</v>
      </c>
      <c r="C862" s="1" t="str" cm="1">
        <f t="array" ref="C862">_xlfn.SWITCH(TRIM(I862),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62" s="1"/>
      <c r="E862" s="1"/>
      <c r="F862" s="1" t="str" cm="1">
        <f t="array" ref="F862">_xlfn.LET(
_xlpm.status,UPPER(TRIM(B862&amp;"")),
_xlpm.risk,UPPER(TRIM(C862&amp;"")),
_xlpm.notify,UPPER(TRIM(D862&amp;"")),
_xlpm.form,UPPER(TRIM(E862&amp;"")),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62" s="1" t="str">
        <f t="shared" si="13"/>
        <v>Required</v>
      </c>
      <c r="H862" s="5"/>
      <c r="I862" s="1" t="s">
        <v>10</v>
      </c>
      <c r="J862" s="1"/>
      <c r="K862" s="1" t="s">
        <v>1802</v>
      </c>
      <c r="L862" s="1" t="s">
        <v>10</v>
      </c>
      <c r="M862" s="1"/>
      <c r="N862" s="1" t="s">
        <v>1806</v>
      </c>
      <c r="O862" s="1" t="s">
        <v>19</v>
      </c>
      <c r="P862" s="1" t="s">
        <v>18</v>
      </c>
      <c r="Q862" s="1" t="s">
        <v>20</v>
      </c>
      <c r="R862" s="1"/>
      <c r="S862" s="1"/>
      <c r="T862" s="1"/>
    </row>
    <row r="863" spans="1:20">
      <c r="A863" s="1" t="s">
        <v>1810</v>
      </c>
      <c r="B863" s="1" t="str" cm="1">
        <f t="array" ref="B863">IF(A863="","",_xlfn.IFS(COUNTIF($U:$U,A863)&gt;0,"All uploaded",COUNTIF($V:$V,A863)&gt;0,"Partly uploaded",COUNTIF($W:$X,A863)&gt;0,"Not uploaded",TRUE,"Not classified"))</f>
        <v>Not uploaded</v>
      </c>
      <c r="C863" s="1" t="str" cm="1">
        <f t="array" ref="C863">_xlfn.SWITCH(TRIM(I863),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63" s="1"/>
      <c r="E863" s="1"/>
      <c r="F863" s="1" t="str" cm="1">
        <f t="array" ref="F863">_xlfn.LET(
_xlpm.status,UPPER(TRIM(B863&amp;"")),
_xlpm.risk,UPPER(TRIM(C863&amp;"")),
_xlpm.notify,UPPER(TRIM(D863&amp;"")),
_xlpm.form,UPPER(TRIM(E863&amp;"")),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63" s="1" t="str">
        <f t="shared" si="13"/>
        <v>NA</v>
      </c>
      <c r="H863" s="5"/>
      <c r="I863" s="1" t="s">
        <v>22</v>
      </c>
      <c r="J863" s="1"/>
      <c r="K863" s="1" t="s">
        <v>1802</v>
      </c>
      <c r="L863" s="1" t="s">
        <v>22</v>
      </c>
      <c r="M863" s="1"/>
      <c r="N863" s="1" t="s">
        <v>1811</v>
      </c>
      <c r="O863" s="1" t="s">
        <v>19</v>
      </c>
      <c r="P863" s="1" t="s">
        <v>18</v>
      </c>
      <c r="Q863" s="1" t="s">
        <v>20</v>
      </c>
      <c r="R863" s="1"/>
      <c r="S863" s="1"/>
      <c r="T863" s="1"/>
    </row>
    <row r="864" spans="1:20">
      <c r="A864" s="1" t="s">
        <v>1819</v>
      </c>
      <c r="B864" s="1" t="str" cm="1">
        <f t="array" ref="B864">IF(A864="","",_xlfn.IFS(COUNTIF($U:$U,A864)&gt;0,"All uploaded",COUNTIF($V:$V,A864)&gt;0,"Partly uploaded",COUNTIF($W:$X,A864)&gt;0,"Not uploaded",TRUE,"Not classified"))</f>
        <v>Partly uploaded</v>
      </c>
      <c r="C864" s="1" t="str" cm="1">
        <f t="array" ref="C864">_xlfn.SWITCH(TRIM(I864),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64" s="1"/>
      <c r="E864" s="1"/>
      <c r="F864" s="1" t="str" cm="1">
        <f t="array" ref="F864">_xlfn.LET(
_xlpm.status,UPPER(TRIM(B864&amp;"")),
_xlpm.risk,UPPER(TRIM(C864&amp;"")),
_xlpm.notify,UPPER(TRIM(D864&amp;"")),
_xlpm.form,UPPER(TRIM(E864&amp;"")),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64" s="1" t="str">
        <f t="shared" si="13"/>
        <v>NA</v>
      </c>
      <c r="H864" s="5"/>
      <c r="I864" s="1" t="s">
        <v>22</v>
      </c>
      <c r="J864" s="1"/>
      <c r="K864" s="1" t="s">
        <v>1818</v>
      </c>
      <c r="L864" s="1" t="s">
        <v>22</v>
      </c>
      <c r="M864" s="1"/>
      <c r="N864" s="1" t="s">
        <v>1820</v>
      </c>
      <c r="O864" s="1" t="s">
        <v>19</v>
      </c>
      <c r="P864" s="1" t="s">
        <v>18</v>
      </c>
      <c r="Q864" s="1" t="s">
        <v>20</v>
      </c>
      <c r="R864" s="1"/>
      <c r="S864" s="1"/>
      <c r="T864" s="1"/>
    </row>
    <row r="865" spans="1:20">
      <c r="A865" s="1" t="s">
        <v>1824</v>
      </c>
      <c r="B865" s="1" t="str" cm="1">
        <f t="array" ref="B865">IF(A865="","",_xlfn.IFS(COUNTIF($U:$U,A865)&gt;0,"All uploaded",COUNTIF($V:$V,A865)&gt;0,"Partly uploaded",COUNTIF($W:$X,A865)&gt;0,"Not uploaded",TRUE,"Not classified"))</f>
        <v>Partly uploaded</v>
      </c>
      <c r="C865" s="1" t="str" cm="1">
        <f t="array" ref="C865">_xlfn.SWITCH(TRIM(I865),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65" s="1"/>
      <c r="E865" s="1"/>
      <c r="F865" s="1" t="str" cm="1">
        <f t="array" ref="F865">_xlfn.LET(
_xlpm.status,UPPER(TRIM(B865&amp;"")),
_xlpm.risk,UPPER(TRIM(C865&amp;"")),
_xlpm.notify,UPPER(TRIM(D865&amp;"")),
_xlpm.form,UPPER(TRIM(E865&amp;"")),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65" s="1" t="str">
        <f t="shared" si="13"/>
        <v>NA</v>
      </c>
      <c r="H865" s="5"/>
      <c r="I865" s="1" t="s">
        <v>22</v>
      </c>
      <c r="J865" s="1"/>
      <c r="K865" s="1" t="s">
        <v>1818</v>
      </c>
      <c r="L865" s="1" t="s">
        <v>22</v>
      </c>
      <c r="M865" s="1"/>
      <c r="N865" s="1" t="s">
        <v>1825</v>
      </c>
      <c r="O865" s="1" t="s">
        <v>19</v>
      </c>
      <c r="P865" s="1" t="s">
        <v>18</v>
      </c>
      <c r="Q865" s="1" t="s">
        <v>20</v>
      </c>
      <c r="R865" s="1"/>
      <c r="S865" s="1"/>
      <c r="T865" s="1"/>
    </row>
    <row r="866" spans="1:20">
      <c r="A866" s="1" t="s">
        <v>1830</v>
      </c>
      <c r="B866" s="1" t="str" cm="1">
        <f t="array" ref="B866">IF(A866="","",_xlfn.IFS(COUNTIF($U:$U,A866)&gt;0,"All uploaded",COUNTIF($V:$V,A866)&gt;0,"Partly uploaded",COUNTIF($W:$X,A866)&gt;0,"Not uploaded",TRUE,"Not classified"))</f>
        <v>Not uploaded</v>
      </c>
      <c r="C866" s="1" t="str" cm="1">
        <f t="array" ref="C866">_xlfn.SWITCH(TRIM(I866),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66" s="1"/>
      <c r="E866" s="1"/>
      <c r="F866" s="1" t="str" cm="1">
        <f t="array" ref="F866">_xlfn.LET(
_xlpm.status,UPPER(TRIM(B866&amp;"")),
_xlpm.risk,UPPER(TRIM(C866&amp;"")),
_xlpm.notify,UPPER(TRIM(D866&amp;"")),
_xlpm.form,UPPER(TRIM(E866&amp;"")),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66" s="1" t="str">
        <f t="shared" si="13"/>
        <v>NA</v>
      </c>
      <c r="H866" s="5"/>
      <c r="I866" s="1" t="s">
        <v>22</v>
      </c>
      <c r="J866" s="1"/>
      <c r="K866" s="1" t="s">
        <v>1829</v>
      </c>
      <c r="L866" s="1" t="s">
        <v>22</v>
      </c>
      <c r="M866" s="1"/>
      <c r="N866" s="1" t="s">
        <v>1831</v>
      </c>
      <c r="O866" s="1" t="s">
        <v>19</v>
      </c>
      <c r="P866" s="1" t="s">
        <v>18</v>
      </c>
      <c r="Q866" s="1" t="s">
        <v>20</v>
      </c>
      <c r="R866" s="1"/>
      <c r="S866" s="1"/>
      <c r="T866" s="1"/>
    </row>
    <row r="867" spans="1:20">
      <c r="A867" s="1" t="s">
        <v>1838</v>
      </c>
      <c r="B867" s="1" t="str" cm="1">
        <f t="array" ref="B867">IF(A867="","",_xlfn.IFS(COUNTIF($U:$U,A867)&gt;0,"All uploaded",COUNTIF($V:$V,A867)&gt;0,"Partly uploaded",COUNTIF($W:$X,A867)&gt;0,"Not uploaded",TRUE,"Not classified"))</f>
        <v>Partly uploaded</v>
      </c>
      <c r="C867" s="1" t="str" cm="1">
        <f t="array" ref="C867">_xlfn.SWITCH(TRIM(I867),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67" s="1"/>
      <c r="E867" s="1"/>
      <c r="F867" s="1" t="str" cm="1">
        <f t="array" ref="F867">_xlfn.LET(
_xlpm.status,UPPER(TRIM(B867&amp;"")),
_xlpm.risk,UPPER(TRIM(C867&amp;"")),
_xlpm.notify,UPPER(TRIM(D867&amp;"")),
_xlpm.form,UPPER(TRIM(E867&amp;"")),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67" s="1" t="str">
        <f t="shared" si="13"/>
        <v>Required</v>
      </c>
      <c r="H867" s="5"/>
      <c r="I867" s="1" t="s">
        <v>34</v>
      </c>
      <c r="J867" s="1"/>
      <c r="K867" s="1" t="s">
        <v>1832</v>
      </c>
      <c r="L867" s="1" t="s">
        <v>34</v>
      </c>
      <c r="M867" s="1"/>
      <c r="N867" s="1" t="s">
        <v>1839</v>
      </c>
      <c r="O867" s="1" t="s">
        <v>19</v>
      </c>
      <c r="P867" s="1" t="s">
        <v>18</v>
      </c>
      <c r="Q867" s="1" t="s">
        <v>20</v>
      </c>
      <c r="R867" s="1"/>
      <c r="S867" s="1"/>
      <c r="T867" s="1"/>
    </row>
    <row r="868" spans="1:20">
      <c r="A868" s="1" t="s">
        <v>1833</v>
      </c>
      <c r="B868" s="1" t="str" cm="1">
        <f t="array" ref="B868">IF(A868="","",_xlfn.IFS(COUNTIF($U:$U,A868)&gt;0,"All uploaded",COUNTIF($V:$V,A868)&gt;0,"Partly uploaded",COUNTIF($W:$X,A868)&gt;0,"Not uploaded",TRUE,"Not classified"))</f>
        <v>Partly uploaded</v>
      </c>
      <c r="C868" s="1" t="str" cm="1">
        <f t="array" ref="C868">_xlfn.SWITCH(TRIM(I868),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68" s="1"/>
      <c r="E868" s="1"/>
      <c r="F868" s="1" t="str" cm="1">
        <f t="array" ref="F868">_xlfn.LET(
_xlpm.status,UPPER(TRIM(B868&amp;"")),
_xlpm.risk,UPPER(TRIM(C868&amp;"")),
_xlpm.notify,UPPER(TRIM(D868&amp;"")),
_xlpm.form,UPPER(TRIM(E868&amp;"")),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68" s="1" t="str">
        <f t="shared" si="13"/>
        <v>NA</v>
      </c>
      <c r="H868" s="5"/>
      <c r="I868" s="1" t="s">
        <v>22</v>
      </c>
      <c r="J868" s="1"/>
      <c r="K868" s="1" t="s">
        <v>1832</v>
      </c>
      <c r="L868" s="1" t="s">
        <v>22</v>
      </c>
      <c r="M868" s="1"/>
      <c r="N868" s="1" t="s">
        <v>1834</v>
      </c>
      <c r="O868" s="1" t="s">
        <v>19</v>
      </c>
      <c r="P868" s="1" t="s">
        <v>18</v>
      </c>
      <c r="Q868" s="1" t="s">
        <v>20</v>
      </c>
      <c r="R868" s="1"/>
      <c r="S868" s="1"/>
      <c r="T868" s="1"/>
    </row>
    <row r="869" spans="1:20">
      <c r="A869" s="1" t="s">
        <v>1840</v>
      </c>
      <c r="B869" s="1" t="str" cm="1">
        <f t="array" ref="B869">IF(A869="","",_xlfn.IFS(COUNTIF($U:$U,A869)&gt;0,"All uploaded",COUNTIF($V:$V,A869)&gt;0,"Partly uploaded",COUNTIF($W:$X,A869)&gt;0,"Not uploaded",TRUE,"Not classified"))</f>
        <v>Not uploaded</v>
      </c>
      <c r="C869" s="1" t="str" cm="1">
        <f t="array" ref="C869">_xlfn.SWITCH(TRIM(I869),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69" s="1"/>
      <c r="E869" s="1"/>
      <c r="F869" s="1" t="str" cm="1">
        <f t="array" ref="F869">_xlfn.LET(
_xlpm.status,UPPER(TRIM(B869&amp;"")),
_xlpm.risk,UPPER(TRIM(C869&amp;"")),
_xlpm.notify,UPPER(TRIM(D869&amp;"")),
_xlpm.form,UPPER(TRIM(E869&amp;"")),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69" s="1" t="str">
        <f t="shared" si="13"/>
        <v>NA</v>
      </c>
      <c r="H869" s="5"/>
      <c r="I869" s="1" t="s">
        <v>22</v>
      </c>
      <c r="J869" s="1"/>
      <c r="K869" s="1" t="s">
        <v>1832</v>
      </c>
      <c r="L869" s="1" t="s">
        <v>22</v>
      </c>
      <c r="M869" s="1"/>
      <c r="N869" s="1" t="s">
        <v>1841</v>
      </c>
      <c r="O869" s="1" t="s">
        <v>19</v>
      </c>
      <c r="P869" s="1" t="s">
        <v>18</v>
      </c>
      <c r="Q869" s="1" t="s">
        <v>20</v>
      </c>
      <c r="R869" s="1"/>
      <c r="S869" s="1"/>
      <c r="T869" s="1"/>
    </row>
    <row r="870" spans="1:20">
      <c r="A870" s="1" t="s">
        <v>1843</v>
      </c>
      <c r="B870" s="1" t="str" cm="1">
        <f t="array" ref="B870">IF(A870="","",_xlfn.IFS(COUNTIF($U:$U,A870)&gt;0,"All uploaded",COUNTIF($V:$V,A870)&gt;0,"Partly uploaded",COUNTIF($W:$X,A870)&gt;0,"Not uploaded",TRUE,"Not classified"))</f>
        <v>Not uploaded</v>
      </c>
      <c r="C870" s="1" t="str" cm="1">
        <f t="array" ref="C870">_xlfn.SWITCH(TRIM(I870),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70" s="1"/>
      <c r="E870" s="1"/>
      <c r="F870" s="1" t="str" cm="1">
        <f t="array" ref="F870">_xlfn.LET(
_xlpm.status,UPPER(TRIM(B870&amp;"")),
_xlpm.risk,UPPER(TRIM(C870&amp;"")),
_xlpm.notify,UPPER(TRIM(D870&amp;"")),
_xlpm.form,UPPER(TRIM(E870&amp;"")),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70" s="1" t="str">
        <f t="shared" si="13"/>
        <v>NA</v>
      </c>
      <c r="H870" s="5"/>
      <c r="I870" s="1" t="s">
        <v>22</v>
      </c>
      <c r="J870" s="1"/>
      <c r="K870" s="1" t="s">
        <v>1842</v>
      </c>
      <c r="L870" s="1" t="s">
        <v>22</v>
      </c>
      <c r="M870" s="1"/>
      <c r="N870" s="1" t="s">
        <v>1844</v>
      </c>
      <c r="O870" s="1" t="s">
        <v>19</v>
      </c>
      <c r="P870" s="1" t="s">
        <v>18</v>
      </c>
      <c r="Q870" s="1" t="s">
        <v>20</v>
      </c>
      <c r="R870" s="1"/>
      <c r="S870" s="1"/>
      <c r="T870" s="1"/>
    </row>
    <row r="871" spans="1:20">
      <c r="A871" s="1" t="s">
        <v>1851</v>
      </c>
      <c r="B871" s="1" t="str" cm="1">
        <f t="array" ref="B871">IF(A871="","",_xlfn.IFS(COUNTIF($U:$U,A871)&gt;0,"All uploaded",COUNTIF($V:$V,A871)&gt;0,"Partly uploaded",COUNTIF($W:$X,A871)&gt;0,"Not uploaded",TRUE,"Not classified"))</f>
        <v>Partly uploaded</v>
      </c>
      <c r="C871" s="1" t="str" cm="1">
        <f t="array" ref="C871">_xlfn.SWITCH(TRIM(I871),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71" s="1"/>
      <c r="E871" s="1"/>
      <c r="F871" s="1" t="str" cm="1">
        <f t="array" ref="F871">_xlfn.LET(
_xlpm.status,UPPER(TRIM(B871&amp;"")),
_xlpm.risk,UPPER(TRIM(C871&amp;"")),
_xlpm.notify,UPPER(TRIM(D871&amp;"")),
_xlpm.form,UPPER(TRIM(E871&amp;"")),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71" s="1" t="str">
        <f t="shared" si="13"/>
        <v>Required</v>
      </c>
      <c r="H871" s="5"/>
      <c r="I871" s="1" t="s">
        <v>25</v>
      </c>
      <c r="J871" s="1"/>
      <c r="K871" s="1" t="s">
        <v>1845</v>
      </c>
      <c r="L871" s="1" t="s">
        <v>25</v>
      </c>
      <c r="M871" s="1"/>
      <c r="N871" s="1" t="s">
        <v>1492</v>
      </c>
      <c r="O871" s="1" t="s">
        <v>19</v>
      </c>
      <c r="P871" s="1" t="s">
        <v>18</v>
      </c>
      <c r="Q871" s="1" t="s">
        <v>20</v>
      </c>
      <c r="R871" s="1"/>
      <c r="S871" s="1"/>
      <c r="T871" s="1"/>
    </row>
    <row r="872" spans="1:20">
      <c r="A872" s="1" t="s">
        <v>1852</v>
      </c>
      <c r="B872" s="1" t="str" cm="1">
        <f t="array" ref="B872">IF(A872="","",_xlfn.IFS(COUNTIF($U:$U,A872)&gt;0,"All uploaded",COUNTIF($V:$V,A872)&gt;0,"Partly uploaded",COUNTIF($W:$X,A872)&gt;0,"Not uploaded",TRUE,"Not classified"))</f>
        <v>Not uploaded</v>
      </c>
      <c r="C872" s="1" t="str" cm="1">
        <f t="array" ref="C872">_xlfn.SWITCH(TRIM(I872),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72" s="1"/>
      <c r="E872" s="1"/>
      <c r="F872" s="1" t="str" cm="1">
        <f t="array" ref="F872">_xlfn.LET(
_xlpm.status,UPPER(TRIM(B872&amp;"")),
_xlpm.risk,UPPER(TRIM(C872&amp;"")),
_xlpm.notify,UPPER(TRIM(D872&amp;"")),
_xlpm.form,UPPER(TRIM(E872&amp;"")),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72" s="1" t="str">
        <f t="shared" si="13"/>
        <v>NA</v>
      </c>
      <c r="H872" s="5"/>
      <c r="I872" s="1" t="s">
        <v>22</v>
      </c>
      <c r="J872" s="1"/>
      <c r="K872" s="1" t="s">
        <v>1845</v>
      </c>
      <c r="L872" s="1" t="s">
        <v>22</v>
      </c>
      <c r="M872" s="1"/>
      <c r="N872" s="1" t="s">
        <v>1853</v>
      </c>
      <c r="O872" s="1" t="s">
        <v>19</v>
      </c>
      <c r="P872" s="1" t="s">
        <v>18</v>
      </c>
      <c r="Q872" s="1" t="s">
        <v>20</v>
      </c>
      <c r="R872" s="1"/>
      <c r="S872" s="1"/>
      <c r="T872" s="1"/>
    </row>
    <row r="873" spans="1:20">
      <c r="A873" s="1" t="s">
        <v>1854</v>
      </c>
      <c r="B873" s="1" t="str" cm="1">
        <f t="array" ref="B873">IF(A873="","",_xlfn.IFS(COUNTIF($U:$U,A873)&gt;0,"All uploaded",COUNTIF($V:$V,A873)&gt;0,"Partly uploaded",COUNTIF($W:$X,A873)&gt;0,"Not uploaded",TRUE,"Not classified"))</f>
        <v>Not uploaded</v>
      </c>
      <c r="C873" s="1" t="str" cm="1">
        <f t="array" ref="C873">_xlfn.SWITCH(TRIM(I873),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73" s="1"/>
      <c r="E873" s="1"/>
      <c r="F873" s="1" t="str" cm="1">
        <f t="array" ref="F873">_xlfn.LET(
_xlpm.status,UPPER(TRIM(B873&amp;"")),
_xlpm.risk,UPPER(TRIM(C873&amp;"")),
_xlpm.notify,UPPER(TRIM(D873&amp;"")),
_xlpm.form,UPPER(TRIM(E873&amp;"")),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73" s="1" t="str">
        <f t="shared" si="13"/>
        <v>NA</v>
      </c>
      <c r="H873" s="5"/>
      <c r="I873" s="1" t="s">
        <v>24</v>
      </c>
      <c r="J873" s="1"/>
      <c r="K873" s="1" t="s">
        <v>1845</v>
      </c>
      <c r="L873" s="1" t="s">
        <v>24</v>
      </c>
      <c r="M873" s="1"/>
      <c r="N873" s="1" t="s">
        <v>1855</v>
      </c>
      <c r="O873" s="1" t="s">
        <v>19</v>
      </c>
      <c r="P873" s="1" t="s">
        <v>18</v>
      </c>
      <c r="Q873" s="1" t="s">
        <v>20</v>
      </c>
      <c r="R873" s="1"/>
      <c r="S873" s="1"/>
      <c r="T873" s="1"/>
    </row>
    <row r="874" spans="1:20">
      <c r="A874" s="1" t="s">
        <v>1846</v>
      </c>
      <c r="B874" s="1" t="str" cm="1">
        <f t="array" ref="B874">IF(A874="","",_xlfn.IFS(COUNTIF($U:$U,A874)&gt;0,"All uploaded",COUNTIF($V:$V,A874)&gt;0,"Partly uploaded",COUNTIF($W:$X,A874)&gt;0,"Not uploaded",TRUE,"Not classified"))</f>
        <v>Partly uploaded</v>
      </c>
      <c r="C874" s="1" t="str" cm="1">
        <f t="array" ref="C874">_xlfn.SWITCH(TRIM(I874),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74" s="1"/>
      <c r="E874" s="1"/>
      <c r="F874" s="1" t="str" cm="1">
        <f t="array" ref="F874">_xlfn.LET(
_xlpm.status,UPPER(TRIM(B874&amp;"")),
_xlpm.risk,UPPER(TRIM(C874&amp;"")),
_xlpm.notify,UPPER(TRIM(D874&amp;"")),
_xlpm.form,UPPER(TRIM(E874&amp;"")),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74" s="1" t="str">
        <f t="shared" si="13"/>
        <v>Required</v>
      </c>
      <c r="H874" s="5"/>
      <c r="I874" s="1" t="s">
        <v>25</v>
      </c>
      <c r="J874" s="1"/>
      <c r="K874" s="1" t="s">
        <v>1845</v>
      </c>
      <c r="L874" s="1" t="s">
        <v>25</v>
      </c>
      <c r="M874" s="1"/>
      <c r="N874" s="1" t="s">
        <v>1847</v>
      </c>
      <c r="O874" s="1" t="s">
        <v>19</v>
      </c>
      <c r="P874" s="1" t="s">
        <v>18</v>
      </c>
      <c r="Q874" s="1" t="s">
        <v>20</v>
      </c>
      <c r="R874" s="1"/>
      <c r="S874" s="1"/>
      <c r="T874" s="1"/>
    </row>
    <row r="875" spans="1:20">
      <c r="A875" s="1" t="s">
        <v>1860</v>
      </c>
      <c r="B875" s="1" t="str" cm="1">
        <f t="array" ref="B875">IF(A875="","",_xlfn.IFS(COUNTIF($U:$U,A875)&gt;0,"All uploaded",COUNTIF($V:$V,A875)&gt;0,"Partly uploaded",COUNTIF($W:$X,A875)&gt;0,"Not uploaded",TRUE,"Not classified"))</f>
        <v>Not uploaded</v>
      </c>
      <c r="C875" s="1" t="str" cm="1">
        <f t="array" ref="C875">_xlfn.SWITCH(TRIM(I875),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75" s="1"/>
      <c r="E875" s="1"/>
      <c r="F875" s="1" t="str" cm="1">
        <f t="array" ref="F875">_xlfn.LET(
_xlpm.status,UPPER(TRIM(B875&amp;"")),
_xlpm.risk,UPPER(TRIM(C875&amp;"")),
_xlpm.notify,UPPER(TRIM(D875&amp;"")),
_xlpm.form,UPPER(TRIM(E875&amp;"")),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75" s="1" t="str">
        <f t="shared" si="13"/>
        <v>NA</v>
      </c>
      <c r="H875" s="5"/>
      <c r="I875" s="1" t="s">
        <v>22</v>
      </c>
      <c r="J875" s="1"/>
      <c r="K875" s="1" t="s">
        <v>1859</v>
      </c>
      <c r="L875" s="1" t="s">
        <v>22</v>
      </c>
      <c r="M875" s="1"/>
      <c r="N875" s="1" t="s">
        <v>1861</v>
      </c>
      <c r="O875" s="1" t="s">
        <v>19</v>
      </c>
      <c r="P875" s="1" t="s">
        <v>18</v>
      </c>
      <c r="Q875" s="1" t="s">
        <v>20</v>
      </c>
      <c r="R875" s="1"/>
      <c r="S875" s="1"/>
      <c r="T875" s="1"/>
    </row>
    <row r="876" spans="1:20">
      <c r="A876" s="1" t="s">
        <v>1863</v>
      </c>
      <c r="B876" s="1" t="str" cm="1">
        <f t="array" ref="B876">IF(A876="","",_xlfn.IFS(COUNTIF($U:$U,A876)&gt;0,"All uploaded",COUNTIF($V:$V,A876)&gt;0,"Partly uploaded",COUNTIF($W:$X,A876)&gt;0,"Not uploaded",TRUE,"Not classified"))</f>
        <v>Partly uploaded</v>
      </c>
      <c r="C876" s="1" t="str" cm="1">
        <f t="array" ref="C876">_xlfn.SWITCH(TRIM(I876),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76" s="1"/>
      <c r="E876" s="1"/>
      <c r="F876" s="1" t="str" cm="1">
        <f t="array" ref="F876">_xlfn.LET(
_xlpm.status,UPPER(TRIM(B876&amp;"")),
_xlpm.risk,UPPER(TRIM(C876&amp;"")),
_xlpm.notify,UPPER(TRIM(D876&amp;"")),
_xlpm.form,UPPER(TRIM(E876&amp;"")),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76" s="1" t="str">
        <f t="shared" si="13"/>
        <v>NA</v>
      </c>
      <c r="H876" s="5"/>
      <c r="I876" s="1" t="s">
        <v>22</v>
      </c>
      <c r="J876" s="1"/>
      <c r="K876" s="1" t="s">
        <v>1862</v>
      </c>
      <c r="L876" s="1" t="s">
        <v>22</v>
      </c>
      <c r="M876" s="1"/>
      <c r="N876" s="1" t="s">
        <v>68</v>
      </c>
      <c r="O876" s="1" t="s">
        <v>19</v>
      </c>
      <c r="P876" s="1" t="s">
        <v>18</v>
      </c>
      <c r="Q876" s="1" t="s">
        <v>20</v>
      </c>
      <c r="R876" s="1"/>
      <c r="S876" s="1"/>
      <c r="T876" s="1"/>
    </row>
    <row r="877" spans="1:20">
      <c r="A877" s="1" t="s">
        <v>1867</v>
      </c>
      <c r="B877" s="1" t="str" cm="1">
        <f t="array" ref="B877">IF(A877="","",_xlfn.IFS(COUNTIF($U:$U,A877)&gt;0,"All uploaded",COUNTIF($V:$V,A877)&gt;0,"Partly uploaded",COUNTIF($W:$X,A877)&gt;0,"Not uploaded",TRUE,"Not classified"))</f>
        <v>Partly uploaded</v>
      </c>
      <c r="C877" s="1" t="str" cm="1">
        <f t="array" ref="C877">_xlfn.SWITCH(TRIM(I877),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77" s="1"/>
      <c r="E877" s="1"/>
      <c r="F877" s="1" t="str" cm="1">
        <f t="array" ref="F877">_xlfn.LET(
_xlpm.status,UPPER(TRIM(B877&amp;"")),
_xlpm.risk,UPPER(TRIM(C877&amp;"")),
_xlpm.notify,UPPER(TRIM(D877&amp;"")),
_xlpm.form,UPPER(TRIM(E877&amp;"")),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77" s="1" t="str">
        <f t="shared" si="13"/>
        <v>NA</v>
      </c>
      <c r="H877" s="5"/>
      <c r="I877" s="1" t="s">
        <v>22</v>
      </c>
      <c r="J877" s="1"/>
      <c r="K877" s="1" t="s">
        <v>1862</v>
      </c>
      <c r="L877" s="1" t="s">
        <v>22</v>
      </c>
      <c r="M877" s="1"/>
      <c r="N877" s="1" t="s">
        <v>1868</v>
      </c>
      <c r="O877" s="1" t="s">
        <v>19</v>
      </c>
      <c r="P877" s="1" t="s">
        <v>18</v>
      </c>
      <c r="Q877" s="1" t="s">
        <v>20</v>
      </c>
      <c r="R877" s="1"/>
      <c r="S877" s="1"/>
      <c r="T877" s="1"/>
    </row>
    <row r="878" spans="1:20">
      <c r="A878" s="1" t="s">
        <v>1878</v>
      </c>
      <c r="B878" s="1" t="str" cm="1">
        <f t="array" ref="B878">IF(A878="","",_xlfn.IFS(COUNTIF($U:$U,A878)&gt;0,"All uploaded",COUNTIF($V:$V,A878)&gt;0,"Partly uploaded",COUNTIF($W:$X,A878)&gt;0,"Not uploaded",TRUE,"Not classified"))</f>
        <v>Partly uploaded</v>
      </c>
      <c r="C878" s="1" t="str" cm="1">
        <f t="array" ref="C878">_xlfn.SWITCH(TRIM(I878),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78" s="1"/>
      <c r="E878" s="1"/>
      <c r="F878" s="1" t="str" cm="1">
        <f t="array" ref="F878">_xlfn.LET(
_xlpm.status,UPPER(TRIM(B878&amp;"")),
_xlpm.risk,UPPER(TRIM(C878&amp;"")),
_xlpm.notify,UPPER(TRIM(D878&amp;"")),
_xlpm.form,UPPER(TRIM(E878&amp;"")),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78" s="1" t="str">
        <f t="shared" si="13"/>
        <v>Required</v>
      </c>
      <c r="H878" s="5"/>
      <c r="I878" s="1" t="s">
        <v>27</v>
      </c>
      <c r="J878" s="1"/>
      <c r="K878" s="1" t="s">
        <v>1862</v>
      </c>
      <c r="L878" s="1" t="s">
        <v>27</v>
      </c>
      <c r="M878" s="1"/>
      <c r="N878" s="1" t="s">
        <v>1879</v>
      </c>
      <c r="O878" s="1" t="s">
        <v>19</v>
      </c>
      <c r="P878" s="1" t="s">
        <v>18</v>
      </c>
      <c r="Q878" s="1" t="s">
        <v>20</v>
      </c>
      <c r="R878" s="1"/>
      <c r="S878" s="1"/>
      <c r="T878" s="1"/>
    </row>
    <row r="879" spans="1:20">
      <c r="A879" s="1" t="s">
        <v>1894</v>
      </c>
      <c r="B879" s="1" t="str" cm="1">
        <f t="array" ref="B879">IF(A879="","",_xlfn.IFS(COUNTIF($U:$U,A879)&gt;0,"All uploaded",COUNTIF($V:$V,A879)&gt;0,"Partly uploaded",COUNTIF($W:$X,A879)&gt;0,"Not uploaded",TRUE,"Not classified"))</f>
        <v>Not uploaded</v>
      </c>
      <c r="C879" s="1" t="str" cm="1">
        <f t="array" ref="C879">_xlfn.SWITCH(TRIM(I879),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79" s="1"/>
      <c r="E879" s="1"/>
      <c r="F879" s="1" t="str" cm="1">
        <f t="array" ref="F879">_xlfn.LET(
_xlpm.status,UPPER(TRIM(B879&amp;"")),
_xlpm.risk,UPPER(TRIM(C879&amp;"")),
_xlpm.notify,UPPER(TRIM(D879&amp;"")),
_xlpm.form,UPPER(TRIM(E879&amp;"")),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79" s="1" t="str">
        <f t="shared" si="13"/>
        <v>NA</v>
      </c>
      <c r="H879" s="5"/>
      <c r="I879" s="1" t="s">
        <v>22</v>
      </c>
      <c r="J879" s="1"/>
      <c r="K879" s="1" t="s">
        <v>1888</v>
      </c>
      <c r="L879" s="1" t="s">
        <v>22</v>
      </c>
      <c r="M879" s="1"/>
      <c r="N879" s="1" t="s">
        <v>1895</v>
      </c>
      <c r="O879" s="1" t="s">
        <v>19</v>
      </c>
      <c r="P879" s="1" t="s">
        <v>18</v>
      </c>
      <c r="Q879" s="1" t="s">
        <v>20</v>
      </c>
      <c r="R879" s="1"/>
      <c r="S879" s="1"/>
      <c r="T879" s="1"/>
    </row>
    <row r="880" spans="1:20">
      <c r="A880" s="1" t="s">
        <v>1889</v>
      </c>
      <c r="B880" s="1" t="str" cm="1">
        <f t="array" ref="B880">IF(A880="","",_xlfn.IFS(COUNTIF($U:$U,A880)&gt;0,"All uploaded",COUNTIF($V:$V,A880)&gt;0,"Partly uploaded",COUNTIF($W:$X,A880)&gt;0,"Not uploaded",TRUE,"Not classified"))</f>
        <v>Partly uploaded</v>
      </c>
      <c r="C880" s="1" t="str" cm="1">
        <f t="array" ref="C880">_xlfn.SWITCH(TRIM(I880),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80" s="1"/>
      <c r="E880" s="1"/>
      <c r="F880" s="1" t="str" cm="1">
        <f t="array" ref="F880">_xlfn.LET(
_xlpm.status,UPPER(TRIM(B880&amp;"")),
_xlpm.risk,UPPER(TRIM(C880&amp;"")),
_xlpm.notify,UPPER(TRIM(D880&amp;"")),
_xlpm.form,UPPER(TRIM(E880&amp;"")),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80" s="1" t="str">
        <f t="shared" si="13"/>
        <v>NA</v>
      </c>
      <c r="H880" s="5"/>
      <c r="I880" s="1" t="s">
        <v>23</v>
      </c>
      <c r="J880" s="1"/>
      <c r="K880" s="1" t="s">
        <v>1888</v>
      </c>
      <c r="L880" s="1" t="s">
        <v>23</v>
      </c>
      <c r="M880" s="1"/>
      <c r="N880" s="1" t="s">
        <v>1890</v>
      </c>
      <c r="O880" s="1" t="s">
        <v>19</v>
      </c>
      <c r="P880" s="1" t="s">
        <v>18</v>
      </c>
      <c r="Q880" s="1" t="s">
        <v>20</v>
      </c>
      <c r="R880" s="1"/>
      <c r="S880" s="1"/>
      <c r="T880" s="1"/>
    </row>
    <row r="881" spans="1:20">
      <c r="A881" s="1" t="s">
        <v>1897</v>
      </c>
      <c r="B881" s="1" t="str" cm="1">
        <f t="array" ref="B881">IF(A881="","",_xlfn.IFS(COUNTIF($U:$U,A881)&gt;0,"All uploaded",COUNTIF($V:$V,A881)&gt;0,"Partly uploaded",COUNTIF($W:$X,A881)&gt;0,"Not uploaded",TRUE,"Not classified"))</f>
        <v>Partly uploaded</v>
      </c>
      <c r="C881" s="1" t="str" cm="1">
        <f t="array" ref="C881">_xlfn.SWITCH(TRIM(I881),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81" s="1"/>
      <c r="E881" s="1"/>
      <c r="F881" s="1" t="str" cm="1">
        <f t="array" ref="F881">_xlfn.LET(
_xlpm.status,UPPER(TRIM(B881&amp;"")),
_xlpm.risk,UPPER(TRIM(C881&amp;"")),
_xlpm.notify,UPPER(TRIM(D881&amp;"")),
_xlpm.form,UPPER(TRIM(E881&amp;"")),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81" s="1" t="str">
        <f t="shared" si="13"/>
        <v>NA</v>
      </c>
      <c r="H881" s="5"/>
      <c r="I881" s="1" t="s">
        <v>22</v>
      </c>
      <c r="J881" s="1"/>
      <c r="K881" s="1" t="s">
        <v>1896</v>
      </c>
      <c r="L881" s="1" t="s">
        <v>22</v>
      </c>
      <c r="M881" s="1"/>
      <c r="N881" s="1" t="s">
        <v>1898</v>
      </c>
      <c r="O881" s="1" t="s">
        <v>19</v>
      </c>
      <c r="P881" s="1" t="s">
        <v>18</v>
      </c>
      <c r="Q881" s="1" t="s">
        <v>20</v>
      </c>
      <c r="R881" s="1"/>
      <c r="S881" s="1"/>
      <c r="T881" s="1"/>
    </row>
    <row r="882" spans="1:20">
      <c r="A882" s="1" t="s">
        <v>1903</v>
      </c>
      <c r="B882" s="1" t="str" cm="1">
        <f t="array" ref="B882">IF(A882="","",_xlfn.IFS(COUNTIF($U:$U,A882)&gt;0,"All uploaded",COUNTIF($V:$V,A882)&gt;0,"Partly uploaded",COUNTIF($W:$X,A882)&gt;0,"Not uploaded",TRUE,"Not classified"))</f>
        <v>Not uploaded</v>
      </c>
      <c r="C882" s="1" t="str" cm="1">
        <f t="array" ref="C882">_xlfn.SWITCH(TRIM(I882),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82" s="1"/>
      <c r="E882" s="1"/>
      <c r="F882" s="1" t="str" cm="1">
        <f t="array" ref="F882">_xlfn.LET(
_xlpm.status,UPPER(TRIM(B882&amp;"")),
_xlpm.risk,UPPER(TRIM(C882&amp;"")),
_xlpm.notify,UPPER(TRIM(D882&amp;"")),
_xlpm.form,UPPER(TRIM(E882&amp;"")),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82" s="1" t="str">
        <f t="shared" si="13"/>
        <v>Required</v>
      </c>
      <c r="H882" s="5"/>
      <c r="I882" s="1" t="s">
        <v>33</v>
      </c>
      <c r="J882" s="1"/>
      <c r="K882" s="1" t="s">
        <v>1902</v>
      </c>
      <c r="L882" s="1" t="s">
        <v>33</v>
      </c>
      <c r="M882" s="1"/>
      <c r="N882" s="1" t="s">
        <v>1904</v>
      </c>
      <c r="O882" s="1" t="s">
        <v>19</v>
      </c>
      <c r="P882" s="1" t="s">
        <v>18</v>
      </c>
      <c r="Q882" s="1" t="s">
        <v>20</v>
      </c>
      <c r="R882" s="1"/>
      <c r="S882" s="1"/>
      <c r="T882" s="1"/>
    </row>
    <row r="883" spans="1:20">
      <c r="A883" s="1" t="s">
        <v>1906</v>
      </c>
      <c r="B883" s="1" t="str" cm="1">
        <f t="array" ref="B883">IF(A883="","",_xlfn.IFS(COUNTIF($U:$U,A883)&gt;0,"All uploaded",COUNTIF($V:$V,A883)&gt;0,"Partly uploaded",COUNTIF($W:$X,A883)&gt;0,"Not uploaded",TRUE,"Not classified"))</f>
        <v>Not uploaded</v>
      </c>
      <c r="C883" s="1" t="str" cm="1">
        <f t="array" ref="C883">_xlfn.SWITCH(TRIM(I883),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83" s="1"/>
      <c r="E883" s="1"/>
      <c r="F883" s="1" t="str" cm="1">
        <f t="array" ref="F883">_xlfn.LET(
_xlpm.status,UPPER(TRIM(B883&amp;"")),
_xlpm.risk,UPPER(TRIM(C883&amp;"")),
_xlpm.notify,UPPER(TRIM(D883&amp;"")),
_xlpm.form,UPPER(TRIM(E883&amp;"")),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83" s="1" t="str">
        <f t="shared" si="13"/>
        <v>Required</v>
      </c>
      <c r="H883" s="5"/>
      <c r="I883" s="1" t="s">
        <v>25</v>
      </c>
      <c r="J883" s="1"/>
      <c r="K883" s="1" t="s">
        <v>1905</v>
      </c>
      <c r="L883" s="1" t="s">
        <v>25</v>
      </c>
      <c r="M883" s="1"/>
      <c r="N883" s="1" t="s">
        <v>1907</v>
      </c>
      <c r="O883" s="1" t="s">
        <v>19</v>
      </c>
      <c r="P883" s="1" t="s">
        <v>18</v>
      </c>
      <c r="Q883" s="1" t="s">
        <v>20</v>
      </c>
      <c r="R883" s="1"/>
      <c r="S883" s="1"/>
      <c r="T883" s="1"/>
    </row>
    <row r="884" spans="1:20">
      <c r="A884" s="1" t="s">
        <v>1914</v>
      </c>
      <c r="B884" s="1" t="str" cm="1">
        <f t="array" ref="B884">IF(A884="","",_xlfn.IFS(COUNTIF($U:$U,A884)&gt;0,"All uploaded",COUNTIF($V:$V,A884)&gt;0,"Partly uploaded",COUNTIF($W:$X,A884)&gt;0,"Not uploaded",TRUE,"Not classified"))</f>
        <v>Not uploaded</v>
      </c>
      <c r="C884" s="1" t="str" cm="1">
        <f t="array" ref="C884">_xlfn.SWITCH(TRIM(I884),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84" s="1"/>
      <c r="E884" s="1"/>
      <c r="F884" s="1" t="str" cm="1">
        <f t="array" ref="F884">_xlfn.LET(
_xlpm.status,UPPER(TRIM(B884&amp;"")),
_xlpm.risk,UPPER(TRIM(C884&amp;"")),
_xlpm.notify,UPPER(TRIM(D884&amp;"")),
_xlpm.form,UPPER(TRIM(E884&amp;"")),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84" s="1" t="str">
        <f t="shared" si="13"/>
        <v>NA</v>
      </c>
      <c r="H884" s="5"/>
      <c r="I884" s="1" t="s">
        <v>22</v>
      </c>
      <c r="J884" s="1"/>
      <c r="K884" s="1" t="s">
        <v>1905</v>
      </c>
      <c r="L884" s="1" t="s">
        <v>22</v>
      </c>
      <c r="M884" s="1"/>
      <c r="N884" s="1" t="s">
        <v>1915</v>
      </c>
      <c r="O884" s="1" t="s">
        <v>19</v>
      </c>
      <c r="P884" s="1" t="s">
        <v>18</v>
      </c>
      <c r="Q884" s="1" t="s">
        <v>20</v>
      </c>
      <c r="R884" s="1"/>
      <c r="S884" s="1"/>
      <c r="T884" s="1"/>
    </row>
    <row r="885" spans="1:20">
      <c r="A885" s="1" t="s">
        <v>1916</v>
      </c>
      <c r="B885" s="1" t="str" cm="1">
        <f t="array" ref="B885">IF(A885="","",_xlfn.IFS(COUNTIF($U:$U,A885)&gt;0,"All uploaded",COUNTIF($V:$V,A885)&gt;0,"Partly uploaded",COUNTIF($W:$X,A885)&gt;0,"Not uploaded",TRUE,"Not classified"))</f>
        <v>Not uploaded</v>
      </c>
      <c r="C885" s="1" t="str" cm="1">
        <f t="array" ref="C885">_xlfn.SWITCH(TRIM(I885),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85" s="1"/>
      <c r="E885" s="1"/>
      <c r="F885" s="1" t="str" cm="1">
        <f t="array" ref="F885">_xlfn.LET(
_xlpm.status,UPPER(TRIM(B885&amp;"")),
_xlpm.risk,UPPER(TRIM(C885&amp;"")),
_xlpm.notify,UPPER(TRIM(D885&amp;"")),
_xlpm.form,UPPER(TRIM(E885&amp;"")),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85" s="1" t="str">
        <f t="shared" si="13"/>
        <v>Required</v>
      </c>
      <c r="H885" s="5"/>
      <c r="I885" s="1" t="s">
        <v>27</v>
      </c>
      <c r="J885" s="1"/>
      <c r="K885" s="1" t="s">
        <v>1905</v>
      </c>
      <c r="L885" s="1" t="s">
        <v>27</v>
      </c>
      <c r="M885" s="1"/>
      <c r="N885" s="1" t="s">
        <v>1917</v>
      </c>
      <c r="O885" s="1" t="s">
        <v>19</v>
      </c>
      <c r="P885" s="1" t="s">
        <v>18</v>
      </c>
      <c r="Q885" s="1" t="s">
        <v>20</v>
      </c>
      <c r="R885" s="1"/>
      <c r="S885" s="1"/>
      <c r="T885" s="1"/>
    </row>
    <row r="886" spans="1:20">
      <c r="A886" s="1" t="s">
        <v>1919</v>
      </c>
      <c r="B886" s="1" t="str" cm="1">
        <f t="array" ref="B886">IF(A886="","",_xlfn.IFS(COUNTIF($U:$U,A886)&gt;0,"All uploaded",COUNTIF($V:$V,A886)&gt;0,"Partly uploaded",COUNTIF($W:$X,A886)&gt;0,"Not uploaded",TRUE,"Not classified"))</f>
        <v>Partly uploaded</v>
      </c>
      <c r="C886" s="1" t="str" cm="1">
        <f t="array" ref="C886">_xlfn.SWITCH(TRIM(I886),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86" s="1"/>
      <c r="E886" s="1"/>
      <c r="F886" s="1" t="str" cm="1">
        <f t="array" ref="F886">_xlfn.LET(
_xlpm.status,UPPER(TRIM(B886&amp;"")),
_xlpm.risk,UPPER(TRIM(C886&amp;"")),
_xlpm.notify,UPPER(TRIM(D886&amp;"")),
_xlpm.form,UPPER(TRIM(E886&amp;"")),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86" s="1" t="str">
        <f t="shared" si="13"/>
        <v>NA</v>
      </c>
      <c r="H886" s="5"/>
      <c r="I886" s="1" t="s">
        <v>23</v>
      </c>
      <c r="J886" s="1"/>
      <c r="K886" s="1" t="s">
        <v>1918</v>
      </c>
      <c r="L886" s="1" t="s">
        <v>23</v>
      </c>
      <c r="M886" s="1"/>
      <c r="N886" s="1" t="s">
        <v>1920</v>
      </c>
      <c r="O886" s="1" t="s">
        <v>19</v>
      </c>
      <c r="P886" s="1" t="s">
        <v>18</v>
      </c>
      <c r="Q886" s="1" t="s">
        <v>20</v>
      </c>
      <c r="R886" s="1"/>
      <c r="S886" s="1"/>
      <c r="T886" s="1"/>
    </row>
    <row r="887" spans="1:20">
      <c r="A887" s="1" t="s">
        <v>1924</v>
      </c>
      <c r="B887" s="1" t="str" cm="1">
        <f t="array" ref="B887">IF(A887="","",_xlfn.IFS(COUNTIF($U:$U,A887)&gt;0,"All uploaded",COUNTIF($V:$V,A887)&gt;0,"Partly uploaded",COUNTIF($W:$X,A887)&gt;0,"Not uploaded",TRUE,"Not classified"))</f>
        <v>Not uploaded</v>
      </c>
      <c r="C887" s="1" t="str" cm="1">
        <f t="array" ref="C887">_xlfn.SWITCH(TRIM(I887),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87" s="1"/>
      <c r="E887" s="1"/>
      <c r="F887" s="1" t="str" cm="1">
        <f t="array" ref="F887">_xlfn.LET(
_xlpm.status,UPPER(TRIM(B887&amp;"")),
_xlpm.risk,UPPER(TRIM(C887&amp;"")),
_xlpm.notify,UPPER(TRIM(D887&amp;"")),
_xlpm.form,UPPER(TRIM(E887&amp;"")),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87" s="1" t="str">
        <f t="shared" si="13"/>
        <v>NA</v>
      </c>
      <c r="H887" s="5"/>
      <c r="I887" s="1" t="s">
        <v>48</v>
      </c>
      <c r="J887" s="1"/>
      <c r="K887" s="1" t="s">
        <v>1918</v>
      </c>
      <c r="L887" s="1" t="s">
        <v>48</v>
      </c>
      <c r="M887" s="1"/>
      <c r="N887" s="1" t="s">
        <v>961</v>
      </c>
      <c r="O887" s="1" t="s">
        <v>19</v>
      </c>
      <c r="P887" s="1" t="s">
        <v>18</v>
      </c>
      <c r="Q887" s="1" t="s">
        <v>20</v>
      </c>
      <c r="R887" s="1"/>
      <c r="S887" s="1"/>
      <c r="T887" s="1"/>
    </row>
    <row r="888" spans="1:20">
      <c r="A888" s="1" t="s">
        <v>1926</v>
      </c>
      <c r="B888" s="1" t="str" cm="1">
        <f t="array" ref="B888">IF(A888="","",_xlfn.IFS(COUNTIF($U:$U,A888)&gt;0,"All uploaded",COUNTIF($V:$V,A888)&gt;0,"Partly uploaded",COUNTIF($W:$X,A888)&gt;0,"Not uploaded",TRUE,"Not classified"))</f>
        <v>Not uploaded</v>
      </c>
      <c r="C888" s="1" t="str" cm="1">
        <f t="array" ref="C888">_xlfn.SWITCH(TRIM(I888),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888" s="1"/>
      <c r="E888" s="1"/>
      <c r="F888" s="1" t="str" cm="1">
        <f t="array" ref="F888">_xlfn.LET(
_xlpm.status,UPPER(TRIM(B888&amp;"")),
_xlpm.risk,UPPER(TRIM(C888&amp;"")),
_xlpm.notify,UPPER(TRIM(D888&amp;"")),
_xlpm.form,UPPER(TRIM(E888&amp;"")),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888" s="1" t="str">
        <f t="shared" si="13"/>
        <v>NA</v>
      </c>
      <c r="H888" s="5"/>
      <c r="I888" s="1" t="s">
        <v>21</v>
      </c>
      <c r="J888" s="1"/>
      <c r="K888" s="1" t="s">
        <v>1925</v>
      </c>
      <c r="L888" s="1" t="s">
        <v>21</v>
      </c>
      <c r="M888" s="1"/>
      <c r="N888" s="1" t="s">
        <v>83</v>
      </c>
      <c r="O888" s="1" t="s">
        <v>19</v>
      </c>
      <c r="P888" s="1" t="s">
        <v>18</v>
      </c>
      <c r="Q888" s="1" t="s">
        <v>20</v>
      </c>
      <c r="R888" s="1"/>
      <c r="S888" s="1"/>
      <c r="T888" s="1"/>
    </row>
    <row r="889" spans="1:20">
      <c r="A889" s="1" t="s">
        <v>1928</v>
      </c>
      <c r="B889" s="1" t="str" cm="1">
        <f t="array" ref="B889">IF(A889="","",_xlfn.IFS(COUNTIF($U:$U,A889)&gt;0,"All uploaded",COUNTIF($V:$V,A889)&gt;0,"Partly uploaded",COUNTIF($W:$X,A889)&gt;0,"Not uploaded",TRUE,"Not classified"))</f>
        <v>Not uploaded</v>
      </c>
      <c r="C889" s="1" t="str" cm="1">
        <f t="array" ref="C889">_xlfn.SWITCH(TRIM(I889),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89" s="1"/>
      <c r="E889" s="1"/>
      <c r="F889" s="1" t="str" cm="1">
        <f t="array" ref="F889">_xlfn.LET(
_xlpm.status,UPPER(TRIM(B889&amp;"")),
_xlpm.risk,UPPER(TRIM(C889&amp;"")),
_xlpm.notify,UPPER(TRIM(D889&amp;"")),
_xlpm.form,UPPER(TRIM(E889&amp;"")),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89" s="1" t="str">
        <f t="shared" si="13"/>
        <v>NA</v>
      </c>
      <c r="H889" s="5"/>
      <c r="I889" s="1" t="s">
        <v>22</v>
      </c>
      <c r="J889" s="1"/>
      <c r="K889" s="1" t="s">
        <v>1927</v>
      </c>
      <c r="L889" s="1" t="s">
        <v>22</v>
      </c>
      <c r="M889" s="1"/>
      <c r="N889" s="1" t="s">
        <v>1929</v>
      </c>
      <c r="O889" s="1" t="s">
        <v>19</v>
      </c>
      <c r="P889" s="1" t="s">
        <v>18</v>
      </c>
      <c r="Q889" s="1" t="s">
        <v>20</v>
      </c>
      <c r="R889" s="1"/>
      <c r="S889" s="1"/>
      <c r="T889" s="1"/>
    </row>
    <row r="890" spans="1:20">
      <c r="A890" s="1" t="s">
        <v>1936</v>
      </c>
      <c r="B890" s="1" t="str" cm="1">
        <f t="array" ref="B890">IF(A890="","",_xlfn.IFS(COUNTIF($U:$U,A890)&gt;0,"All uploaded",COUNTIF($V:$V,A890)&gt;0,"Partly uploaded",COUNTIF($W:$X,A890)&gt;0,"Not uploaded",TRUE,"Not classified"))</f>
        <v>Not uploaded</v>
      </c>
      <c r="C890" s="1" t="str" cm="1">
        <f t="array" ref="C890">_xlfn.SWITCH(TRIM(I890),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90" s="1"/>
      <c r="E890" s="1"/>
      <c r="F890" s="1" t="str" cm="1">
        <f t="array" ref="F890">_xlfn.LET(
_xlpm.status,UPPER(TRIM(B890&amp;"")),
_xlpm.risk,UPPER(TRIM(C890&amp;"")),
_xlpm.notify,UPPER(TRIM(D890&amp;"")),
_xlpm.form,UPPER(TRIM(E890&amp;"")),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90" s="1" t="str">
        <f t="shared" si="13"/>
        <v>NA</v>
      </c>
      <c r="H890" s="5"/>
      <c r="I890" s="1" t="s">
        <v>22</v>
      </c>
      <c r="J890" s="1"/>
      <c r="K890" s="1" t="s">
        <v>1930</v>
      </c>
      <c r="L890" s="1" t="s">
        <v>22</v>
      </c>
      <c r="M890" s="1"/>
      <c r="N890" s="1" t="s">
        <v>1937</v>
      </c>
      <c r="O890" s="1" t="s">
        <v>19</v>
      </c>
      <c r="P890" s="1" t="s">
        <v>18</v>
      </c>
      <c r="Q890" s="1" t="s">
        <v>20</v>
      </c>
      <c r="R890" s="1"/>
      <c r="S890" s="1"/>
      <c r="T890" s="1"/>
    </row>
    <row r="891" spans="1:20">
      <c r="A891" s="1" t="s">
        <v>1938</v>
      </c>
      <c r="B891" s="1" t="str" cm="1">
        <f t="array" ref="B891">IF(A891="","",_xlfn.IFS(COUNTIF($U:$U,A891)&gt;0,"All uploaded",COUNTIF($V:$V,A891)&gt;0,"Partly uploaded",COUNTIF($W:$X,A891)&gt;0,"Not uploaded",TRUE,"Not classified"))</f>
        <v>Not uploaded</v>
      </c>
      <c r="C891" s="1" t="str" cm="1">
        <f t="array" ref="C891">_xlfn.SWITCH(TRIM(I891),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91" s="1"/>
      <c r="E891" s="1"/>
      <c r="F891" s="1" t="str" cm="1">
        <f t="array" ref="F891">_xlfn.LET(
_xlpm.status,UPPER(TRIM(B891&amp;"")),
_xlpm.risk,UPPER(TRIM(C891&amp;"")),
_xlpm.notify,UPPER(TRIM(D891&amp;"")),
_xlpm.form,UPPER(TRIM(E891&amp;"")),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91" s="1" t="str">
        <f t="shared" si="13"/>
        <v>NA</v>
      </c>
      <c r="H891" s="5"/>
      <c r="I891" s="1" t="s">
        <v>22</v>
      </c>
      <c r="J891" s="1"/>
      <c r="K891" s="1" t="s">
        <v>1930</v>
      </c>
      <c r="L891" s="1" t="s">
        <v>22</v>
      </c>
      <c r="M891" s="1"/>
      <c r="N891" s="1" t="s">
        <v>1939</v>
      </c>
      <c r="O891" s="1" t="s">
        <v>19</v>
      </c>
      <c r="P891" s="1" t="s">
        <v>18</v>
      </c>
      <c r="Q891" s="1" t="s">
        <v>20</v>
      </c>
      <c r="R891" s="1"/>
      <c r="S891" s="1"/>
      <c r="T891" s="1"/>
    </row>
    <row r="892" spans="1:20">
      <c r="A892" s="1" t="s">
        <v>1931</v>
      </c>
      <c r="B892" s="1" t="str" cm="1">
        <f t="array" ref="B892">IF(A892="","",_xlfn.IFS(COUNTIF($U:$U,A892)&gt;0,"All uploaded",COUNTIF($V:$V,A892)&gt;0,"Partly uploaded",COUNTIF($W:$X,A892)&gt;0,"Not uploaded",TRUE,"Not classified"))</f>
        <v>Partly uploaded</v>
      </c>
      <c r="C892" s="1" t="str" cm="1">
        <f t="array" ref="C892">_xlfn.SWITCH(TRIM(I892),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92" s="1"/>
      <c r="E892" s="1"/>
      <c r="F892" s="1" t="str" cm="1">
        <f t="array" ref="F892">_xlfn.LET(
_xlpm.status,UPPER(TRIM(B892&amp;"")),
_xlpm.risk,UPPER(TRIM(C892&amp;"")),
_xlpm.notify,UPPER(TRIM(D892&amp;"")),
_xlpm.form,UPPER(TRIM(E892&amp;"")),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92" s="1" t="str">
        <f t="shared" si="13"/>
        <v>NA</v>
      </c>
      <c r="H892" s="5"/>
      <c r="I892" s="1" t="s">
        <v>22</v>
      </c>
      <c r="J892" s="1"/>
      <c r="K892" s="1" t="s">
        <v>1930</v>
      </c>
      <c r="L892" s="1" t="s">
        <v>22</v>
      </c>
      <c r="M892" s="1"/>
      <c r="N892" s="1" t="s">
        <v>1932</v>
      </c>
      <c r="O892" s="1" t="s">
        <v>19</v>
      </c>
      <c r="P892" s="1" t="s">
        <v>18</v>
      </c>
      <c r="Q892" s="1" t="s">
        <v>20</v>
      </c>
      <c r="R892" s="1"/>
      <c r="S892" s="1"/>
      <c r="T892" s="1"/>
    </row>
    <row r="893" spans="1:20">
      <c r="A893" s="1" t="s">
        <v>1941</v>
      </c>
      <c r="B893" s="1" t="str" cm="1">
        <f t="array" ref="B893">IF(A893="","",_xlfn.IFS(COUNTIF($U:$U,A893)&gt;0,"All uploaded",COUNTIF($V:$V,A893)&gt;0,"Partly uploaded",COUNTIF($W:$X,A893)&gt;0,"Not uploaded",TRUE,"Not classified"))</f>
        <v>Partly uploaded</v>
      </c>
      <c r="C893" s="1" t="str" cm="1">
        <f t="array" ref="C893">_xlfn.SWITCH(TRIM(I893),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93" s="1"/>
      <c r="E893" s="1"/>
      <c r="F893" s="1" t="str" cm="1">
        <f t="array" ref="F893">_xlfn.LET(
_xlpm.status,UPPER(TRIM(B893&amp;"")),
_xlpm.risk,UPPER(TRIM(C893&amp;"")),
_xlpm.notify,UPPER(TRIM(D893&amp;"")),
_xlpm.form,UPPER(TRIM(E893&amp;"")),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93" s="1" t="str">
        <f t="shared" si="13"/>
        <v>NA</v>
      </c>
      <c r="H893" s="5"/>
      <c r="I893" s="1" t="s">
        <v>22</v>
      </c>
      <c r="J893" s="1"/>
      <c r="K893" s="1" t="s">
        <v>1940</v>
      </c>
      <c r="L893" s="1" t="s">
        <v>22</v>
      </c>
      <c r="M893" s="1"/>
      <c r="N893" s="1" t="s">
        <v>1942</v>
      </c>
      <c r="O893" s="1" t="s">
        <v>19</v>
      </c>
      <c r="P893" s="1" t="s">
        <v>18</v>
      </c>
      <c r="Q893" s="1" t="s">
        <v>20</v>
      </c>
      <c r="R893" s="1"/>
      <c r="S893" s="1"/>
      <c r="T893" s="1"/>
    </row>
    <row r="894" spans="1:20">
      <c r="A894" s="1" t="s">
        <v>1957</v>
      </c>
      <c r="B894" s="1" t="str" cm="1">
        <f t="array" ref="B894">IF(A894="","",_xlfn.IFS(COUNTIF($U:$U,A894)&gt;0,"All uploaded",COUNTIF($V:$V,A894)&gt;0,"Partly uploaded",COUNTIF($W:$X,A894)&gt;0,"Not uploaded",TRUE,"Not classified"))</f>
        <v>Not uploaded</v>
      </c>
      <c r="C894" s="1" t="str" cm="1">
        <f t="array" ref="C894">_xlfn.SWITCH(TRIM(I894),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94" s="1"/>
      <c r="E894" s="1"/>
      <c r="F894" s="1" t="str" cm="1">
        <f t="array" ref="F894">_xlfn.LET(
_xlpm.status,UPPER(TRIM(B894&amp;"")),
_xlpm.risk,UPPER(TRIM(C894&amp;"")),
_xlpm.notify,UPPER(TRIM(D894&amp;"")),
_xlpm.form,UPPER(TRIM(E894&amp;"")),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94" s="1" t="str">
        <f t="shared" si="13"/>
        <v>Required</v>
      </c>
      <c r="H894" s="5"/>
      <c r="I894" s="1" t="s">
        <v>27</v>
      </c>
      <c r="J894" s="1"/>
      <c r="K894" s="1" t="s">
        <v>1950</v>
      </c>
      <c r="L894" s="1" t="s">
        <v>27</v>
      </c>
      <c r="M894" s="1"/>
      <c r="N894" s="1" t="s">
        <v>1958</v>
      </c>
      <c r="O894" s="1" t="s">
        <v>19</v>
      </c>
      <c r="P894" s="1" t="s">
        <v>18</v>
      </c>
      <c r="Q894" s="1" t="s">
        <v>20</v>
      </c>
      <c r="R894" s="1"/>
      <c r="S894" s="1"/>
      <c r="T894" s="1"/>
    </row>
    <row r="895" spans="1:20">
      <c r="A895" s="1" t="s">
        <v>1959</v>
      </c>
      <c r="B895" s="1" t="str" cm="1">
        <f t="array" ref="B895">IF(A895="","",_xlfn.IFS(COUNTIF($U:$U,A895)&gt;0,"All uploaded",COUNTIF($V:$V,A895)&gt;0,"Partly uploaded",COUNTIF($W:$X,A895)&gt;0,"Not uploaded",TRUE,"Not classified"))</f>
        <v>Partly uploaded</v>
      </c>
      <c r="C895" s="1" t="str" cm="1">
        <f t="array" ref="C895">_xlfn.SWITCH(TRIM(I895),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895" s="1"/>
      <c r="E895" s="1"/>
      <c r="F895" s="1" t="str" cm="1">
        <f t="array" ref="F895">_xlfn.LET(
_xlpm.status,UPPER(TRIM(B895&amp;"")),
_xlpm.risk,UPPER(TRIM(C895&amp;"")),
_xlpm.notify,UPPER(TRIM(D895&amp;"")),
_xlpm.form,UPPER(TRIM(E895&amp;"")),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95" s="1" t="str">
        <f t="shared" si="13"/>
        <v>Required</v>
      </c>
      <c r="H895" s="5"/>
      <c r="I895" s="1" t="s">
        <v>27</v>
      </c>
      <c r="J895" s="1"/>
      <c r="K895" s="1" t="s">
        <v>1950</v>
      </c>
      <c r="L895" s="1" t="s">
        <v>27</v>
      </c>
      <c r="M895" s="1"/>
      <c r="N895" s="1" t="s">
        <v>1960</v>
      </c>
      <c r="O895" s="1" t="s">
        <v>19</v>
      </c>
      <c r="P895" s="1" t="s">
        <v>18</v>
      </c>
      <c r="Q895" s="1" t="s">
        <v>20</v>
      </c>
      <c r="R895" s="1"/>
      <c r="S895" s="1"/>
      <c r="T895" s="1"/>
    </row>
    <row r="896" spans="1:20">
      <c r="A896" s="1" t="s">
        <v>1965</v>
      </c>
      <c r="B896" s="1" t="str" cm="1">
        <f t="array" ref="B896">IF(A896="","",_xlfn.IFS(COUNTIF($U:$U,A896)&gt;0,"All uploaded",COUNTIF($V:$V,A896)&gt;0,"Partly uploaded",COUNTIF($W:$X,A896)&gt;0,"Not uploaded",TRUE,"Not classified"))</f>
        <v>Not uploaded</v>
      </c>
      <c r="C896" s="1" t="str" cm="1">
        <f t="array" ref="C896">_xlfn.SWITCH(TRIM(I896),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96" s="1"/>
      <c r="E896" s="1"/>
      <c r="F896" s="1" t="str" cm="1">
        <f t="array" ref="F896">_xlfn.LET(
_xlpm.status,UPPER(TRIM(B896&amp;"")),
_xlpm.risk,UPPER(TRIM(C896&amp;"")),
_xlpm.notify,UPPER(TRIM(D896&amp;"")),
_xlpm.form,UPPER(TRIM(E896&amp;"")),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96" s="1" t="str">
        <f t="shared" si="13"/>
        <v>NA</v>
      </c>
      <c r="H896" s="5"/>
      <c r="I896" s="1" t="s">
        <v>22</v>
      </c>
      <c r="J896" s="1"/>
      <c r="K896" s="1" t="s">
        <v>1964</v>
      </c>
      <c r="L896" s="1" t="s">
        <v>22</v>
      </c>
      <c r="M896" s="1"/>
      <c r="N896" s="1" t="s">
        <v>1966</v>
      </c>
      <c r="O896" s="1" t="s">
        <v>19</v>
      </c>
      <c r="P896" s="1" t="s">
        <v>18</v>
      </c>
      <c r="Q896" s="1" t="s">
        <v>20</v>
      </c>
      <c r="R896" s="1"/>
      <c r="S896" s="1"/>
      <c r="T896" s="1"/>
    </row>
    <row r="897" spans="1:20">
      <c r="A897" s="1" t="s">
        <v>1967</v>
      </c>
      <c r="B897" s="1" t="str" cm="1">
        <f t="array" ref="B897">IF(A897="","",_xlfn.IFS(COUNTIF($U:$U,A897)&gt;0,"All uploaded",COUNTIF($V:$V,A897)&gt;0,"Partly uploaded",COUNTIF($W:$X,A897)&gt;0,"Not uploaded",TRUE,"Not classified"))</f>
        <v>Partly uploaded</v>
      </c>
      <c r="C897" s="1" t="str" cm="1">
        <f t="array" ref="C897">_xlfn.SWITCH(TRIM(I897),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97" s="1"/>
      <c r="E897" s="1"/>
      <c r="F897" s="1" t="str" cm="1">
        <f t="array" ref="F897">_xlfn.LET(
_xlpm.status,UPPER(TRIM(B897&amp;"")),
_xlpm.risk,UPPER(TRIM(C897&amp;"")),
_xlpm.notify,UPPER(TRIM(D897&amp;"")),
_xlpm.form,UPPER(TRIM(E897&amp;"")),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97" s="1" t="str">
        <f t="shared" ref="G897:G960" si="14">IF(AND(UPPER(TRIM(C897&amp;""))="MAJOR",OR(TRIM(D897&amp;"")="",UPPER(TRIM(E897&amp;""))="REJECT")),"Required","NA")</f>
        <v>NA</v>
      </c>
      <c r="H897" s="5"/>
      <c r="I897" s="1" t="s">
        <v>23</v>
      </c>
      <c r="J897" s="1"/>
      <c r="K897" s="1" t="s">
        <v>1964</v>
      </c>
      <c r="L897" s="1" t="s">
        <v>23</v>
      </c>
      <c r="M897" s="1"/>
      <c r="N897" s="1" t="s">
        <v>1968</v>
      </c>
      <c r="O897" s="1" t="s">
        <v>19</v>
      </c>
      <c r="P897" s="1" t="s">
        <v>18</v>
      </c>
      <c r="Q897" s="1" t="s">
        <v>20</v>
      </c>
      <c r="R897" s="1"/>
      <c r="S897" s="1"/>
      <c r="T897" s="1"/>
    </row>
    <row r="898" spans="1:20">
      <c r="A898" s="1" t="s">
        <v>1969</v>
      </c>
      <c r="B898" s="1" t="str" cm="1">
        <f t="array" ref="B898">IF(A898="","",_xlfn.IFS(COUNTIF($U:$U,A898)&gt;0,"All uploaded",COUNTIF($V:$V,A898)&gt;0,"Partly uploaded",COUNTIF($W:$X,A898)&gt;0,"Not uploaded",TRUE,"Not classified"))</f>
        <v>Not uploaded</v>
      </c>
      <c r="C898" s="1" t="str" cm="1">
        <f t="array" ref="C898">_xlfn.SWITCH(TRIM(I898),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898" s="1"/>
      <c r="E898" s="1"/>
      <c r="F898" s="1" t="str" cm="1">
        <f t="array" ref="F898">_xlfn.LET(
_xlpm.status,UPPER(TRIM(B898&amp;"")),
_xlpm.risk,UPPER(TRIM(C898&amp;"")),
_xlpm.notify,UPPER(TRIM(D898&amp;"")),
_xlpm.form,UPPER(TRIM(E898&amp;"")),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898" s="1" t="str">
        <f t="shared" si="14"/>
        <v>NA</v>
      </c>
      <c r="H898" s="5"/>
      <c r="I898" s="1" t="s">
        <v>21</v>
      </c>
      <c r="J898" s="1"/>
      <c r="K898" s="1" t="s">
        <v>1964</v>
      </c>
      <c r="L898" s="1" t="s">
        <v>21</v>
      </c>
      <c r="M898" s="1"/>
      <c r="N898" s="1" t="s">
        <v>1970</v>
      </c>
      <c r="O898" s="1" t="s">
        <v>19</v>
      </c>
      <c r="P898" s="1" t="s">
        <v>18</v>
      </c>
      <c r="Q898" s="1" t="s">
        <v>20</v>
      </c>
      <c r="R898" s="1"/>
      <c r="S898" s="1"/>
      <c r="T898" s="1"/>
    </row>
    <row r="899" spans="1:20">
      <c r="A899" s="1" t="s">
        <v>1971</v>
      </c>
      <c r="B899" s="1" t="str" cm="1">
        <f t="array" ref="B899">IF(A899="","",_xlfn.IFS(COUNTIF($U:$U,A899)&gt;0,"All uploaded",COUNTIF($V:$V,A899)&gt;0,"Partly uploaded",COUNTIF($W:$X,A899)&gt;0,"Not uploaded",TRUE,"Not classified"))</f>
        <v>Not uploaded</v>
      </c>
      <c r="C899" s="1" t="str" cm="1">
        <f t="array" ref="C899">_xlfn.SWITCH(TRIM(I899),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899" s="1"/>
      <c r="E899" s="1"/>
      <c r="F899" s="1" t="str" cm="1">
        <f t="array" ref="F899">_xlfn.LET(
_xlpm.status,UPPER(TRIM(B899&amp;"")),
_xlpm.risk,UPPER(TRIM(C899&amp;"")),
_xlpm.notify,UPPER(TRIM(D899&amp;"")),
_xlpm.form,UPPER(TRIM(E899&amp;"")),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899" s="1" t="str">
        <f t="shared" si="14"/>
        <v>NA</v>
      </c>
      <c r="H899" s="5"/>
      <c r="I899" s="1" t="s">
        <v>22</v>
      </c>
      <c r="J899" s="1"/>
      <c r="K899" s="1" t="s">
        <v>1964</v>
      </c>
      <c r="L899" s="1" t="s">
        <v>22</v>
      </c>
      <c r="M899" s="1"/>
      <c r="N899" s="1" t="s">
        <v>1972</v>
      </c>
      <c r="O899" s="1" t="s">
        <v>19</v>
      </c>
      <c r="P899" s="1" t="s">
        <v>18</v>
      </c>
      <c r="Q899" s="1" t="s">
        <v>20</v>
      </c>
      <c r="R899" s="1"/>
      <c r="S899" s="1"/>
      <c r="T899" s="1"/>
    </row>
    <row r="900" spans="1:20">
      <c r="A900" s="1" t="s">
        <v>1977</v>
      </c>
      <c r="B900" s="1" t="str" cm="1">
        <f t="array" ref="B900">IF(A900="","",_xlfn.IFS(COUNTIF($U:$U,A900)&gt;0,"All uploaded",COUNTIF($V:$V,A900)&gt;0,"Partly uploaded",COUNTIF($W:$X,A900)&gt;0,"Not uploaded",TRUE,"Not classified"))</f>
        <v>Not uploaded</v>
      </c>
      <c r="C900" s="1" t="str" cm="1">
        <f t="array" ref="C900">_xlfn.SWITCH(TRIM(I900),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00" s="1"/>
      <c r="E900" s="1"/>
      <c r="F900" s="1" t="str" cm="1">
        <f t="array" ref="F900">_xlfn.LET(
_xlpm.status,UPPER(TRIM(B900&amp;"")),
_xlpm.risk,UPPER(TRIM(C900&amp;"")),
_xlpm.notify,UPPER(TRIM(D900&amp;"")),
_xlpm.form,UPPER(TRIM(E900&amp;"")),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00" s="1" t="str">
        <f t="shared" si="14"/>
        <v>NA</v>
      </c>
      <c r="H900" s="5"/>
      <c r="I900" s="1" t="s">
        <v>22</v>
      </c>
      <c r="J900" s="1"/>
      <c r="K900" s="1" t="s">
        <v>1976</v>
      </c>
      <c r="L900" s="1" t="s">
        <v>22</v>
      </c>
      <c r="M900" s="1"/>
      <c r="N900" s="1" t="s">
        <v>100</v>
      </c>
      <c r="O900" s="1" t="s">
        <v>19</v>
      </c>
      <c r="P900" s="1" t="s">
        <v>18</v>
      </c>
      <c r="Q900" s="1" t="s">
        <v>20</v>
      </c>
      <c r="R900" s="1"/>
      <c r="S900" s="1"/>
      <c r="T900" s="1"/>
    </row>
    <row r="901" spans="1:20">
      <c r="A901" s="1" t="s">
        <v>1984</v>
      </c>
      <c r="B901" s="1" t="str" cm="1">
        <f t="array" ref="B901">IF(A901="","",_xlfn.IFS(COUNTIF($U:$U,A901)&gt;0,"All uploaded",COUNTIF($V:$V,A901)&gt;0,"Partly uploaded",COUNTIF($W:$X,A901)&gt;0,"Not uploaded",TRUE,"Not classified"))</f>
        <v>Not uploaded</v>
      </c>
      <c r="C901" s="1" t="str" cm="1">
        <f t="array" ref="C901">_xlfn.SWITCH(TRIM(I901),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01" s="1"/>
      <c r="E901" s="1"/>
      <c r="F901" s="1" t="str" cm="1">
        <f t="array" ref="F901">_xlfn.LET(
_xlpm.status,UPPER(TRIM(B901&amp;"")),
_xlpm.risk,UPPER(TRIM(C901&amp;"")),
_xlpm.notify,UPPER(TRIM(D901&amp;"")),
_xlpm.form,UPPER(TRIM(E901&amp;"")),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01" s="1" t="str">
        <f t="shared" si="14"/>
        <v>NA</v>
      </c>
      <c r="H901" s="5"/>
      <c r="I901" s="1" t="s">
        <v>22</v>
      </c>
      <c r="J901" s="1"/>
      <c r="K901" s="1" t="s">
        <v>1978</v>
      </c>
      <c r="L901" s="1" t="s">
        <v>22</v>
      </c>
      <c r="M901" s="1"/>
      <c r="N901" s="1" t="s">
        <v>1985</v>
      </c>
      <c r="O901" s="1" t="s">
        <v>19</v>
      </c>
      <c r="P901" s="1" t="s">
        <v>18</v>
      </c>
      <c r="Q901" s="1" t="s">
        <v>20</v>
      </c>
      <c r="R901" s="1"/>
      <c r="S901" s="1"/>
      <c r="T901" s="1"/>
    </row>
    <row r="902" spans="1:20">
      <c r="A902" s="1" t="s">
        <v>1979</v>
      </c>
      <c r="B902" s="1" t="str" cm="1">
        <f t="array" ref="B902">IF(A902="","",_xlfn.IFS(COUNTIF($U:$U,A902)&gt;0,"All uploaded",COUNTIF($V:$V,A902)&gt;0,"Partly uploaded",COUNTIF($W:$X,A902)&gt;0,"Not uploaded",TRUE,"Not classified"))</f>
        <v>Partly uploaded</v>
      </c>
      <c r="C902" s="1" t="str" cm="1">
        <f t="array" ref="C902">_xlfn.SWITCH(TRIM(I902),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02" s="1"/>
      <c r="E902" s="1"/>
      <c r="F902" s="1" t="str" cm="1">
        <f t="array" ref="F902">_xlfn.LET(
_xlpm.status,UPPER(TRIM(B902&amp;"")),
_xlpm.risk,UPPER(TRIM(C902&amp;"")),
_xlpm.notify,UPPER(TRIM(D902&amp;"")),
_xlpm.form,UPPER(TRIM(E902&amp;"")),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02" s="1" t="str">
        <f t="shared" si="14"/>
        <v>NA</v>
      </c>
      <c r="H902" s="5"/>
      <c r="I902" s="1" t="s">
        <v>22</v>
      </c>
      <c r="J902" s="1"/>
      <c r="K902" s="1" t="s">
        <v>1978</v>
      </c>
      <c r="L902" s="1" t="s">
        <v>22</v>
      </c>
      <c r="M902" s="1"/>
      <c r="N902" s="1" t="s">
        <v>1980</v>
      </c>
      <c r="O902" s="1" t="s">
        <v>19</v>
      </c>
      <c r="P902" s="1" t="s">
        <v>18</v>
      </c>
      <c r="Q902" s="1" t="s">
        <v>20</v>
      </c>
      <c r="R902" s="1"/>
      <c r="S902" s="1"/>
      <c r="T902" s="1"/>
    </row>
    <row r="903" spans="1:20">
      <c r="A903" s="1" t="s">
        <v>2003</v>
      </c>
      <c r="B903" s="1" t="str" cm="1">
        <f t="array" ref="B903">IF(A903="","",_xlfn.IFS(COUNTIF($U:$U,A903)&gt;0,"All uploaded",COUNTIF($V:$V,A903)&gt;0,"Partly uploaded",COUNTIF($W:$X,A903)&gt;0,"Not uploaded",TRUE,"Not classified"))</f>
        <v>Partly uploaded</v>
      </c>
      <c r="C903" s="1" t="str" cm="1">
        <f t="array" ref="C903">_xlfn.SWITCH(TRIM(I903),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03" s="1"/>
      <c r="E903" s="1"/>
      <c r="F903" s="1" t="str" cm="1">
        <f t="array" ref="F903">_xlfn.LET(
_xlpm.status,UPPER(TRIM(B903&amp;"")),
_xlpm.risk,UPPER(TRIM(C903&amp;"")),
_xlpm.notify,UPPER(TRIM(D903&amp;"")),
_xlpm.form,UPPER(TRIM(E903&amp;"")),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03" s="1" t="str">
        <f t="shared" si="14"/>
        <v>Required</v>
      </c>
      <c r="H903" s="5"/>
      <c r="I903" s="1" t="s">
        <v>27</v>
      </c>
      <c r="J903" s="1"/>
      <c r="K903" s="1" t="s">
        <v>1992</v>
      </c>
      <c r="L903" s="1" t="s">
        <v>27</v>
      </c>
      <c r="M903" s="1"/>
      <c r="N903" s="1" t="s">
        <v>2004</v>
      </c>
      <c r="O903" s="1" t="s">
        <v>19</v>
      </c>
      <c r="P903" s="1" t="s">
        <v>18</v>
      </c>
      <c r="Q903" s="1" t="s">
        <v>20</v>
      </c>
      <c r="R903" s="1"/>
      <c r="S903" s="1"/>
      <c r="T903" s="1"/>
    </row>
    <row r="904" spans="1:20">
      <c r="A904" s="1" t="s">
        <v>2012</v>
      </c>
      <c r="B904" s="1" t="str" cm="1">
        <f t="array" ref="B904">IF(A904="","",_xlfn.IFS(COUNTIF($U:$U,A904)&gt;0,"All uploaded",COUNTIF($V:$V,A904)&gt;0,"Partly uploaded",COUNTIF($W:$X,A904)&gt;0,"Not uploaded",TRUE,"Not classified"))</f>
        <v>Not uploaded</v>
      </c>
      <c r="C904" s="1" t="str" cm="1">
        <f t="array" ref="C904">_xlfn.SWITCH(TRIM(I904),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04" s="1"/>
      <c r="E904" s="1"/>
      <c r="F904" s="1" t="str" cm="1">
        <f t="array" ref="F904">_xlfn.LET(
_xlpm.status,UPPER(TRIM(B904&amp;"")),
_xlpm.risk,UPPER(TRIM(C904&amp;"")),
_xlpm.notify,UPPER(TRIM(D904&amp;"")),
_xlpm.form,UPPER(TRIM(E904&amp;"")),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04" s="1" t="str">
        <f t="shared" si="14"/>
        <v>NA</v>
      </c>
      <c r="H904" s="5"/>
      <c r="I904" s="1" t="s">
        <v>22</v>
      </c>
      <c r="J904" s="1"/>
      <c r="K904" s="1" t="s">
        <v>1992</v>
      </c>
      <c r="L904" s="1" t="s">
        <v>22</v>
      </c>
      <c r="M904" s="1"/>
      <c r="N904" s="1" t="s">
        <v>2013</v>
      </c>
      <c r="O904" s="1" t="s">
        <v>19</v>
      </c>
      <c r="P904" s="1" t="s">
        <v>18</v>
      </c>
      <c r="Q904" s="1" t="s">
        <v>20</v>
      </c>
      <c r="R904" s="1"/>
      <c r="S904" s="1"/>
      <c r="T904" s="1"/>
    </row>
    <row r="905" spans="1:20">
      <c r="A905" s="1" t="s">
        <v>2014</v>
      </c>
      <c r="B905" s="1" t="str" cm="1">
        <f t="array" ref="B905">IF(A905="","",_xlfn.IFS(COUNTIF($U:$U,A905)&gt;0,"All uploaded",COUNTIF($V:$V,A905)&gt;0,"Partly uploaded",COUNTIF($W:$X,A905)&gt;0,"Not uploaded",TRUE,"Not classified"))</f>
        <v>Not uploaded</v>
      </c>
      <c r="C905" s="1" t="str" cm="1">
        <f t="array" ref="C905">_xlfn.SWITCH(TRIM(I905),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05" s="1"/>
      <c r="E905" s="1"/>
      <c r="F905" s="1" t="str" cm="1">
        <f t="array" ref="F905">_xlfn.LET(
_xlpm.status,UPPER(TRIM(B905&amp;"")),
_xlpm.risk,UPPER(TRIM(C905&amp;"")),
_xlpm.notify,UPPER(TRIM(D905&amp;"")),
_xlpm.form,UPPER(TRIM(E905&amp;"")),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05" s="1" t="str">
        <f t="shared" si="14"/>
        <v>Required</v>
      </c>
      <c r="H905" s="5"/>
      <c r="I905" s="1" t="s">
        <v>27</v>
      </c>
      <c r="J905" s="1"/>
      <c r="K905" s="1" t="s">
        <v>1992</v>
      </c>
      <c r="L905" s="1" t="s">
        <v>27</v>
      </c>
      <c r="M905" s="1"/>
      <c r="N905" s="1" t="s">
        <v>2015</v>
      </c>
      <c r="O905" s="1" t="s">
        <v>19</v>
      </c>
      <c r="P905" s="1" t="s">
        <v>18</v>
      </c>
      <c r="Q905" s="1" t="s">
        <v>20</v>
      </c>
      <c r="R905" s="1"/>
      <c r="S905" s="1"/>
      <c r="T905" s="1"/>
    </row>
    <row r="906" spans="1:20">
      <c r="A906" s="1" t="s">
        <v>2017</v>
      </c>
      <c r="B906" s="1" t="str" cm="1">
        <f t="array" ref="B906">IF(A906="","",_xlfn.IFS(COUNTIF($U:$U,A906)&gt;0,"All uploaded",COUNTIF($V:$V,A906)&gt;0,"Partly uploaded",COUNTIF($W:$X,A906)&gt;0,"Not uploaded",TRUE,"Not classified"))</f>
        <v>Not uploaded</v>
      </c>
      <c r="C906" s="1" t="str" cm="1">
        <f t="array" ref="C906">_xlfn.SWITCH(TRIM(I906),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06" s="1"/>
      <c r="E906" s="1"/>
      <c r="F906" s="1" t="str" cm="1">
        <f t="array" ref="F906">_xlfn.LET(
_xlpm.status,UPPER(TRIM(B906&amp;"")),
_xlpm.risk,UPPER(TRIM(C906&amp;"")),
_xlpm.notify,UPPER(TRIM(D906&amp;"")),
_xlpm.form,UPPER(TRIM(E906&amp;"")),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06" s="1" t="str">
        <f t="shared" si="14"/>
        <v>NA</v>
      </c>
      <c r="H906" s="5"/>
      <c r="I906" s="1" t="s">
        <v>22</v>
      </c>
      <c r="J906" s="1"/>
      <c r="K906" s="1" t="s">
        <v>2016</v>
      </c>
      <c r="L906" s="1" t="s">
        <v>22</v>
      </c>
      <c r="M906" s="1"/>
      <c r="N906" s="1" t="s">
        <v>2018</v>
      </c>
      <c r="O906" s="1" t="s">
        <v>19</v>
      </c>
      <c r="P906" s="1" t="s">
        <v>18</v>
      </c>
      <c r="Q906" s="1" t="s">
        <v>20</v>
      </c>
      <c r="R906" s="1"/>
      <c r="S906" s="1"/>
      <c r="T906" s="1"/>
    </row>
    <row r="907" spans="1:20">
      <c r="A907" s="1" t="s">
        <v>2019</v>
      </c>
      <c r="B907" s="1" t="str" cm="1">
        <f t="array" ref="B907">IF(A907="","",_xlfn.IFS(COUNTIF($U:$U,A907)&gt;0,"All uploaded",COUNTIF($V:$V,A907)&gt;0,"Partly uploaded",COUNTIF($W:$X,A907)&gt;0,"Not uploaded",TRUE,"Not classified"))</f>
        <v>Partly uploaded</v>
      </c>
      <c r="C907" s="1" t="str" cm="1">
        <f t="array" ref="C907">_xlfn.SWITCH(TRIM(I907),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07" s="1"/>
      <c r="E907" s="1"/>
      <c r="F907" s="1" t="str" cm="1">
        <f t="array" ref="F907">_xlfn.LET(
_xlpm.status,UPPER(TRIM(B907&amp;"")),
_xlpm.risk,UPPER(TRIM(C907&amp;"")),
_xlpm.notify,UPPER(TRIM(D907&amp;"")),
_xlpm.form,UPPER(TRIM(E907&amp;"")),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07" s="1" t="str">
        <f t="shared" si="14"/>
        <v>Required</v>
      </c>
      <c r="H907" s="5"/>
      <c r="I907" s="1" t="s">
        <v>33</v>
      </c>
      <c r="J907" s="1"/>
      <c r="K907" s="1" t="s">
        <v>2016</v>
      </c>
      <c r="L907" s="1" t="s">
        <v>33</v>
      </c>
      <c r="M907" s="1"/>
      <c r="N907" s="1" t="s">
        <v>2020</v>
      </c>
      <c r="O907" s="1" t="s">
        <v>19</v>
      </c>
      <c r="P907" s="1" t="s">
        <v>18</v>
      </c>
      <c r="Q907" s="1" t="s">
        <v>20</v>
      </c>
      <c r="R907" s="1"/>
      <c r="S907" s="1"/>
      <c r="T907" s="1"/>
    </row>
    <row r="908" spans="1:20">
      <c r="A908" s="1" t="s">
        <v>2024</v>
      </c>
      <c r="B908" s="1" t="str" cm="1">
        <f t="array" ref="B908">IF(A908="","",_xlfn.IFS(COUNTIF($U:$U,A908)&gt;0,"All uploaded",COUNTIF($V:$V,A908)&gt;0,"Partly uploaded",COUNTIF($W:$X,A908)&gt;0,"Not uploaded",TRUE,"Not classified"))</f>
        <v>Partly uploaded</v>
      </c>
      <c r="C908" s="1" t="str" cm="1">
        <f t="array" ref="C908">_xlfn.SWITCH(TRIM(I908),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08" s="1"/>
      <c r="E908" s="1"/>
      <c r="F908" s="1" t="str" cm="1">
        <f t="array" ref="F908">_xlfn.LET(
_xlpm.status,UPPER(TRIM(B908&amp;"")),
_xlpm.risk,UPPER(TRIM(C908&amp;"")),
_xlpm.notify,UPPER(TRIM(D908&amp;"")),
_xlpm.form,UPPER(TRIM(E908&amp;"")),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08" s="1" t="str">
        <f t="shared" si="14"/>
        <v>NA</v>
      </c>
      <c r="H908" s="5"/>
      <c r="I908" s="1" t="s">
        <v>22</v>
      </c>
      <c r="J908" s="1"/>
      <c r="K908" s="1" t="s">
        <v>2023</v>
      </c>
      <c r="L908" s="1" t="s">
        <v>22</v>
      </c>
      <c r="M908" s="1"/>
      <c r="N908" s="1" t="s">
        <v>2025</v>
      </c>
      <c r="O908" s="1" t="s">
        <v>19</v>
      </c>
      <c r="P908" s="1" t="s">
        <v>18</v>
      </c>
      <c r="Q908" s="1" t="s">
        <v>20</v>
      </c>
      <c r="R908" s="1"/>
      <c r="S908" s="1"/>
      <c r="T908" s="1"/>
    </row>
    <row r="909" spans="1:20">
      <c r="A909" s="1" t="s">
        <v>2026</v>
      </c>
      <c r="B909" s="1" t="str" cm="1">
        <f t="array" ref="B909">IF(A909="","",_xlfn.IFS(COUNTIF($U:$U,A909)&gt;0,"All uploaded",COUNTIF($V:$V,A909)&gt;0,"Partly uploaded",COUNTIF($W:$X,A909)&gt;0,"Not uploaded",TRUE,"Not classified"))</f>
        <v>Not uploaded</v>
      </c>
      <c r="C909" s="1" t="str" cm="1">
        <f t="array" ref="C909">_xlfn.SWITCH(TRIM(I909),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09" s="1"/>
      <c r="E909" s="1"/>
      <c r="F909" s="1" t="str" cm="1">
        <f t="array" ref="F909">_xlfn.LET(
_xlpm.status,UPPER(TRIM(B909&amp;"")),
_xlpm.risk,UPPER(TRIM(C909&amp;"")),
_xlpm.notify,UPPER(TRIM(D909&amp;"")),
_xlpm.form,UPPER(TRIM(E909&amp;"")),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09" s="1" t="str">
        <f t="shared" si="14"/>
        <v>NA</v>
      </c>
      <c r="H909" s="5"/>
      <c r="I909" s="1" t="s">
        <v>22</v>
      </c>
      <c r="J909" s="1"/>
      <c r="K909" s="1" t="s">
        <v>2023</v>
      </c>
      <c r="L909" s="1" t="s">
        <v>22</v>
      </c>
      <c r="M909" s="1"/>
      <c r="N909" s="1" t="s">
        <v>2027</v>
      </c>
      <c r="O909" s="1" t="s">
        <v>19</v>
      </c>
      <c r="P909" s="1" t="s">
        <v>18</v>
      </c>
      <c r="Q909" s="1" t="s">
        <v>20</v>
      </c>
      <c r="R909" s="1"/>
      <c r="S909" s="1"/>
      <c r="T909" s="1"/>
    </row>
    <row r="910" spans="1:20">
      <c r="A910" s="1" t="s">
        <v>2032</v>
      </c>
      <c r="B910" s="1" t="str" cm="1">
        <f t="array" ref="B910">IF(A910="","",_xlfn.IFS(COUNTIF($U:$U,A910)&gt;0,"All uploaded",COUNTIF($V:$V,A910)&gt;0,"Partly uploaded",COUNTIF($W:$X,A910)&gt;0,"Not uploaded",TRUE,"Not classified"))</f>
        <v>Not uploaded</v>
      </c>
      <c r="C910" s="1" t="str" cm="1">
        <f t="array" ref="C910">_xlfn.SWITCH(TRIM(I910),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10" s="1"/>
      <c r="E910" s="1"/>
      <c r="F910" s="1" t="str" cm="1">
        <f t="array" ref="F910">_xlfn.LET(
_xlpm.status,UPPER(TRIM(B910&amp;"")),
_xlpm.risk,UPPER(TRIM(C910&amp;"")),
_xlpm.notify,UPPER(TRIM(D910&amp;"")),
_xlpm.form,UPPER(TRIM(E910&amp;"")),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10" s="1" t="str">
        <f t="shared" si="14"/>
        <v>Required</v>
      </c>
      <c r="H910" s="5"/>
      <c r="I910" s="1" t="s">
        <v>27</v>
      </c>
      <c r="J910" s="1"/>
      <c r="K910" s="1" t="s">
        <v>2031</v>
      </c>
      <c r="L910" s="1" t="s">
        <v>27</v>
      </c>
      <c r="M910" s="1"/>
      <c r="N910" s="1" t="s">
        <v>2033</v>
      </c>
      <c r="O910" s="1" t="s">
        <v>19</v>
      </c>
      <c r="P910" s="1" t="s">
        <v>18</v>
      </c>
      <c r="Q910" s="1" t="s">
        <v>20</v>
      </c>
      <c r="R910" s="1"/>
      <c r="S910" s="1"/>
      <c r="T910" s="1"/>
    </row>
    <row r="911" spans="1:20">
      <c r="A911" s="1" t="s">
        <v>2034</v>
      </c>
      <c r="B911" s="1" t="str" cm="1">
        <f t="array" ref="B911">IF(A911="","",_xlfn.IFS(COUNTIF($U:$U,A911)&gt;0,"All uploaded",COUNTIF($V:$V,A911)&gt;0,"Partly uploaded",COUNTIF($W:$X,A911)&gt;0,"Not uploaded",TRUE,"Not classified"))</f>
        <v>Not uploaded</v>
      </c>
      <c r="C911" s="1" t="str" cm="1">
        <f t="array" ref="C911">_xlfn.SWITCH(TRIM(I911),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11" s="1"/>
      <c r="E911" s="1"/>
      <c r="F911" s="1" t="str" cm="1">
        <f t="array" ref="F911">_xlfn.LET(
_xlpm.status,UPPER(TRIM(B911&amp;"")),
_xlpm.risk,UPPER(TRIM(C911&amp;"")),
_xlpm.notify,UPPER(TRIM(D911&amp;"")),
_xlpm.form,UPPER(TRIM(E911&amp;"")),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11" s="1" t="str">
        <f t="shared" si="14"/>
        <v>NA</v>
      </c>
      <c r="H911" s="5"/>
      <c r="I911" s="1" t="s">
        <v>48</v>
      </c>
      <c r="J911" s="1"/>
      <c r="K911" s="1" t="s">
        <v>2031</v>
      </c>
      <c r="L911" s="1" t="s">
        <v>48</v>
      </c>
      <c r="M911" s="1"/>
      <c r="N911" s="1" t="s">
        <v>52</v>
      </c>
      <c r="O911" s="1" t="s">
        <v>19</v>
      </c>
      <c r="P911" s="1" t="s">
        <v>18</v>
      </c>
      <c r="Q911" s="1" t="s">
        <v>20</v>
      </c>
      <c r="R911" s="1"/>
      <c r="S911" s="1"/>
      <c r="T911" s="1"/>
    </row>
    <row r="912" spans="1:20">
      <c r="A912" s="1" t="s">
        <v>2036</v>
      </c>
      <c r="B912" s="1" t="str" cm="1">
        <f t="array" ref="B912">IF(A912="","",_xlfn.IFS(COUNTIF($U:$U,A912)&gt;0,"All uploaded",COUNTIF($V:$V,A912)&gt;0,"Partly uploaded",COUNTIF($W:$X,A912)&gt;0,"Not uploaded",TRUE,"Not classified"))</f>
        <v>Partly uploaded</v>
      </c>
      <c r="C912" s="1" t="str" cm="1">
        <f t="array" ref="C912">_xlfn.SWITCH(TRIM(I912),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12" s="1"/>
      <c r="E912" s="1"/>
      <c r="F912" s="1" t="str" cm="1">
        <f t="array" ref="F912">_xlfn.LET(
_xlpm.status,UPPER(TRIM(B912&amp;"")),
_xlpm.risk,UPPER(TRIM(C912&amp;"")),
_xlpm.notify,UPPER(TRIM(D912&amp;"")),
_xlpm.form,UPPER(TRIM(E912&amp;"")),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12" s="1" t="str">
        <f t="shared" si="14"/>
        <v>NA</v>
      </c>
      <c r="H912" s="5"/>
      <c r="I912" s="1" t="s">
        <v>22</v>
      </c>
      <c r="J912" s="1"/>
      <c r="K912" s="1" t="s">
        <v>2035</v>
      </c>
      <c r="L912" s="1" t="s">
        <v>22</v>
      </c>
      <c r="M912" s="1"/>
      <c r="N912" s="1" t="s">
        <v>2037</v>
      </c>
      <c r="O912" s="1" t="s">
        <v>19</v>
      </c>
      <c r="P912" s="1" t="s">
        <v>18</v>
      </c>
      <c r="Q912" s="1" t="s">
        <v>20</v>
      </c>
      <c r="R912" s="1"/>
      <c r="S912" s="1"/>
      <c r="T912" s="1"/>
    </row>
    <row r="913" spans="1:20">
      <c r="A913" s="1" t="s">
        <v>2041</v>
      </c>
      <c r="B913" s="1" t="str" cm="1">
        <f t="array" ref="B913">IF(A913="","",_xlfn.IFS(COUNTIF($U:$U,A913)&gt;0,"All uploaded",COUNTIF($V:$V,A913)&gt;0,"Partly uploaded",COUNTIF($W:$X,A913)&gt;0,"Not uploaded",TRUE,"Not classified"))</f>
        <v>Not uploaded</v>
      </c>
      <c r="C913" s="1" t="str" cm="1">
        <f t="array" ref="C913">_xlfn.SWITCH(TRIM(I913),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13" s="1"/>
      <c r="E913" s="1"/>
      <c r="F913" s="1" t="str" cm="1">
        <f t="array" ref="F913">_xlfn.LET(
_xlpm.status,UPPER(TRIM(B913&amp;"")),
_xlpm.risk,UPPER(TRIM(C913&amp;"")),
_xlpm.notify,UPPER(TRIM(D913&amp;"")),
_xlpm.form,UPPER(TRIM(E913&amp;"")),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13" s="1" t="str">
        <f t="shared" si="14"/>
        <v>NA</v>
      </c>
      <c r="H913" s="5"/>
      <c r="I913" s="1" t="s">
        <v>22</v>
      </c>
      <c r="J913" s="1"/>
      <c r="K913" s="1" t="s">
        <v>2035</v>
      </c>
      <c r="L913" s="1" t="s">
        <v>22</v>
      </c>
      <c r="M913" s="1"/>
      <c r="N913" s="1" t="s">
        <v>2042</v>
      </c>
      <c r="O913" s="1" t="s">
        <v>19</v>
      </c>
      <c r="P913" s="1" t="s">
        <v>18</v>
      </c>
      <c r="Q913" s="1" t="s">
        <v>20</v>
      </c>
      <c r="R913" s="1"/>
      <c r="S913" s="1"/>
      <c r="T913" s="1"/>
    </row>
    <row r="914" spans="1:20">
      <c r="A914" s="1" t="s">
        <v>2053</v>
      </c>
      <c r="B914" s="1" t="str" cm="1">
        <f t="array" ref="B914">IF(A914="","",_xlfn.IFS(COUNTIF($U:$U,A914)&gt;0,"All uploaded",COUNTIF($V:$V,A914)&gt;0,"Partly uploaded",COUNTIF($W:$X,A914)&gt;0,"Not uploaded",TRUE,"Not classified"))</f>
        <v>Partly uploaded</v>
      </c>
      <c r="C914" s="1" t="str" cm="1">
        <f t="array" ref="C914">_xlfn.SWITCH(TRIM(I914),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14" s="1"/>
      <c r="E914" s="1"/>
      <c r="F914" s="1" t="str" cm="1">
        <f t="array" ref="F914">_xlfn.LET(
_xlpm.status,UPPER(TRIM(B914&amp;"")),
_xlpm.risk,UPPER(TRIM(C914&amp;"")),
_xlpm.notify,UPPER(TRIM(D914&amp;"")),
_xlpm.form,UPPER(TRIM(E914&amp;"")),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14" s="1" t="str">
        <f t="shared" si="14"/>
        <v>Required</v>
      </c>
      <c r="H914" s="5"/>
      <c r="I914" s="1" t="s">
        <v>25</v>
      </c>
      <c r="J914" s="1"/>
      <c r="K914" s="1" t="s">
        <v>2043</v>
      </c>
      <c r="L914" s="1" t="s">
        <v>25</v>
      </c>
      <c r="M914" s="1"/>
      <c r="N914" s="1" t="s">
        <v>2054</v>
      </c>
      <c r="O914" s="1" t="s">
        <v>19</v>
      </c>
      <c r="P914" s="1" t="s">
        <v>18</v>
      </c>
      <c r="Q914" s="1" t="s">
        <v>20</v>
      </c>
      <c r="R914" s="1"/>
      <c r="S914" s="1"/>
      <c r="T914" s="1"/>
    </row>
    <row r="915" spans="1:20">
      <c r="A915" s="1" t="s">
        <v>2044</v>
      </c>
      <c r="B915" s="1" t="str" cm="1">
        <f t="array" ref="B915">IF(A915="","",_xlfn.IFS(COUNTIF($U:$U,A915)&gt;0,"All uploaded",COUNTIF($V:$V,A915)&gt;0,"Partly uploaded",COUNTIF($W:$X,A915)&gt;0,"Not uploaded",TRUE,"Not classified"))</f>
        <v>Partly uploaded</v>
      </c>
      <c r="C915" s="1" t="str" cm="1">
        <f t="array" ref="C915">_xlfn.SWITCH(TRIM(I915),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15" s="1"/>
      <c r="E915" s="1"/>
      <c r="F915" s="1" t="str" cm="1">
        <f t="array" ref="F915">_xlfn.LET(
_xlpm.status,UPPER(TRIM(B915&amp;"")),
_xlpm.risk,UPPER(TRIM(C915&amp;"")),
_xlpm.notify,UPPER(TRIM(D915&amp;"")),
_xlpm.form,UPPER(TRIM(E915&amp;"")),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15" s="1" t="str">
        <f t="shared" si="14"/>
        <v>NA</v>
      </c>
      <c r="H915" s="5"/>
      <c r="I915" s="1" t="s">
        <v>22</v>
      </c>
      <c r="J915" s="1"/>
      <c r="K915" s="1" t="s">
        <v>2043</v>
      </c>
      <c r="L915" s="1" t="s">
        <v>22</v>
      </c>
      <c r="M915" s="1"/>
      <c r="N915" s="1" t="s">
        <v>2045</v>
      </c>
      <c r="O915" s="1" t="s">
        <v>19</v>
      </c>
      <c r="P915" s="1" t="s">
        <v>18</v>
      </c>
      <c r="Q915" s="1" t="s">
        <v>20</v>
      </c>
      <c r="R915" s="1"/>
      <c r="S915" s="1"/>
      <c r="T915" s="1"/>
    </row>
    <row r="916" spans="1:20">
      <c r="A916" s="1" t="s">
        <v>2062</v>
      </c>
      <c r="B916" s="1" t="str" cm="1">
        <f t="array" ref="B916">IF(A916="","",_xlfn.IFS(COUNTIF($U:$U,A916)&gt;0,"All uploaded",COUNTIF($V:$V,A916)&gt;0,"Partly uploaded",COUNTIF($W:$X,A916)&gt;0,"Not uploaded",TRUE,"Not classified"))</f>
        <v>Not uploaded</v>
      </c>
      <c r="C916" s="1" t="str" cm="1">
        <f t="array" ref="C916">_xlfn.SWITCH(TRIM(I916),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16" s="1"/>
      <c r="E916" s="1"/>
      <c r="F916" s="1" t="str" cm="1">
        <f t="array" ref="F916">_xlfn.LET(
_xlpm.status,UPPER(TRIM(B916&amp;"")),
_xlpm.risk,UPPER(TRIM(C916&amp;"")),
_xlpm.notify,UPPER(TRIM(D916&amp;"")),
_xlpm.form,UPPER(TRIM(E916&amp;"")),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16" s="1" t="str">
        <f t="shared" si="14"/>
        <v>NA</v>
      </c>
      <c r="H916" s="5"/>
      <c r="I916" s="1" t="s">
        <v>22</v>
      </c>
      <c r="J916" s="1"/>
      <c r="K916" s="1" t="s">
        <v>2061</v>
      </c>
      <c r="L916" s="1" t="s">
        <v>22</v>
      </c>
      <c r="M916" s="1"/>
      <c r="N916" s="1" t="s">
        <v>2063</v>
      </c>
      <c r="O916" s="1" t="s">
        <v>19</v>
      </c>
      <c r="P916" s="1" t="s">
        <v>18</v>
      </c>
      <c r="Q916" s="1" t="s">
        <v>20</v>
      </c>
      <c r="R916" s="1"/>
      <c r="S916" s="1"/>
      <c r="T916" s="1"/>
    </row>
    <row r="917" spans="1:20">
      <c r="A917" s="1" t="s">
        <v>2084</v>
      </c>
      <c r="B917" s="1" t="str" cm="1">
        <f t="array" ref="B917">IF(A917="","",_xlfn.IFS(COUNTIF($U:$U,A917)&gt;0,"All uploaded",COUNTIF($V:$V,A917)&gt;0,"Partly uploaded",COUNTIF($W:$X,A917)&gt;0,"Not uploaded",TRUE,"Not classified"))</f>
        <v>Not uploaded</v>
      </c>
      <c r="C917" s="1" t="str" cm="1">
        <f t="array" ref="C917">_xlfn.SWITCH(TRIM(I917),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17" s="1"/>
      <c r="E917" s="1"/>
      <c r="F917" s="1" t="str" cm="1">
        <f t="array" ref="F917">_xlfn.LET(
_xlpm.status,UPPER(TRIM(B917&amp;"")),
_xlpm.risk,UPPER(TRIM(C917&amp;"")),
_xlpm.notify,UPPER(TRIM(D917&amp;"")),
_xlpm.form,UPPER(TRIM(E917&amp;"")),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17" s="1" t="str">
        <f t="shared" si="14"/>
        <v>NA</v>
      </c>
      <c r="H917" s="5"/>
      <c r="I917" s="1" t="s">
        <v>22</v>
      </c>
      <c r="J917" s="1"/>
      <c r="K917" s="1" t="s">
        <v>2077</v>
      </c>
      <c r="L917" s="1" t="s">
        <v>22</v>
      </c>
      <c r="M917" s="1"/>
      <c r="N917" s="1" t="s">
        <v>2085</v>
      </c>
      <c r="O917" s="1" t="s">
        <v>19</v>
      </c>
      <c r="P917" s="1" t="s">
        <v>18</v>
      </c>
      <c r="Q917" s="1" t="s">
        <v>20</v>
      </c>
      <c r="R917" s="1"/>
      <c r="S917" s="1"/>
      <c r="T917" s="1"/>
    </row>
    <row r="918" spans="1:20">
      <c r="A918" s="1" t="s">
        <v>2078</v>
      </c>
      <c r="B918" s="1" t="str" cm="1">
        <f t="array" ref="B918">IF(A918="","",_xlfn.IFS(COUNTIF($U:$U,A918)&gt;0,"All uploaded",COUNTIF($V:$V,A918)&gt;0,"Partly uploaded",COUNTIF($W:$X,A918)&gt;0,"Not uploaded",TRUE,"Not classified"))</f>
        <v>Partly uploaded</v>
      </c>
      <c r="C918" s="1" t="str" cm="1">
        <f t="array" ref="C918">_xlfn.SWITCH(TRIM(I918),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18" s="1"/>
      <c r="E918" s="1"/>
      <c r="F918" s="1" t="str" cm="1">
        <f t="array" ref="F918">_xlfn.LET(
_xlpm.status,UPPER(TRIM(B918&amp;"")),
_xlpm.risk,UPPER(TRIM(C918&amp;"")),
_xlpm.notify,UPPER(TRIM(D918&amp;"")),
_xlpm.form,UPPER(TRIM(E918&amp;"")),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18" s="1" t="str">
        <f t="shared" si="14"/>
        <v>NA</v>
      </c>
      <c r="H918" s="5"/>
      <c r="I918" s="1" t="s">
        <v>22</v>
      </c>
      <c r="J918" s="1"/>
      <c r="K918" s="1" t="s">
        <v>2077</v>
      </c>
      <c r="L918" s="1" t="s">
        <v>22</v>
      </c>
      <c r="M918" s="1"/>
      <c r="N918" s="1" t="s">
        <v>2079</v>
      </c>
      <c r="O918" s="1" t="s">
        <v>19</v>
      </c>
      <c r="P918" s="1" t="s">
        <v>18</v>
      </c>
      <c r="Q918" s="1" t="s">
        <v>20</v>
      </c>
      <c r="R918" s="1"/>
      <c r="S918" s="1"/>
      <c r="T918" s="1"/>
    </row>
    <row r="919" spans="1:20">
      <c r="A919" s="1" t="s">
        <v>2096</v>
      </c>
      <c r="B919" s="1" t="str" cm="1">
        <f t="array" ref="B919">IF(A919="","",_xlfn.IFS(COUNTIF($U:$U,A919)&gt;0,"All uploaded",COUNTIF($V:$V,A919)&gt;0,"Partly uploaded",COUNTIF($W:$X,A919)&gt;0,"Not uploaded",TRUE,"Not classified"))</f>
        <v>Partly uploaded</v>
      </c>
      <c r="C919" s="1" t="str" cm="1">
        <f t="array" ref="C919">_xlfn.SWITCH(TRIM(I919),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19" s="1"/>
      <c r="E919" s="1"/>
      <c r="F919" s="1" t="str" cm="1">
        <f t="array" ref="F919">_xlfn.LET(
_xlpm.status,UPPER(TRIM(B919&amp;"")),
_xlpm.risk,UPPER(TRIM(C919&amp;"")),
_xlpm.notify,UPPER(TRIM(D919&amp;"")),
_xlpm.form,UPPER(TRIM(E919&amp;"")),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19" s="1" t="str">
        <f t="shared" si="14"/>
        <v>NA</v>
      </c>
      <c r="H919" s="5"/>
      <c r="I919" s="1" t="s">
        <v>22</v>
      </c>
      <c r="J919" s="1"/>
      <c r="K919" s="1" t="s">
        <v>2091</v>
      </c>
      <c r="L919" s="1" t="s">
        <v>22</v>
      </c>
      <c r="M919" s="1"/>
      <c r="N919" s="1" t="s">
        <v>1042</v>
      </c>
      <c r="O919" s="1" t="s">
        <v>19</v>
      </c>
      <c r="P919" s="1" t="s">
        <v>18</v>
      </c>
      <c r="Q919" s="1" t="s">
        <v>20</v>
      </c>
      <c r="R919" s="1"/>
      <c r="S919" s="1"/>
      <c r="T919" s="1"/>
    </row>
    <row r="920" spans="1:20">
      <c r="A920" s="1" t="s">
        <v>2097</v>
      </c>
      <c r="B920" s="1" t="str" cm="1">
        <f t="array" ref="B920">IF(A920="","",_xlfn.IFS(COUNTIF($U:$U,A920)&gt;0,"All uploaded",COUNTIF($V:$V,A920)&gt;0,"Partly uploaded",COUNTIF($W:$X,A920)&gt;0,"Not uploaded",TRUE,"Not classified"))</f>
        <v>Partly uploaded</v>
      </c>
      <c r="C920" s="1" t="str" cm="1">
        <f t="array" ref="C920">_xlfn.SWITCH(TRIM(I920),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20" s="1"/>
      <c r="E920" s="1"/>
      <c r="F920" s="1" t="str" cm="1">
        <f t="array" ref="F920">_xlfn.LET(
_xlpm.status,UPPER(TRIM(B920&amp;"")),
_xlpm.risk,UPPER(TRIM(C920&amp;"")),
_xlpm.notify,UPPER(TRIM(D920&amp;"")),
_xlpm.form,UPPER(TRIM(E920&amp;"")),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20" s="1" t="str">
        <f t="shared" si="14"/>
        <v>NA</v>
      </c>
      <c r="H920" s="5"/>
      <c r="I920" s="1" t="s">
        <v>22</v>
      </c>
      <c r="J920" s="1"/>
      <c r="K920" s="1" t="s">
        <v>2091</v>
      </c>
      <c r="L920" s="1" t="s">
        <v>22</v>
      </c>
      <c r="M920" s="1"/>
      <c r="N920" s="1" t="s">
        <v>2098</v>
      </c>
      <c r="O920" s="1" t="s">
        <v>19</v>
      </c>
      <c r="P920" s="1" t="s">
        <v>18</v>
      </c>
      <c r="Q920" s="1" t="s">
        <v>20</v>
      </c>
      <c r="R920" s="1"/>
      <c r="S920" s="1"/>
      <c r="T920" s="1"/>
    </row>
    <row r="921" spans="1:20">
      <c r="A921" s="1" t="s">
        <v>2092</v>
      </c>
      <c r="B921" s="1" t="str" cm="1">
        <f t="array" ref="B921">IF(A921="","",_xlfn.IFS(COUNTIF($U:$U,A921)&gt;0,"All uploaded",COUNTIF($V:$V,A921)&gt;0,"Partly uploaded",COUNTIF($W:$X,A921)&gt;0,"Not uploaded",TRUE,"Not classified"))</f>
        <v>Partly uploaded</v>
      </c>
      <c r="C921" s="1" t="str" cm="1">
        <f t="array" ref="C921">_xlfn.SWITCH(TRIM(I921),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21" s="1"/>
      <c r="E921" s="1"/>
      <c r="F921" s="1" t="str" cm="1">
        <f t="array" ref="F921">_xlfn.LET(
_xlpm.status,UPPER(TRIM(B921&amp;"")),
_xlpm.risk,UPPER(TRIM(C921&amp;"")),
_xlpm.notify,UPPER(TRIM(D921&amp;"")),
_xlpm.form,UPPER(TRIM(E921&amp;"")),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21" s="1" t="str">
        <f t="shared" si="14"/>
        <v>NA</v>
      </c>
      <c r="H921" s="5"/>
      <c r="I921" s="1" t="s">
        <v>48</v>
      </c>
      <c r="J921" s="1"/>
      <c r="K921" s="1" t="s">
        <v>2091</v>
      </c>
      <c r="L921" s="1" t="s">
        <v>48</v>
      </c>
      <c r="M921" s="1"/>
      <c r="N921" s="1" t="s">
        <v>961</v>
      </c>
      <c r="O921" s="1" t="s">
        <v>19</v>
      </c>
      <c r="P921" s="1" t="s">
        <v>18</v>
      </c>
      <c r="Q921" s="1" t="s">
        <v>20</v>
      </c>
      <c r="R921" s="1"/>
      <c r="S921" s="1"/>
      <c r="T921" s="1"/>
    </row>
    <row r="922" spans="1:20">
      <c r="A922" s="1" t="s">
        <v>2106</v>
      </c>
      <c r="B922" s="1" t="str" cm="1">
        <f t="array" ref="B922">IF(A922="","",_xlfn.IFS(COUNTIF($U:$U,A922)&gt;0,"All uploaded",COUNTIF($V:$V,A922)&gt;0,"Partly uploaded",COUNTIF($W:$X,A922)&gt;0,"Not uploaded",TRUE,"Not classified"))</f>
        <v>Not uploaded</v>
      </c>
      <c r="C922" s="1" t="str" cm="1">
        <f t="array" ref="C922">_xlfn.SWITCH(TRIM(I922),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22" s="1"/>
      <c r="E922" s="1"/>
      <c r="F922" s="1" t="str" cm="1">
        <f t="array" ref="F922">_xlfn.LET(
_xlpm.status,UPPER(TRIM(B922&amp;"")),
_xlpm.risk,UPPER(TRIM(C922&amp;"")),
_xlpm.notify,UPPER(TRIM(D922&amp;"")),
_xlpm.form,UPPER(TRIM(E922&amp;"")),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22" s="1" t="str">
        <f t="shared" si="14"/>
        <v>Required</v>
      </c>
      <c r="H922" s="5"/>
      <c r="I922" s="1" t="s">
        <v>27</v>
      </c>
      <c r="J922" s="1"/>
      <c r="K922" s="1" t="s">
        <v>2105</v>
      </c>
      <c r="L922" s="1" t="s">
        <v>27</v>
      </c>
      <c r="M922" s="1"/>
      <c r="N922" s="1" t="s">
        <v>1576</v>
      </c>
      <c r="O922" s="1" t="s">
        <v>19</v>
      </c>
      <c r="P922" s="1" t="s">
        <v>18</v>
      </c>
      <c r="Q922" s="1" t="s">
        <v>20</v>
      </c>
      <c r="R922" s="1"/>
      <c r="S922" s="1"/>
      <c r="T922" s="1"/>
    </row>
    <row r="923" spans="1:20">
      <c r="A923" s="1" t="s">
        <v>2107</v>
      </c>
      <c r="B923" s="1" t="str" cm="1">
        <f t="array" ref="B923">IF(A923="","",_xlfn.IFS(COUNTIF($U:$U,A923)&gt;0,"All uploaded",COUNTIF($V:$V,A923)&gt;0,"Partly uploaded",COUNTIF($W:$X,A923)&gt;0,"Not uploaded",TRUE,"Not classified"))</f>
        <v>Partly uploaded</v>
      </c>
      <c r="C923" s="1" t="str" cm="1">
        <f t="array" ref="C923">_xlfn.SWITCH(TRIM(I923),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23" s="1"/>
      <c r="E923" s="1"/>
      <c r="F923" s="1" t="str" cm="1">
        <f t="array" ref="F923">_xlfn.LET(
_xlpm.status,UPPER(TRIM(B923&amp;"")),
_xlpm.risk,UPPER(TRIM(C923&amp;"")),
_xlpm.notify,UPPER(TRIM(D923&amp;"")),
_xlpm.form,UPPER(TRIM(E923&amp;"")),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23" s="1" t="str">
        <f t="shared" si="14"/>
        <v>Required</v>
      </c>
      <c r="H923" s="5"/>
      <c r="I923" s="1" t="s">
        <v>27</v>
      </c>
      <c r="J923" s="1"/>
      <c r="K923" s="1" t="s">
        <v>2105</v>
      </c>
      <c r="L923" s="1" t="s">
        <v>27</v>
      </c>
      <c r="M923" s="1"/>
      <c r="N923" s="1" t="s">
        <v>2108</v>
      </c>
      <c r="O923" s="1" t="s">
        <v>19</v>
      </c>
      <c r="P923" s="1" t="s">
        <v>18</v>
      </c>
      <c r="Q923" s="1" t="s">
        <v>20</v>
      </c>
      <c r="R923" s="1"/>
      <c r="S923" s="1"/>
      <c r="T923" s="1"/>
    </row>
    <row r="924" spans="1:20">
      <c r="A924" s="1" t="s">
        <v>2130</v>
      </c>
      <c r="B924" s="1" t="str" cm="1">
        <f t="array" ref="B924">IF(A924="","",_xlfn.IFS(COUNTIF($U:$U,A924)&gt;0,"All uploaded",COUNTIF($V:$V,A924)&gt;0,"Partly uploaded",COUNTIF($W:$X,A924)&gt;0,"Not uploaded",TRUE,"Not classified"))</f>
        <v>Not uploaded</v>
      </c>
      <c r="C924" s="1" t="str" cm="1">
        <f t="array" ref="C924">_xlfn.SWITCH(TRIM(I924),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24" s="1"/>
      <c r="E924" s="1"/>
      <c r="F924" s="1" t="str" cm="1">
        <f t="array" ref="F924">_xlfn.LET(
_xlpm.status,UPPER(TRIM(B924&amp;"")),
_xlpm.risk,UPPER(TRIM(C924&amp;"")),
_xlpm.notify,UPPER(TRIM(D924&amp;"")),
_xlpm.form,UPPER(TRIM(E924&amp;"")),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24" s="1" t="str">
        <f t="shared" si="14"/>
        <v>Required</v>
      </c>
      <c r="H924" s="5"/>
      <c r="I924" s="1" t="s">
        <v>27</v>
      </c>
      <c r="J924" s="1"/>
      <c r="K924" s="1" t="s">
        <v>2105</v>
      </c>
      <c r="L924" s="1" t="s">
        <v>27</v>
      </c>
      <c r="M924" s="1"/>
      <c r="N924" s="1" t="s">
        <v>1559</v>
      </c>
      <c r="O924" s="1" t="s">
        <v>19</v>
      </c>
      <c r="P924" s="1" t="s">
        <v>18</v>
      </c>
      <c r="Q924" s="1" t="s">
        <v>20</v>
      </c>
      <c r="R924" s="1"/>
      <c r="S924" s="1"/>
      <c r="T924" s="1"/>
    </row>
    <row r="925" spans="1:20">
      <c r="A925" s="1" t="s">
        <v>2115</v>
      </c>
      <c r="B925" s="1" t="str" cm="1">
        <f t="array" ref="B925">IF(A925="","",_xlfn.IFS(COUNTIF($U:$U,A925)&gt;0,"All uploaded",COUNTIF($V:$V,A925)&gt;0,"Partly uploaded",COUNTIF($W:$X,A925)&gt;0,"Not uploaded",TRUE,"Not classified"))</f>
        <v>Partly uploaded</v>
      </c>
      <c r="C925" s="1" t="str" cm="1">
        <f t="array" ref="C925">_xlfn.SWITCH(TRIM(I925),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25" s="1"/>
      <c r="E925" s="1"/>
      <c r="F925" s="1" t="str" cm="1">
        <f t="array" ref="F925">_xlfn.LET(
_xlpm.status,UPPER(TRIM(B925&amp;"")),
_xlpm.risk,UPPER(TRIM(C925&amp;"")),
_xlpm.notify,UPPER(TRIM(D925&amp;"")),
_xlpm.form,UPPER(TRIM(E925&amp;"")),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25" s="1" t="str">
        <f t="shared" si="14"/>
        <v>Required</v>
      </c>
      <c r="H925" s="5"/>
      <c r="I925" s="1" t="s">
        <v>27</v>
      </c>
      <c r="J925" s="1"/>
      <c r="K925" s="1" t="s">
        <v>2105</v>
      </c>
      <c r="L925" s="1" t="s">
        <v>27</v>
      </c>
      <c r="M925" s="1"/>
      <c r="N925" s="1" t="s">
        <v>2116</v>
      </c>
      <c r="O925" s="1" t="s">
        <v>19</v>
      </c>
      <c r="P925" s="1" t="s">
        <v>18</v>
      </c>
      <c r="Q925" s="1" t="s">
        <v>20</v>
      </c>
      <c r="R925" s="1"/>
      <c r="S925" s="1"/>
      <c r="T925" s="1"/>
    </row>
    <row r="926" spans="1:20">
      <c r="A926" s="1" t="s">
        <v>2149</v>
      </c>
      <c r="B926" s="1" t="str" cm="1">
        <f t="array" ref="B926">IF(A926="","",_xlfn.IFS(COUNTIF($U:$U,A926)&gt;0,"All uploaded",COUNTIF($V:$V,A926)&gt;0,"Partly uploaded",COUNTIF($W:$X,A926)&gt;0,"Not uploaded",TRUE,"Not classified"))</f>
        <v>Not uploaded</v>
      </c>
      <c r="C926" s="1" t="str" cm="1">
        <f t="array" ref="C926">_xlfn.SWITCH(TRIM(I926),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26" s="1"/>
      <c r="E926" s="1"/>
      <c r="F926" s="1" t="str" cm="1">
        <f t="array" ref="F926">_xlfn.LET(
_xlpm.status,UPPER(TRIM(B926&amp;"")),
_xlpm.risk,UPPER(TRIM(C926&amp;"")),
_xlpm.notify,UPPER(TRIM(D926&amp;"")),
_xlpm.form,UPPER(TRIM(E926&amp;"")),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26" s="1" t="str">
        <f t="shared" si="14"/>
        <v>Required</v>
      </c>
      <c r="H926" s="5"/>
      <c r="I926" s="1" t="s">
        <v>25</v>
      </c>
      <c r="J926" s="1"/>
      <c r="K926" s="1" t="s">
        <v>2144</v>
      </c>
      <c r="L926" s="1" t="s">
        <v>25</v>
      </c>
      <c r="M926" s="1"/>
      <c r="N926" s="1" t="s">
        <v>1782</v>
      </c>
      <c r="O926" s="1" t="s">
        <v>19</v>
      </c>
      <c r="P926" s="1" t="s">
        <v>18</v>
      </c>
      <c r="Q926" s="1" t="s">
        <v>20</v>
      </c>
      <c r="R926" s="1"/>
      <c r="S926" s="1"/>
      <c r="T926" s="1"/>
    </row>
    <row r="927" spans="1:20">
      <c r="A927" s="1" t="s">
        <v>2150</v>
      </c>
      <c r="B927" s="1" t="str" cm="1">
        <f t="array" ref="B927">IF(A927="","",_xlfn.IFS(COUNTIF($U:$U,A927)&gt;0,"All uploaded",COUNTIF($V:$V,A927)&gt;0,"Partly uploaded",COUNTIF($W:$X,A927)&gt;0,"Not uploaded",TRUE,"Not classified"))</f>
        <v>Not uploaded</v>
      </c>
      <c r="C927" s="1" t="str" cm="1">
        <f t="array" ref="C927">_xlfn.SWITCH(TRIM(I927),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27" s="1"/>
      <c r="E927" s="1"/>
      <c r="F927" s="1" t="str" cm="1">
        <f t="array" ref="F927">_xlfn.LET(
_xlpm.status,UPPER(TRIM(B927&amp;"")),
_xlpm.risk,UPPER(TRIM(C927&amp;"")),
_xlpm.notify,UPPER(TRIM(D927&amp;"")),
_xlpm.form,UPPER(TRIM(E927&amp;"")),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27" s="1" t="str">
        <f t="shared" si="14"/>
        <v>NA</v>
      </c>
      <c r="H927" s="5"/>
      <c r="I927" s="1" t="s">
        <v>22</v>
      </c>
      <c r="J927" s="1"/>
      <c r="K927" s="1" t="s">
        <v>2144</v>
      </c>
      <c r="L927" s="1" t="s">
        <v>22</v>
      </c>
      <c r="M927" s="1"/>
      <c r="N927" s="1" t="s">
        <v>2151</v>
      </c>
      <c r="O927" s="1" t="s">
        <v>19</v>
      </c>
      <c r="P927" s="1" t="s">
        <v>18</v>
      </c>
      <c r="Q927" s="1" t="s">
        <v>20</v>
      </c>
      <c r="R927" s="1"/>
      <c r="S927" s="1"/>
      <c r="T927" s="1"/>
    </row>
    <row r="928" spans="1:20">
      <c r="A928" s="1" t="s">
        <v>2153</v>
      </c>
      <c r="B928" s="1" t="str" cm="1">
        <f t="array" ref="B928">IF(A928="","",_xlfn.IFS(COUNTIF($U:$U,A928)&gt;0,"All uploaded",COUNTIF($V:$V,A928)&gt;0,"Partly uploaded",COUNTIF($W:$X,A928)&gt;0,"Not uploaded",TRUE,"Not classified"))</f>
        <v>Not uploaded</v>
      </c>
      <c r="C928" s="1" t="str" cm="1">
        <f t="array" ref="C928">_xlfn.SWITCH(TRIM(I928),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928" s="1"/>
      <c r="E928" s="1"/>
      <c r="F928" s="1" t="str" cm="1">
        <f t="array" ref="F928">_xlfn.LET(
_xlpm.status,UPPER(TRIM(B928&amp;"")),
_xlpm.risk,UPPER(TRIM(C928&amp;"")),
_xlpm.notify,UPPER(TRIM(D928&amp;"")),
_xlpm.form,UPPER(TRIM(E928&amp;"")),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928" s="1" t="str">
        <f t="shared" si="14"/>
        <v>NA</v>
      </c>
      <c r="H928" s="5"/>
      <c r="I928" s="1" t="s">
        <v>21</v>
      </c>
      <c r="J928" s="1"/>
      <c r="K928" s="1" t="s">
        <v>2152</v>
      </c>
      <c r="L928" s="1" t="s">
        <v>21</v>
      </c>
      <c r="M928" s="1"/>
      <c r="N928" s="1" t="s">
        <v>83</v>
      </c>
      <c r="O928" s="1" t="s">
        <v>19</v>
      </c>
      <c r="P928" s="1" t="s">
        <v>18</v>
      </c>
      <c r="Q928" s="1" t="s">
        <v>20</v>
      </c>
      <c r="R928" s="1"/>
      <c r="S928" s="1"/>
      <c r="T928" s="1"/>
    </row>
    <row r="929" spans="1:20">
      <c r="A929" s="1" t="s">
        <v>2155</v>
      </c>
      <c r="B929" s="1" t="str" cm="1">
        <f t="array" ref="B929">IF(A929="","",_xlfn.IFS(COUNTIF($U:$U,A929)&gt;0,"All uploaded",COUNTIF($V:$V,A929)&gt;0,"Partly uploaded",COUNTIF($W:$X,A929)&gt;0,"Not uploaded",TRUE,"Not classified"))</f>
        <v>Not uploaded</v>
      </c>
      <c r="C929" s="1" t="str" cm="1">
        <f t="array" ref="C929">_xlfn.SWITCH(TRIM(I929),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29" s="1"/>
      <c r="E929" s="1"/>
      <c r="F929" s="1" t="str" cm="1">
        <f t="array" ref="F929">_xlfn.LET(
_xlpm.status,UPPER(TRIM(B929&amp;"")),
_xlpm.risk,UPPER(TRIM(C929&amp;"")),
_xlpm.notify,UPPER(TRIM(D929&amp;"")),
_xlpm.form,UPPER(TRIM(E929&amp;"")),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29" s="1" t="str">
        <f t="shared" si="14"/>
        <v>Required</v>
      </c>
      <c r="H929" s="5"/>
      <c r="I929" s="1" t="s">
        <v>27</v>
      </c>
      <c r="J929" s="1"/>
      <c r="K929" s="1" t="s">
        <v>2154</v>
      </c>
      <c r="L929" s="1" t="s">
        <v>27</v>
      </c>
      <c r="M929" s="1"/>
      <c r="N929" s="1" t="s">
        <v>2156</v>
      </c>
      <c r="O929" s="1" t="s">
        <v>19</v>
      </c>
      <c r="P929" s="1" t="s">
        <v>18</v>
      </c>
      <c r="Q929" s="1" t="s">
        <v>20</v>
      </c>
      <c r="R929" s="1"/>
      <c r="S929" s="1"/>
      <c r="T929" s="1"/>
    </row>
    <row r="930" spans="1:20">
      <c r="A930" s="1" t="s">
        <v>2162</v>
      </c>
      <c r="B930" s="1" t="str" cm="1">
        <f t="array" ref="B930">IF(A930="","",_xlfn.IFS(COUNTIF($U:$U,A930)&gt;0,"All uploaded",COUNTIF($V:$V,A930)&gt;0,"Partly uploaded",COUNTIF($W:$X,A930)&gt;0,"Not uploaded",TRUE,"Not classified"))</f>
        <v>Not uploaded</v>
      </c>
      <c r="C930" s="1" t="str" cm="1">
        <f t="array" ref="C930">_xlfn.SWITCH(TRIM(I930),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30" s="1"/>
      <c r="E930" s="1"/>
      <c r="F930" s="1" t="str" cm="1">
        <f t="array" ref="F930">_xlfn.LET(
_xlpm.status,UPPER(TRIM(B930&amp;"")),
_xlpm.risk,UPPER(TRIM(C930&amp;"")),
_xlpm.notify,UPPER(TRIM(D930&amp;"")),
_xlpm.form,UPPER(TRIM(E930&amp;"")),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30" s="1" t="str">
        <f t="shared" si="14"/>
        <v>Required</v>
      </c>
      <c r="H930" s="5"/>
      <c r="I930" s="1" t="s">
        <v>27</v>
      </c>
      <c r="J930" s="1"/>
      <c r="K930" s="1" t="s">
        <v>2161</v>
      </c>
      <c r="L930" s="1" t="s">
        <v>27</v>
      </c>
      <c r="M930" s="1"/>
      <c r="N930" s="1" t="s">
        <v>2163</v>
      </c>
      <c r="O930" s="1" t="s">
        <v>19</v>
      </c>
      <c r="P930" s="1" t="s">
        <v>18</v>
      </c>
      <c r="Q930" s="1" t="s">
        <v>20</v>
      </c>
      <c r="R930" s="1"/>
      <c r="S930" s="1"/>
      <c r="T930" s="1"/>
    </row>
    <row r="931" spans="1:20">
      <c r="A931" s="1" t="s">
        <v>2165</v>
      </c>
      <c r="B931" s="1" t="str" cm="1">
        <f t="array" ref="B931">IF(A931="","",_xlfn.IFS(COUNTIF($U:$U,A931)&gt;0,"All uploaded",COUNTIF($V:$V,A931)&gt;0,"Partly uploaded",COUNTIF($W:$X,A931)&gt;0,"Not uploaded",TRUE,"Not classified"))</f>
        <v>Partly uploaded</v>
      </c>
      <c r="C931" s="1" t="str" cm="1">
        <f t="array" ref="C931">_xlfn.SWITCH(TRIM(I931),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31" s="1"/>
      <c r="E931" s="1"/>
      <c r="F931" s="1" t="str" cm="1">
        <f t="array" ref="F931">_xlfn.LET(
_xlpm.status,UPPER(TRIM(B931&amp;"")),
_xlpm.risk,UPPER(TRIM(C931&amp;"")),
_xlpm.notify,UPPER(TRIM(D931&amp;"")),
_xlpm.form,UPPER(TRIM(E931&amp;"")),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31" s="1" t="str">
        <f t="shared" si="14"/>
        <v>Required</v>
      </c>
      <c r="H931" s="5"/>
      <c r="I931" s="1" t="s">
        <v>25</v>
      </c>
      <c r="J931" s="1"/>
      <c r="K931" s="1" t="s">
        <v>2164</v>
      </c>
      <c r="L931" s="1" t="s">
        <v>25</v>
      </c>
      <c r="M931" s="1"/>
      <c r="N931" s="1" t="s">
        <v>2166</v>
      </c>
      <c r="O931" s="1" t="s">
        <v>19</v>
      </c>
      <c r="P931" s="1" t="s">
        <v>18</v>
      </c>
      <c r="Q931" s="1" t="s">
        <v>20</v>
      </c>
      <c r="R931" s="1"/>
      <c r="S931" s="1"/>
      <c r="T931" s="1"/>
    </row>
    <row r="932" spans="1:20">
      <c r="A932" s="1" t="s">
        <v>2171</v>
      </c>
      <c r="B932" s="1" t="str" cm="1">
        <f t="array" ref="B932">IF(A932="","",_xlfn.IFS(COUNTIF($U:$U,A932)&gt;0,"All uploaded",COUNTIF($V:$V,A932)&gt;0,"Partly uploaded",COUNTIF($W:$X,A932)&gt;0,"Not uploaded",TRUE,"Not classified"))</f>
        <v>Not uploaded</v>
      </c>
      <c r="C932" s="1" t="str" cm="1">
        <f t="array" ref="C932">_xlfn.SWITCH(TRIM(I932),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32" s="1"/>
      <c r="E932" s="1"/>
      <c r="F932" s="1" t="str" cm="1">
        <f t="array" ref="F932">_xlfn.LET(
_xlpm.status,UPPER(TRIM(B932&amp;"")),
_xlpm.risk,UPPER(TRIM(C932&amp;"")),
_xlpm.notify,UPPER(TRIM(D932&amp;"")),
_xlpm.form,UPPER(TRIM(E932&amp;"")),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32" s="1" t="str">
        <f t="shared" si="14"/>
        <v>NA</v>
      </c>
      <c r="H932" s="5"/>
      <c r="I932" s="1" t="s">
        <v>23</v>
      </c>
      <c r="J932" s="1"/>
      <c r="K932" s="1" t="s">
        <v>2170</v>
      </c>
      <c r="L932" s="1" t="s">
        <v>23</v>
      </c>
      <c r="M932" s="1"/>
      <c r="N932" s="1" t="s">
        <v>103</v>
      </c>
      <c r="O932" s="1" t="s">
        <v>19</v>
      </c>
      <c r="P932" s="1" t="s">
        <v>18</v>
      </c>
      <c r="Q932" s="1" t="s">
        <v>20</v>
      </c>
      <c r="R932" s="1"/>
      <c r="S932" s="1"/>
      <c r="T932" s="1"/>
    </row>
    <row r="933" spans="1:20">
      <c r="A933" s="1" t="s">
        <v>2177</v>
      </c>
      <c r="B933" s="1" t="str" cm="1">
        <f t="array" ref="B933">IF(A933="","",_xlfn.IFS(COUNTIF($U:$U,A933)&gt;0,"All uploaded",COUNTIF($V:$V,A933)&gt;0,"Partly uploaded",COUNTIF($W:$X,A933)&gt;0,"Not uploaded",TRUE,"Not classified"))</f>
        <v>Not uploaded</v>
      </c>
      <c r="C933" s="1" t="str" cm="1">
        <f t="array" ref="C933">_xlfn.SWITCH(TRIM(I933),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33" s="1"/>
      <c r="E933" s="1"/>
      <c r="F933" s="1" t="str" cm="1">
        <f t="array" ref="F933">_xlfn.LET(
_xlpm.status,UPPER(TRIM(B933&amp;"")),
_xlpm.risk,UPPER(TRIM(C933&amp;"")),
_xlpm.notify,UPPER(TRIM(D933&amp;"")),
_xlpm.form,UPPER(TRIM(E933&amp;"")),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33" s="1" t="str">
        <f t="shared" si="14"/>
        <v>Required</v>
      </c>
      <c r="H933" s="5"/>
      <c r="I933" s="1" t="s">
        <v>27</v>
      </c>
      <c r="J933" s="1"/>
      <c r="K933" s="1" t="s">
        <v>2172</v>
      </c>
      <c r="L933" s="1" t="s">
        <v>27</v>
      </c>
      <c r="M933" s="1"/>
      <c r="N933" s="1" t="s">
        <v>2178</v>
      </c>
      <c r="O933" s="1" t="s">
        <v>19</v>
      </c>
      <c r="P933" s="1" t="s">
        <v>18</v>
      </c>
      <c r="Q933" s="1" t="s">
        <v>20</v>
      </c>
      <c r="R933" s="1"/>
      <c r="S933" s="1"/>
      <c r="T933" s="1"/>
    </row>
    <row r="934" spans="1:20">
      <c r="A934" s="1" t="s">
        <v>2179</v>
      </c>
      <c r="B934" s="1" t="str" cm="1">
        <f t="array" ref="B934">IF(A934="","",_xlfn.IFS(COUNTIF($U:$U,A934)&gt;0,"All uploaded",COUNTIF($V:$V,A934)&gt;0,"Partly uploaded",COUNTIF($W:$X,A934)&gt;0,"Not uploaded",TRUE,"Not classified"))</f>
        <v>Not uploaded</v>
      </c>
      <c r="C934" s="1" t="str" cm="1">
        <f t="array" ref="C934">_xlfn.SWITCH(TRIM(I934),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34" s="1"/>
      <c r="E934" s="1"/>
      <c r="F934" s="1" t="str" cm="1">
        <f t="array" ref="F934">_xlfn.LET(
_xlpm.status,UPPER(TRIM(B934&amp;"")),
_xlpm.risk,UPPER(TRIM(C934&amp;"")),
_xlpm.notify,UPPER(TRIM(D934&amp;"")),
_xlpm.form,UPPER(TRIM(E934&amp;"")),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34" s="1" t="str">
        <f t="shared" si="14"/>
        <v>Required</v>
      </c>
      <c r="H934" s="5"/>
      <c r="I934" s="1" t="s">
        <v>25</v>
      </c>
      <c r="J934" s="1"/>
      <c r="K934" s="1" t="s">
        <v>2172</v>
      </c>
      <c r="L934" s="1" t="s">
        <v>25</v>
      </c>
      <c r="M934" s="1"/>
      <c r="N934" s="1" t="s">
        <v>1333</v>
      </c>
      <c r="O934" s="1" t="s">
        <v>19</v>
      </c>
      <c r="P934" s="1" t="s">
        <v>18</v>
      </c>
      <c r="Q934" s="1" t="s">
        <v>20</v>
      </c>
      <c r="R934" s="1"/>
      <c r="S934" s="1"/>
      <c r="T934" s="1"/>
    </row>
    <row r="935" spans="1:20">
      <c r="A935" s="1" t="s">
        <v>2180</v>
      </c>
      <c r="B935" s="1" t="str" cm="1">
        <f t="array" ref="B935">IF(A935="","",_xlfn.IFS(COUNTIF($U:$U,A935)&gt;0,"All uploaded",COUNTIF($V:$V,A935)&gt;0,"Partly uploaded",COUNTIF($W:$X,A935)&gt;0,"Not uploaded",TRUE,"Not classified"))</f>
        <v>Not uploaded</v>
      </c>
      <c r="C935" s="1" t="str" cm="1">
        <f t="array" ref="C935">_xlfn.SWITCH(TRIM(I935),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35" s="1"/>
      <c r="E935" s="1"/>
      <c r="F935" s="1" t="str" cm="1">
        <f t="array" ref="F935">_xlfn.LET(
_xlpm.status,UPPER(TRIM(B935&amp;"")),
_xlpm.risk,UPPER(TRIM(C935&amp;"")),
_xlpm.notify,UPPER(TRIM(D935&amp;"")),
_xlpm.form,UPPER(TRIM(E935&amp;"")),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35" s="1" t="str">
        <f t="shared" si="14"/>
        <v>Required</v>
      </c>
      <c r="H935" s="5"/>
      <c r="I935" s="1" t="s">
        <v>25</v>
      </c>
      <c r="J935" s="1"/>
      <c r="K935" s="1" t="s">
        <v>2172</v>
      </c>
      <c r="L935" s="1" t="s">
        <v>25</v>
      </c>
      <c r="M935" s="1"/>
      <c r="N935" s="1" t="s">
        <v>2181</v>
      </c>
      <c r="O935" s="1" t="s">
        <v>19</v>
      </c>
      <c r="P935" s="1" t="s">
        <v>18</v>
      </c>
      <c r="Q935" s="1" t="s">
        <v>20</v>
      </c>
      <c r="R935" s="1"/>
      <c r="S935" s="1"/>
      <c r="T935" s="1"/>
    </row>
    <row r="936" spans="1:20">
      <c r="A936" s="1" t="s">
        <v>2189</v>
      </c>
      <c r="B936" s="1" t="str" cm="1">
        <f t="array" ref="B936">IF(A936="","",_xlfn.IFS(COUNTIF($U:$U,A936)&gt;0,"All uploaded",COUNTIF($V:$V,A936)&gt;0,"Partly uploaded",COUNTIF($W:$X,A936)&gt;0,"Not uploaded",TRUE,"Not classified"))</f>
        <v>Partly uploaded</v>
      </c>
      <c r="C936" s="1" t="str" cm="1">
        <f t="array" ref="C936">_xlfn.SWITCH(TRIM(I936),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36" s="1"/>
      <c r="E936" s="1"/>
      <c r="F936" s="1" t="str" cm="1">
        <f t="array" ref="F936">_xlfn.LET(
_xlpm.status,UPPER(TRIM(B936&amp;"")),
_xlpm.risk,UPPER(TRIM(C936&amp;"")),
_xlpm.notify,UPPER(TRIM(D936&amp;"")),
_xlpm.form,UPPER(TRIM(E936&amp;"")),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36" s="1" t="str">
        <f t="shared" si="14"/>
        <v>Required</v>
      </c>
      <c r="H936" s="5"/>
      <c r="I936" s="1" t="s">
        <v>27</v>
      </c>
      <c r="J936" s="1"/>
      <c r="K936" s="1" t="s">
        <v>2188</v>
      </c>
      <c r="L936" s="1" t="s">
        <v>27</v>
      </c>
      <c r="M936" s="1"/>
      <c r="N936" s="1" t="s">
        <v>2190</v>
      </c>
      <c r="O936" s="1" t="s">
        <v>19</v>
      </c>
      <c r="P936" s="1" t="s">
        <v>18</v>
      </c>
      <c r="Q936" s="1" t="s">
        <v>20</v>
      </c>
      <c r="R936" s="1"/>
      <c r="S936" s="1"/>
      <c r="T936" s="1"/>
    </row>
    <row r="937" spans="1:20">
      <c r="A937" s="1" t="s">
        <v>2194</v>
      </c>
      <c r="B937" s="1" t="str" cm="1">
        <f t="array" ref="B937">IF(A937="","",_xlfn.IFS(COUNTIF($U:$U,A937)&gt;0,"All uploaded",COUNTIF($V:$V,A937)&gt;0,"Partly uploaded",COUNTIF($W:$X,A937)&gt;0,"Not uploaded",TRUE,"Not classified"))</f>
        <v>Not uploaded</v>
      </c>
      <c r="C937" s="1" t="str" cm="1">
        <f t="array" ref="C937">_xlfn.SWITCH(TRIM(I937),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37" s="1"/>
      <c r="E937" s="1"/>
      <c r="F937" s="1" t="str" cm="1">
        <f t="array" ref="F937">_xlfn.LET(
_xlpm.status,UPPER(TRIM(B937&amp;"")),
_xlpm.risk,UPPER(TRIM(C937&amp;"")),
_xlpm.notify,UPPER(TRIM(D937&amp;"")),
_xlpm.form,UPPER(TRIM(E937&amp;"")),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37" s="1" t="str">
        <f t="shared" si="14"/>
        <v>Required</v>
      </c>
      <c r="H937" s="5"/>
      <c r="I937" s="1" t="s">
        <v>27</v>
      </c>
      <c r="J937" s="1"/>
      <c r="K937" s="1" t="s">
        <v>2188</v>
      </c>
      <c r="L937" s="1" t="s">
        <v>27</v>
      </c>
      <c r="M937" s="1"/>
      <c r="N937" s="1" t="s">
        <v>2195</v>
      </c>
      <c r="O937" s="1" t="s">
        <v>19</v>
      </c>
      <c r="P937" s="1" t="s">
        <v>18</v>
      </c>
      <c r="Q937" s="1" t="s">
        <v>20</v>
      </c>
      <c r="R937" s="1"/>
      <c r="S937" s="1"/>
      <c r="T937" s="1"/>
    </row>
    <row r="938" spans="1:20">
      <c r="A938" s="1" t="s">
        <v>2196</v>
      </c>
      <c r="B938" s="1" t="str" cm="1">
        <f t="array" ref="B938">IF(A938="","",_xlfn.IFS(COUNTIF($U:$U,A938)&gt;0,"All uploaded",COUNTIF($V:$V,A938)&gt;0,"Partly uploaded",COUNTIF($W:$X,A938)&gt;0,"Not uploaded",TRUE,"Not classified"))</f>
        <v>Not uploaded</v>
      </c>
      <c r="C938" s="1" t="str" cm="1">
        <f t="array" ref="C938">_xlfn.SWITCH(TRIM(I938),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38" s="1"/>
      <c r="E938" s="1"/>
      <c r="F938" s="1" t="str" cm="1">
        <f t="array" ref="F938">_xlfn.LET(
_xlpm.status,UPPER(TRIM(B938&amp;"")),
_xlpm.risk,UPPER(TRIM(C938&amp;"")),
_xlpm.notify,UPPER(TRIM(D938&amp;"")),
_xlpm.form,UPPER(TRIM(E938&amp;"")),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38" s="1" t="str">
        <f t="shared" si="14"/>
        <v>Required</v>
      </c>
      <c r="H938" s="5"/>
      <c r="I938" s="1" t="s">
        <v>27</v>
      </c>
      <c r="J938" s="1"/>
      <c r="K938" s="1" t="s">
        <v>2188</v>
      </c>
      <c r="L938" s="1" t="s">
        <v>27</v>
      </c>
      <c r="M938" s="1"/>
      <c r="N938" s="1" t="s">
        <v>2197</v>
      </c>
      <c r="O938" s="1" t="s">
        <v>19</v>
      </c>
      <c r="P938" s="1" t="s">
        <v>18</v>
      </c>
      <c r="Q938" s="1" t="s">
        <v>20</v>
      </c>
      <c r="R938" s="1"/>
      <c r="S938" s="1"/>
      <c r="T938" s="1"/>
    </row>
    <row r="939" spans="1:20">
      <c r="A939" s="1" t="s">
        <v>2209</v>
      </c>
      <c r="B939" s="1" t="str" cm="1">
        <f t="array" ref="B939">IF(A939="","",_xlfn.IFS(COUNTIF($U:$U,A939)&gt;0,"All uploaded",COUNTIF($V:$V,A939)&gt;0,"Partly uploaded",COUNTIF($W:$X,A939)&gt;0,"Not uploaded",TRUE,"Not classified"))</f>
        <v>Partly uploaded</v>
      </c>
      <c r="C939" s="1" t="str" cm="1">
        <f t="array" ref="C939">_xlfn.SWITCH(TRIM(I939),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39" s="1"/>
      <c r="E939" s="1"/>
      <c r="F939" s="1" t="str" cm="1">
        <f t="array" ref="F939">_xlfn.LET(
_xlpm.status,UPPER(TRIM(B939&amp;"")),
_xlpm.risk,UPPER(TRIM(C939&amp;"")),
_xlpm.notify,UPPER(TRIM(D939&amp;"")),
_xlpm.form,UPPER(TRIM(E939&amp;"")),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39" s="1" t="str">
        <f t="shared" si="14"/>
        <v>NA</v>
      </c>
      <c r="H939" s="5"/>
      <c r="I939" s="1" t="s">
        <v>23</v>
      </c>
      <c r="J939" s="1"/>
      <c r="K939" s="1" t="s">
        <v>2208</v>
      </c>
      <c r="L939" s="1" t="s">
        <v>23</v>
      </c>
      <c r="M939" s="1"/>
      <c r="N939" s="1" t="s">
        <v>2210</v>
      </c>
      <c r="O939" s="1" t="s">
        <v>19</v>
      </c>
      <c r="P939" s="1" t="s">
        <v>18</v>
      </c>
      <c r="Q939" s="1" t="s">
        <v>20</v>
      </c>
      <c r="R939" s="1"/>
      <c r="S939" s="1"/>
      <c r="T939" s="1"/>
    </row>
    <row r="940" spans="1:20">
      <c r="A940" s="1" t="s">
        <v>2220</v>
      </c>
      <c r="B940" s="1" t="str" cm="1">
        <f t="array" ref="B940">IF(A940="","",_xlfn.IFS(COUNTIF($U:$U,A940)&gt;0,"All uploaded",COUNTIF($V:$V,A940)&gt;0,"Partly uploaded",COUNTIF($W:$X,A940)&gt;0,"Not uploaded",TRUE,"Not classified"))</f>
        <v>Partly uploaded</v>
      </c>
      <c r="C940" s="1" t="str" cm="1">
        <f t="array" ref="C940">_xlfn.SWITCH(TRIM(I940),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40" s="1"/>
      <c r="E940" s="1"/>
      <c r="F940" s="1" t="str" cm="1">
        <f t="array" ref="F940">_xlfn.LET(
_xlpm.status,UPPER(TRIM(B940&amp;"")),
_xlpm.risk,UPPER(TRIM(C940&amp;"")),
_xlpm.notify,UPPER(TRIM(D940&amp;"")),
_xlpm.form,UPPER(TRIM(E940&amp;"")),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40" s="1" t="str">
        <f t="shared" si="14"/>
        <v>NA</v>
      </c>
      <c r="H940" s="5"/>
      <c r="I940" s="1" t="s">
        <v>35</v>
      </c>
      <c r="J940" s="1"/>
      <c r="K940" s="1" t="s">
        <v>2208</v>
      </c>
      <c r="L940" s="1" t="s">
        <v>35</v>
      </c>
      <c r="M940" s="1"/>
      <c r="N940" s="1" t="s">
        <v>36</v>
      </c>
      <c r="O940" s="1" t="s">
        <v>19</v>
      </c>
      <c r="P940" s="1" t="s">
        <v>18</v>
      </c>
      <c r="Q940" s="1" t="s">
        <v>20</v>
      </c>
      <c r="R940" s="1"/>
      <c r="S940" s="1"/>
      <c r="T940" s="1"/>
    </row>
    <row r="941" spans="1:20">
      <c r="A941" s="1" t="s">
        <v>2225</v>
      </c>
      <c r="B941" s="1" t="str" cm="1">
        <f t="array" ref="B941">IF(A941="","",_xlfn.IFS(COUNTIF($U:$U,A941)&gt;0,"All uploaded",COUNTIF($V:$V,A941)&gt;0,"Partly uploaded",COUNTIF($W:$X,A941)&gt;0,"Not uploaded",TRUE,"Not classified"))</f>
        <v>Not uploaded</v>
      </c>
      <c r="C941" s="1" t="str" cm="1">
        <f t="array" ref="C941">_xlfn.SWITCH(TRIM(I941),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941" s="1"/>
      <c r="E941" s="1"/>
      <c r="F941" s="1" t="str" cm="1">
        <f t="array" ref="F941">_xlfn.LET(
_xlpm.status,UPPER(TRIM(B941&amp;"")),
_xlpm.risk,UPPER(TRIM(C941&amp;"")),
_xlpm.notify,UPPER(TRIM(D941&amp;"")),
_xlpm.form,UPPER(TRIM(E941&amp;"")),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941" s="1" t="str">
        <f t="shared" si="14"/>
        <v>NA</v>
      </c>
      <c r="H941" s="5"/>
      <c r="I941" s="1" t="s">
        <v>21</v>
      </c>
      <c r="J941" s="1"/>
      <c r="K941" s="1" t="s">
        <v>2208</v>
      </c>
      <c r="L941" s="1" t="s">
        <v>21</v>
      </c>
      <c r="M941" s="1"/>
      <c r="N941" s="1" t="s">
        <v>376</v>
      </c>
      <c r="O941" s="1" t="s">
        <v>19</v>
      </c>
      <c r="P941" s="1" t="s">
        <v>18</v>
      </c>
      <c r="Q941" s="1" t="s">
        <v>20</v>
      </c>
      <c r="R941" s="1"/>
      <c r="S941" s="1"/>
      <c r="T941" s="1"/>
    </row>
    <row r="942" spans="1:20">
      <c r="A942" s="1" t="s">
        <v>2211</v>
      </c>
      <c r="B942" s="1" t="str" cm="1">
        <f t="array" ref="B942">IF(A942="","",_xlfn.IFS(COUNTIF($U:$U,A942)&gt;0,"All uploaded",COUNTIF($V:$V,A942)&gt;0,"Partly uploaded",COUNTIF($W:$X,A942)&gt;0,"Not uploaded",TRUE,"Not classified"))</f>
        <v>Partly uploaded</v>
      </c>
      <c r="C942" s="1" t="str" cm="1">
        <f t="array" ref="C942">_xlfn.SWITCH(TRIM(I942),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42" s="1"/>
      <c r="E942" s="1"/>
      <c r="F942" s="1" t="str" cm="1">
        <f t="array" ref="F942">_xlfn.LET(
_xlpm.status,UPPER(TRIM(B942&amp;"")),
_xlpm.risk,UPPER(TRIM(C942&amp;"")),
_xlpm.notify,UPPER(TRIM(D942&amp;"")),
_xlpm.form,UPPER(TRIM(E942&amp;"")),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42" s="1" t="str">
        <f t="shared" si="14"/>
        <v>NA</v>
      </c>
      <c r="H942" s="5"/>
      <c r="I942" s="1" t="s">
        <v>22</v>
      </c>
      <c r="J942" s="1"/>
      <c r="K942" s="1" t="s">
        <v>2208</v>
      </c>
      <c r="L942" s="1" t="s">
        <v>22</v>
      </c>
      <c r="M942" s="1"/>
      <c r="N942" s="1" t="s">
        <v>2212</v>
      </c>
      <c r="O942" s="1" t="s">
        <v>19</v>
      </c>
      <c r="P942" s="1" t="s">
        <v>18</v>
      </c>
      <c r="Q942" s="1" t="s">
        <v>20</v>
      </c>
      <c r="R942" s="1"/>
      <c r="S942" s="1"/>
      <c r="T942" s="1"/>
    </row>
    <row r="943" spans="1:20">
      <c r="A943" s="1" t="s">
        <v>2242</v>
      </c>
      <c r="B943" s="1" t="str" cm="1">
        <f t="array" ref="B943">IF(A943="","",_xlfn.IFS(COUNTIF($U:$U,A943)&gt;0,"All uploaded",COUNTIF($V:$V,A943)&gt;0,"Partly uploaded",COUNTIF($W:$X,A943)&gt;0,"Not uploaded",TRUE,"Not classified"))</f>
        <v>Partly uploaded</v>
      </c>
      <c r="C943" s="1" t="str" cm="1">
        <f t="array" ref="C943">_xlfn.SWITCH(TRIM(I943),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43" s="1"/>
      <c r="E943" s="1"/>
      <c r="F943" s="1" t="str" cm="1">
        <f t="array" ref="F943">_xlfn.LET(
_xlpm.status,UPPER(TRIM(B943&amp;"")),
_xlpm.risk,UPPER(TRIM(C943&amp;"")),
_xlpm.notify,UPPER(TRIM(D943&amp;"")),
_xlpm.form,UPPER(TRIM(E943&amp;"")),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43" s="1" t="str">
        <f t="shared" si="14"/>
        <v>NA</v>
      </c>
      <c r="H943" s="5"/>
      <c r="I943" s="1" t="s">
        <v>22</v>
      </c>
      <c r="J943" s="1"/>
      <c r="K943" s="1" t="s">
        <v>2208</v>
      </c>
      <c r="L943" s="1" t="s">
        <v>22</v>
      </c>
      <c r="M943" s="1"/>
      <c r="N943" s="1" t="s">
        <v>481</v>
      </c>
      <c r="O943" s="1" t="s">
        <v>19</v>
      </c>
      <c r="P943" s="1" t="s">
        <v>18</v>
      </c>
      <c r="Q943" s="1" t="s">
        <v>20</v>
      </c>
      <c r="R943" s="1"/>
      <c r="S943" s="1"/>
      <c r="T943" s="1"/>
    </row>
    <row r="944" spans="1:20">
      <c r="A944" s="1" t="s">
        <v>2226</v>
      </c>
      <c r="B944" s="1" t="str" cm="1">
        <f t="array" ref="B944">IF(A944="","",_xlfn.IFS(COUNTIF($U:$U,A944)&gt;0,"All uploaded",COUNTIF($V:$V,A944)&gt;0,"Partly uploaded",COUNTIF($W:$X,A944)&gt;0,"Not uploaded",TRUE,"Not classified"))</f>
        <v>Partly uploaded</v>
      </c>
      <c r="C944" s="1" t="str" cm="1">
        <f t="array" ref="C944">_xlfn.SWITCH(TRIM(I944),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44" s="1"/>
      <c r="E944" s="1"/>
      <c r="F944" s="1" t="str" cm="1">
        <f t="array" ref="F944">_xlfn.LET(
_xlpm.status,UPPER(TRIM(B944&amp;"")),
_xlpm.risk,UPPER(TRIM(C944&amp;"")),
_xlpm.notify,UPPER(TRIM(D944&amp;"")),
_xlpm.form,UPPER(TRIM(E944&amp;"")),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44" s="1" t="str">
        <f t="shared" si="14"/>
        <v>NA</v>
      </c>
      <c r="H944" s="5"/>
      <c r="I944" s="1" t="s">
        <v>22</v>
      </c>
      <c r="J944" s="1"/>
      <c r="K944" s="1" t="s">
        <v>2208</v>
      </c>
      <c r="L944" s="1" t="s">
        <v>22</v>
      </c>
      <c r="M944" s="1"/>
      <c r="N944" s="1" t="s">
        <v>1868</v>
      </c>
      <c r="O944" s="1" t="s">
        <v>19</v>
      </c>
      <c r="P944" s="1" t="s">
        <v>18</v>
      </c>
      <c r="Q944" s="1" t="s">
        <v>20</v>
      </c>
      <c r="R944" s="1"/>
      <c r="S944" s="1"/>
      <c r="T944" s="1"/>
    </row>
    <row r="945" spans="1:20">
      <c r="A945" s="1" t="s">
        <v>2251</v>
      </c>
      <c r="B945" s="1" t="str" cm="1">
        <f t="array" ref="B945">IF(A945="","",_xlfn.IFS(COUNTIF($U:$U,A945)&gt;0,"All uploaded",COUNTIF($V:$V,A945)&gt;0,"Partly uploaded",COUNTIF($W:$X,A945)&gt;0,"Not uploaded",TRUE,"Not classified"))</f>
        <v>Partly uploaded</v>
      </c>
      <c r="C945" s="1" t="str" cm="1">
        <f t="array" ref="C945">_xlfn.SWITCH(TRIM(I945),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45" s="1"/>
      <c r="E945" s="1"/>
      <c r="F945" s="1" t="str" cm="1">
        <f t="array" ref="F945">_xlfn.LET(
_xlpm.status,UPPER(TRIM(B945&amp;"")),
_xlpm.risk,UPPER(TRIM(C945&amp;"")),
_xlpm.notify,UPPER(TRIM(D945&amp;"")),
_xlpm.form,UPPER(TRIM(E945&amp;"")),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45" s="1" t="str">
        <f t="shared" si="14"/>
        <v>NA</v>
      </c>
      <c r="H945" s="5"/>
      <c r="I945" s="1" t="s">
        <v>22</v>
      </c>
      <c r="J945" s="1"/>
      <c r="K945" s="1" t="s">
        <v>2250</v>
      </c>
      <c r="L945" s="1" t="s">
        <v>22</v>
      </c>
      <c r="M945" s="1"/>
      <c r="N945" s="1" t="s">
        <v>2252</v>
      </c>
      <c r="O945" s="1" t="s">
        <v>19</v>
      </c>
      <c r="P945" s="1" t="s">
        <v>18</v>
      </c>
      <c r="Q945" s="1" t="s">
        <v>20</v>
      </c>
      <c r="R945" s="1"/>
      <c r="S945" s="1"/>
      <c r="T945" s="1"/>
    </row>
    <row r="946" spans="1:20">
      <c r="A946" s="1" t="s">
        <v>2261</v>
      </c>
      <c r="B946" s="1" t="str" cm="1">
        <f t="array" ref="B946">IF(A946="","",_xlfn.IFS(COUNTIF($U:$U,A946)&gt;0,"All uploaded",COUNTIF($V:$V,A946)&gt;0,"Partly uploaded",COUNTIF($W:$X,A946)&gt;0,"Not uploaded",TRUE,"Not classified"))</f>
        <v>Not uploaded</v>
      </c>
      <c r="C946" s="1" t="str" cm="1">
        <f t="array" ref="C946">_xlfn.SWITCH(TRIM(I946),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46" s="1"/>
      <c r="E946" s="1"/>
      <c r="F946" s="1" t="str" cm="1">
        <f t="array" ref="F946">_xlfn.LET(
_xlpm.status,UPPER(TRIM(B946&amp;"")),
_xlpm.risk,UPPER(TRIM(C946&amp;"")),
_xlpm.notify,UPPER(TRIM(D946&amp;"")),
_xlpm.form,UPPER(TRIM(E946&amp;"")),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46" s="1" t="str">
        <f t="shared" si="14"/>
        <v>NA</v>
      </c>
      <c r="H946" s="5"/>
      <c r="I946" s="1" t="s">
        <v>22</v>
      </c>
      <c r="J946" s="1"/>
      <c r="K946" s="1" t="s">
        <v>2250</v>
      </c>
      <c r="L946" s="1" t="s">
        <v>22</v>
      </c>
      <c r="M946" s="1"/>
      <c r="N946" s="1" t="s">
        <v>2262</v>
      </c>
      <c r="O946" s="1" t="s">
        <v>19</v>
      </c>
      <c r="P946" s="1" t="s">
        <v>18</v>
      </c>
      <c r="Q946" s="1" t="s">
        <v>20</v>
      </c>
      <c r="R946" s="1"/>
      <c r="S946" s="1"/>
      <c r="T946" s="1"/>
    </row>
    <row r="947" spans="1:20">
      <c r="A947" s="1" t="s">
        <v>2264</v>
      </c>
      <c r="B947" s="1" t="str" cm="1">
        <f t="array" ref="B947">IF(A947="","",_xlfn.IFS(COUNTIF($U:$U,A947)&gt;0,"All uploaded",COUNTIF($V:$V,A947)&gt;0,"Partly uploaded",COUNTIF($W:$X,A947)&gt;0,"Not uploaded",TRUE,"Not classified"))</f>
        <v>Partly uploaded</v>
      </c>
      <c r="C947" s="1" t="str" cm="1">
        <f t="array" ref="C947">_xlfn.SWITCH(TRIM(I947),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47" s="1"/>
      <c r="E947" s="1"/>
      <c r="F947" s="1" t="str" cm="1">
        <f t="array" ref="F947">_xlfn.LET(
_xlpm.status,UPPER(TRIM(B947&amp;"")),
_xlpm.risk,UPPER(TRIM(C947&amp;"")),
_xlpm.notify,UPPER(TRIM(D947&amp;"")),
_xlpm.form,UPPER(TRIM(E947&amp;"")),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47" s="1" t="str">
        <f t="shared" si="14"/>
        <v>NA</v>
      </c>
      <c r="H947" s="5"/>
      <c r="I947" s="1" t="s">
        <v>23</v>
      </c>
      <c r="J947" s="1"/>
      <c r="K947" s="1" t="s">
        <v>2263</v>
      </c>
      <c r="L947" s="1" t="s">
        <v>23</v>
      </c>
      <c r="M947" s="1"/>
      <c r="N947" s="1" t="s">
        <v>2265</v>
      </c>
      <c r="O947" s="1" t="s">
        <v>19</v>
      </c>
      <c r="P947" s="1" t="s">
        <v>18</v>
      </c>
      <c r="Q947" s="1" t="s">
        <v>20</v>
      </c>
      <c r="R947" s="1"/>
      <c r="S947" s="1"/>
      <c r="T947" s="1"/>
    </row>
    <row r="948" spans="1:20">
      <c r="A948" s="1" t="s">
        <v>2270</v>
      </c>
      <c r="B948" s="1" t="str" cm="1">
        <f t="array" ref="B948">IF(A948="","",_xlfn.IFS(COUNTIF($U:$U,A948)&gt;0,"All uploaded",COUNTIF($V:$V,A948)&gt;0,"Partly uploaded",COUNTIF($W:$X,A948)&gt;0,"Not uploaded",TRUE,"Not classified"))</f>
        <v>Not uploaded</v>
      </c>
      <c r="C948" s="1" t="str" cm="1">
        <f t="array" ref="C948">_xlfn.SWITCH(TRIM(I948),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948" s="1"/>
      <c r="E948" s="1"/>
      <c r="F948" s="1" t="str" cm="1">
        <f t="array" ref="F948">_xlfn.LET(
_xlpm.status,UPPER(TRIM(B948&amp;"")),
_xlpm.risk,UPPER(TRIM(C948&amp;"")),
_xlpm.notify,UPPER(TRIM(D948&amp;"")),
_xlpm.form,UPPER(TRIM(E948&amp;"")),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948" s="1" t="str">
        <f t="shared" si="14"/>
        <v>NA</v>
      </c>
      <c r="H948" s="5"/>
      <c r="I948" s="1" t="s">
        <v>21</v>
      </c>
      <c r="J948" s="1"/>
      <c r="K948" s="1" t="s">
        <v>2263</v>
      </c>
      <c r="L948" s="1" t="s">
        <v>21</v>
      </c>
      <c r="M948" s="1"/>
      <c r="N948" s="1" t="s">
        <v>83</v>
      </c>
      <c r="O948" s="1" t="s">
        <v>19</v>
      </c>
      <c r="P948" s="1" t="s">
        <v>18</v>
      </c>
      <c r="Q948" s="1" t="s">
        <v>20</v>
      </c>
      <c r="R948" s="1"/>
      <c r="S948" s="1"/>
      <c r="T948" s="1"/>
    </row>
    <row r="949" spans="1:20">
      <c r="A949" s="1" t="s">
        <v>2278</v>
      </c>
      <c r="B949" s="1" t="str" cm="1">
        <f t="array" ref="B949">IF(A949="","",_xlfn.IFS(COUNTIF($U:$U,A949)&gt;0,"All uploaded",COUNTIF($V:$V,A949)&gt;0,"Partly uploaded",COUNTIF($W:$X,A949)&gt;0,"Not uploaded",TRUE,"Not classified"))</f>
        <v>Not uploaded</v>
      </c>
      <c r="C949" s="1" t="str" cm="1">
        <f t="array" ref="C949">_xlfn.SWITCH(TRIM(I949),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49" s="1"/>
      <c r="E949" s="1"/>
      <c r="F949" s="1" t="str" cm="1">
        <f t="array" ref="F949">_xlfn.LET(
_xlpm.status,UPPER(TRIM(B949&amp;"")),
_xlpm.risk,UPPER(TRIM(C949&amp;"")),
_xlpm.notify,UPPER(TRIM(D949&amp;"")),
_xlpm.form,UPPER(TRIM(E949&amp;"")),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49" s="1" t="str">
        <f t="shared" si="14"/>
        <v>NA</v>
      </c>
      <c r="H949" s="5"/>
      <c r="I949" s="1" t="s">
        <v>22</v>
      </c>
      <c r="J949" s="1"/>
      <c r="K949" s="1" t="s">
        <v>2271</v>
      </c>
      <c r="L949" s="1" t="s">
        <v>22</v>
      </c>
      <c r="M949" s="1"/>
      <c r="N949" s="1" t="s">
        <v>2279</v>
      </c>
      <c r="O949" s="1" t="s">
        <v>19</v>
      </c>
      <c r="P949" s="1" t="s">
        <v>18</v>
      </c>
      <c r="Q949" s="1" t="s">
        <v>20</v>
      </c>
      <c r="R949" s="1"/>
      <c r="S949" s="1"/>
      <c r="T949" s="1"/>
    </row>
    <row r="950" spans="1:20">
      <c r="A950" s="1" t="s">
        <v>2280</v>
      </c>
      <c r="B950" s="1" t="str" cm="1">
        <f t="array" ref="B950">IF(A950="","",_xlfn.IFS(COUNTIF($U:$U,A950)&gt;0,"All uploaded",COUNTIF($V:$V,A950)&gt;0,"Partly uploaded",COUNTIF($W:$X,A950)&gt;0,"Not uploaded",TRUE,"Not classified"))</f>
        <v>Not uploaded</v>
      </c>
      <c r="C950" s="1" t="str" cm="1">
        <f t="array" ref="C950">_xlfn.SWITCH(TRIM(I950),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50" s="1"/>
      <c r="E950" s="1"/>
      <c r="F950" s="1" t="str" cm="1">
        <f t="array" ref="F950">_xlfn.LET(
_xlpm.status,UPPER(TRIM(B950&amp;"")),
_xlpm.risk,UPPER(TRIM(C950&amp;"")),
_xlpm.notify,UPPER(TRIM(D950&amp;"")),
_xlpm.form,UPPER(TRIM(E950&amp;"")),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50" s="1" t="str">
        <f t="shared" si="14"/>
        <v>NA</v>
      </c>
      <c r="H950" s="5"/>
      <c r="I950" s="1" t="s">
        <v>22</v>
      </c>
      <c r="J950" s="1"/>
      <c r="K950" s="1" t="s">
        <v>2271</v>
      </c>
      <c r="L950" s="1" t="s">
        <v>22</v>
      </c>
      <c r="M950" s="1"/>
      <c r="N950" s="1" t="s">
        <v>2281</v>
      </c>
      <c r="O950" s="1" t="s">
        <v>19</v>
      </c>
      <c r="P950" s="1" t="s">
        <v>18</v>
      </c>
      <c r="Q950" s="1" t="s">
        <v>20</v>
      </c>
      <c r="R950" s="1"/>
      <c r="S950" s="1"/>
      <c r="T950" s="1"/>
    </row>
    <row r="951" spans="1:20">
      <c r="A951" s="1" t="s">
        <v>2283</v>
      </c>
      <c r="B951" s="1" t="str" cm="1">
        <f t="array" ref="B951">IF(A951="","",_xlfn.IFS(COUNTIF($U:$U,A951)&gt;0,"All uploaded",COUNTIF($V:$V,A951)&gt;0,"Partly uploaded",COUNTIF($W:$X,A951)&gt;0,"Not uploaded",TRUE,"Not classified"))</f>
        <v>Not uploaded</v>
      </c>
      <c r="C951" s="1" t="str" cm="1">
        <f t="array" ref="C951">_xlfn.SWITCH(TRIM(I951),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51" s="1"/>
      <c r="E951" s="1"/>
      <c r="F951" s="1" t="str" cm="1">
        <f t="array" ref="F951">_xlfn.LET(
_xlpm.status,UPPER(TRIM(B951&amp;"")),
_xlpm.risk,UPPER(TRIM(C951&amp;"")),
_xlpm.notify,UPPER(TRIM(D951&amp;"")),
_xlpm.form,UPPER(TRIM(E951&amp;"")),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51" s="1" t="str">
        <f t="shared" si="14"/>
        <v>NA</v>
      </c>
      <c r="H951" s="5"/>
      <c r="I951" s="1" t="s">
        <v>22</v>
      </c>
      <c r="J951" s="1"/>
      <c r="K951" s="1" t="s">
        <v>2282</v>
      </c>
      <c r="L951" s="1" t="s">
        <v>22</v>
      </c>
      <c r="M951" s="1"/>
      <c r="N951" s="1" t="s">
        <v>2284</v>
      </c>
      <c r="O951" s="1" t="s">
        <v>19</v>
      </c>
      <c r="P951" s="1" t="s">
        <v>18</v>
      </c>
      <c r="Q951" s="1" t="s">
        <v>20</v>
      </c>
      <c r="R951" s="1"/>
      <c r="S951" s="1"/>
      <c r="T951" s="1"/>
    </row>
    <row r="952" spans="1:20">
      <c r="A952" s="1" t="s">
        <v>2286</v>
      </c>
      <c r="B952" s="1" t="str" cm="1">
        <f t="array" ref="B952">IF(A952="","",_xlfn.IFS(COUNTIF($U:$U,A952)&gt;0,"All uploaded",COUNTIF($V:$V,A952)&gt;0,"Partly uploaded",COUNTIF($W:$X,A952)&gt;0,"Not uploaded",TRUE,"Not classified"))</f>
        <v>Partly uploaded</v>
      </c>
      <c r="C952" s="1" t="str" cm="1">
        <f t="array" ref="C952">_xlfn.SWITCH(TRIM(I952),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52" s="1"/>
      <c r="E952" s="1"/>
      <c r="F952" s="1" t="str" cm="1">
        <f t="array" ref="F952">_xlfn.LET(
_xlpm.status,UPPER(TRIM(B952&amp;"")),
_xlpm.risk,UPPER(TRIM(C952&amp;"")),
_xlpm.notify,UPPER(TRIM(D952&amp;"")),
_xlpm.form,UPPER(TRIM(E952&amp;"")),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52" s="1" t="str">
        <f t="shared" si="14"/>
        <v>Required</v>
      </c>
      <c r="H952" s="5"/>
      <c r="I952" s="1" t="s">
        <v>25</v>
      </c>
      <c r="J952" s="1"/>
      <c r="K952" s="1" t="s">
        <v>2285</v>
      </c>
      <c r="L952" s="1" t="s">
        <v>25</v>
      </c>
      <c r="M952" s="1"/>
      <c r="N952" s="1" t="s">
        <v>2287</v>
      </c>
      <c r="O952" s="1" t="s">
        <v>19</v>
      </c>
      <c r="P952" s="1" t="s">
        <v>18</v>
      </c>
      <c r="Q952" s="1" t="s">
        <v>20</v>
      </c>
      <c r="R952" s="1"/>
      <c r="S952" s="1"/>
      <c r="T952" s="1"/>
    </row>
    <row r="953" spans="1:20">
      <c r="A953" s="1" t="s">
        <v>2294</v>
      </c>
      <c r="B953" s="1" t="str" cm="1">
        <f t="array" ref="B953">IF(A953="","",_xlfn.IFS(COUNTIF($U:$U,A953)&gt;0,"All uploaded",COUNTIF($V:$V,A953)&gt;0,"Partly uploaded",COUNTIF($W:$X,A953)&gt;0,"Not uploaded",TRUE,"Not classified"))</f>
        <v>Not uploaded</v>
      </c>
      <c r="C953" s="1" t="str" cm="1">
        <f t="array" ref="C953">_xlfn.SWITCH(TRIM(I953),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953" s="1"/>
      <c r="E953" s="1"/>
      <c r="F953" s="1" t="str" cm="1">
        <f t="array" ref="F953">_xlfn.LET(
_xlpm.status,UPPER(TRIM(B953&amp;"")),
_xlpm.risk,UPPER(TRIM(C953&amp;"")),
_xlpm.notify,UPPER(TRIM(D953&amp;"")),
_xlpm.form,UPPER(TRIM(E953&amp;"")),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953" s="1" t="str">
        <f t="shared" si="14"/>
        <v>NA</v>
      </c>
      <c r="H953" s="5"/>
      <c r="I953" s="1" t="s">
        <v>21</v>
      </c>
      <c r="J953" s="1"/>
      <c r="K953" s="1" t="s">
        <v>2285</v>
      </c>
      <c r="L953" s="1" t="s">
        <v>21</v>
      </c>
      <c r="M953" s="1"/>
      <c r="N953" s="1" t="s">
        <v>376</v>
      </c>
      <c r="O953" s="1" t="s">
        <v>19</v>
      </c>
      <c r="P953" s="1" t="s">
        <v>18</v>
      </c>
      <c r="Q953" s="1" t="s">
        <v>20</v>
      </c>
      <c r="R953" s="1"/>
      <c r="S953" s="1"/>
      <c r="T953" s="1"/>
    </row>
    <row r="954" spans="1:20">
      <c r="A954" s="1" t="s">
        <v>2296</v>
      </c>
      <c r="B954" s="1" t="str" cm="1">
        <f t="array" ref="B954">IF(A954="","",_xlfn.IFS(COUNTIF($U:$U,A954)&gt;0,"All uploaded",COUNTIF($V:$V,A954)&gt;0,"Partly uploaded",COUNTIF($W:$X,A954)&gt;0,"Not uploaded",TRUE,"Not classified"))</f>
        <v>Not uploaded</v>
      </c>
      <c r="C954" s="1" t="str" cm="1">
        <f t="array" ref="C954">_xlfn.SWITCH(TRIM(I954),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54" s="1"/>
      <c r="E954" s="1"/>
      <c r="F954" s="1" t="str" cm="1">
        <f t="array" ref="F954">_xlfn.LET(
_xlpm.status,UPPER(TRIM(B954&amp;"")),
_xlpm.risk,UPPER(TRIM(C954&amp;"")),
_xlpm.notify,UPPER(TRIM(D954&amp;"")),
_xlpm.form,UPPER(TRIM(E954&amp;"")),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54" s="1" t="str">
        <f t="shared" si="14"/>
        <v>Required</v>
      </c>
      <c r="H954" s="5"/>
      <c r="I954" s="1" t="s">
        <v>27</v>
      </c>
      <c r="J954" s="1"/>
      <c r="K954" s="1" t="s">
        <v>2295</v>
      </c>
      <c r="L954" s="1" t="s">
        <v>27</v>
      </c>
      <c r="M954" s="1"/>
      <c r="N954" s="1" t="s">
        <v>2297</v>
      </c>
      <c r="O954" s="1" t="s">
        <v>19</v>
      </c>
      <c r="P954" s="1" t="s">
        <v>18</v>
      </c>
      <c r="Q954" s="1" t="s">
        <v>20</v>
      </c>
      <c r="R954" s="1"/>
      <c r="S954" s="1"/>
      <c r="T954" s="1"/>
    </row>
    <row r="955" spans="1:20">
      <c r="A955" s="1" t="s">
        <v>2299</v>
      </c>
      <c r="B955" s="1" t="str" cm="1">
        <f t="array" ref="B955">IF(A955="","",_xlfn.IFS(COUNTIF($U:$U,A955)&gt;0,"All uploaded",COUNTIF($V:$V,A955)&gt;0,"Partly uploaded",COUNTIF($W:$X,A955)&gt;0,"Not uploaded",TRUE,"Not classified"))</f>
        <v>Partly uploaded</v>
      </c>
      <c r="C955" s="1" t="str" cm="1">
        <f t="array" ref="C955">_xlfn.SWITCH(TRIM(I955),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55" s="1"/>
      <c r="E955" s="1"/>
      <c r="F955" s="1" t="str" cm="1">
        <f t="array" ref="F955">_xlfn.LET(
_xlpm.status,UPPER(TRIM(B955&amp;"")),
_xlpm.risk,UPPER(TRIM(C955&amp;"")),
_xlpm.notify,UPPER(TRIM(D955&amp;"")),
_xlpm.form,UPPER(TRIM(E955&amp;"")),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55" s="1" t="str">
        <f t="shared" si="14"/>
        <v>Required</v>
      </c>
      <c r="H955" s="5"/>
      <c r="I955" s="1" t="s">
        <v>25</v>
      </c>
      <c r="J955" s="1"/>
      <c r="K955" s="1" t="s">
        <v>2298</v>
      </c>
      <c r="L955" s="1" t="s">
        <v>25</v>
      </c>
      <c r="M955" s="1"/>
      <c r="N955" s="1" t="s">
        <v>959</v>
      </c>
      <c r="O955" s="1" t="s">
        <v>19</v>
      </c>
      <c r="P955" s="1" t="s">
        <v>18</v>
      </c>
      <c r="Q955" s="1" t="s">
        <v>20</v>
      </c>
      <c r="R955" s="1"/>
      <c r="S955" s="1"/>
      <c r="T955" s="1"/>
    </row>
    <row r="956" spans="1:20">
      <c r="A956" s="1" t="s">
        <v>2304</v>
      </c>
      <c r="B956" s="1" t="str" cm="1">
        <f t="array" ref="B956">IF(A956="","",_xlfn.IFS(COUNTIF($U:$U,A956)&gt;0,"All uploaded",COUNTIF($V:$V,A956)&gt;0,"Partly uploaded",COUNTIF($W:$X,A956)&gt;0,"Not uploaded",TRUE,"Not classified"))</f>
        <v>Partly uploaded</v>
      </c>
      <c r="C956" s="1" t="str" cm="1">
        <f t="array" ref="C956">_xlfn.SWITCH(TRIM(I956),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56" s="1"/>
      <c r="E956" s="1"/>
      <c r="F956" s="1" t="str" cm="1">
        <f t="array" ref="F956">_xlfn.LET(
_xlpm.status,UPPER(TRIM(B956&amp;"")),
_xlpm.risk,UPPER(TRIM(C956&amp;"")),
_xlpm.notify,UPPER(TRIM(D956&amp;"")),
_xlpm.form,UPPER(TRIM(E956&amp;"")),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56" s="1" t="str">
        <f t="shared" si="14"/>
        <v>NA</v>
      </c>
      <c r="H956" s="5"/>
      <c r="I956" s="1" t="s">
        <v>23</v>
      </c>
      <c r="J956" s="1"/>
      <c r="K956" s="1" t="s">
        <v>2303</v>
      </c>
      <c r="L956" s="1" t="s">
        <v>23</v>
      </c>
      <c r="M956" s="1"/>
      <c r="N956" s="1" t="s">
        <v>2305</v>
      </c>
      <c r="O956" s="1" t="s">
        <v>19</v>
      </c>
      <c r="P956" s="1" t="s">
        <v>18</v>
      </c>
      <c r="Q956" s="1" t="s">
        <v>20</v>
      </c>
      <c r="R956" s="1"/>
      <c r="S956" s="1"/>
      <c r="T956" s="1"/>
    </row>
    <row r="957" spans="1:20">
      <c r="A957" s="1" t="s">
        <v>2310</v>
      </c>
      <c r="B957" s="1" t="str" cm="1">
        <f t="array" ref="B957">IF(A957="","",_xlfn.IFS(COUNTIF($U:$U,A957)&gt;0,"All uploaded",COUNTIF($V:$V,A957)&gt;0,"Partly uploaded",COUNTIF($W:$X,A957)&gt;0,"Not uploaded",TRUE,"Not classified"))</f>
        <v>Not uploaded</v>
      </c>
      <c r="C957" s="1" t="str" cm="1">
        <f t="array" ref="C957">_xlfn.SWITCH(TRIM(I957),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57" s="1"/>
      <c r="E957" s="1"/>
      <c r="F957" s="1" t="str" cm="1">
        <f t="array" ref="F957">_xlfn.LET(
_xlpm.status,UPPER(TRIM(B957&amp;"")),
_xlpm.risk,UPPER(TRIM(C957&amp;"")),
_xlpm.notify,UPPER(TRIM(D957&amp;"")),
_xlpm.form,UPPER(TRIM(E957&amp;"")),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57" s="1" t="str">
        <f t="shared" si="14"/>
        <v>NA</v>
      </c>
      <c r="H957" s="5"/>
      <c r="I957" s="1" t="s">
        <v>22</v>
      </c>
      <c r="J957" s="1"/>
      <c r="K957" s="1" t="s">
        <v>2303</v>
      </c>
      <c r="L957" s="1" t="s">
        <v>22</v>
      </c>
      <c r="M957" s="1"/>
      <c r="N957" s="1" t="s">
        <v>2311</v>
      </c>
      <c r="O957" s="1" t="s">
        <v>19</v>
      </c>
      <c r="P957" s="1" t="s">
        <v>18</v>
      </c>
      <c r="Q957" s="1" t="s">
        <v>20</v>
      </c>
      <c r="R957" s="1"/>
      <c r="S957" s="1"/>
      <c r="T957" s="1"/>
    </row>
    <row r="958" spans="1:20">
      <c r="A958" s="1" t="s">
        <v>2313</v>
      </c>
      <c r="B958" s="1" t="str" cm="1">
        <f t="array" ref="B958">IF(A958="","",_xlfn.IFS(COUNTIF($U:$U,A958)&gt;0,"All uploaded",COUNTIF($V:$V,A958)&gt;0,"Partly uploaded",COUNTIF($W:$X,A958)&gt;0,"Not uploaded",TRUE,"Not classified"))</f>
        <v>Partly uploaded</v>
      </c>
      <c r="C958" s="1" t="str" cm="1">
        <f t="array" ref="C958">_xlfn.SWITCH(TRIM(I958),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58" s="1"/>
      <c r="E958" s="1"/>
      <c r="F958" s="1" t="str" cm="1">
        <f t="array" ref="F958">_xlfn.LET(
_xlpm.status,UPPER(TRIM(B958&amp;"")),
_xlpm.risk,UPPER(TRIM(C958&amp;"")),
_xlpm.notify,UPPER(TRIM(D958&amp;"")),
_xlpm.form,UPPER(TRIM(E958&amp;"")),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58" s="1" t="str">
        <f t="shared" si="14"/>
        <v>NA</v>
      </c>
      <c r="H958" s="5"/>
      <c r="I958" s="1" t="s">
        <v>50</v>
      </c>
      <c r="J958" s="1"/>
      <c r="K958" s="1" t="s">
        <v>2312</v>
      </c>
      <c r="L958" s="1" t="s">
        <v>50</v>
      </c>
      <c r="M958" s="1"/>
      <c r="N958" s="1" t="s">
        <v>2314</v>
      </c>
      <c r="O958" s="1" t="s">
        <v>19</v>
      </c>
      <c r="P958" s="1" t="s">
        <v>18</v>
      </c>
      <c r="Q958" s="1" t="s">
        <v>20</v>
      </c>
      <c r="R958" s="1"/>
      <c r="S958" s="1"/>
      <c r="T958" s="1"/>
    </row>
    <row r="959" spans="1:20">
      <c r="A959" s="1" t="s">
        <v>2324</v>
      </c>
      <c r="B959" s="1" t="str" cm="1">
        <f t="array" ref="B959">IF(A959="","",_xlfn.IFS(COUNTIF($U:$U,A959)&gt;0,"All uploaded",COUNTIF($V:$V,A959)&gt;0,"Partly uploaded",COUNTIF($W:$X,A959)&gt;0,"Not uploaded",TRUE,"Not classified"))</f>
        <v>Partly uploaded</v>
      </c>
      <c r="C959" s="1" t="str" cm="1">
        <f t="array" ref="C959">_xlfn.SWITCH(TRIM(I959),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59" s="1"/>
      <c r="E959" s="1"/>
      <c r="F959" s="1" t="str" cm="1">
        <f t="array" ref="F959">_xlfn.LET(
_xlpm.status,UPPER(TRIM(B959&amp;"")),
_xlpm.risk,UPPER(TRIM(C959&amp;"")),
_xlpm.notify,UPPER(TRIM(D959&amp;"")),
_xlpm.form,UPPER(TRIM(E959&amp;"")),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59" s="1" t="str">
        <f t="shared" si="14"/>
        <v>NA</v>
      </c>
      <c r="H959" s="5"/>
      <c r="I959" s="1" t="s">
        <v>23</v>
      </c>
      <c r="J959" s="1"/>
      <c r="K959" s="1" t="s">
        <v>2323</v>
      </c>
      <c r="L959" s="1" t="s">
        <v>23</v>
      </c>
      <c r="M959" s="1"/>
      <c r="N959" s="1" t="s">
        <v>1920</v>
      </c>
      <c r="O959" s="1" t="s">
        <v>19</v>
      </c>
      <c r="P959" s="1" t="s">
        <v>18</v>
      </c>
      <c r="Q959" s="1" t="s">
        <v>20</v>
      </c>
      <c r="R959" s="1"/>
      <c r="S959" s="1"/>
      <c r="T959" s="1"/>
    </row>
    <row r="960" spans="1:20">
      <c r="A960" s="1" t="s">
        <v>2329</v>
      </c>
      <c r="B960" s="1" t="str" cm="1">
        <f t="array" ref="B960">IF(A960="","",_xlfn.IFS(COUNTIF($U:$U,A960)&gt;0,"All uploaded",COUNTIF($V:$V,A960)&gt;0,"Partly uploaded",COUNTIF($W:$X,A960)&gt;0,"Not uploaded",TRUE,"Not classified"))</f>
        <v>Partly uploaded</v>
      </c>
      <c r="C960" s="1" t="str" cm="1">
        <f t="array" ref="C960">_xlfn.SWITCH(TRIM(I960),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60" s="1"/>
      <c r="E960" s="1"/>
      <c r="F960" s="1" t="str" cm="1">
        <f t="array" ref="F960">_xlfn.LET(
_xlpm.status,UPPER(TRIM(B960&amp;"")),
_xlpm.risk,UPPER(TRIM(C960&amp;"")),
_xlpm.notify,UPPER(TRIM(D960&amp;"")),
_xlpm.form,UPPER(TRIM(E960&amp;"")),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60" s="1" t="str">
        <f t="shared" si="14"/>
        <v>NA</v>
      </c>
      <c r="H960" s="5"/>
      <c r="I960" s="1" t="s">
        <v>22</v>
      </c>
      <c r="J960" s="1"/>
      <c r="K960" s="1" t="s">
        <v>2328</v>
      </c>
      <c r="L960" s="1" t="s">
        <v>22</v>
      </c>
      <c r="M960" s="1"/>
      <c r="N960" s="1" t="s">
        <v>2330</v>
      </c>
      <c r="O960" s="1" t="s">
        <v>19</v>
      </c>
      <c r="P960" s="1" t="s">
        <v>18</v>
      </c>
      <c r="Q960" s="1" t="s">
        <v>20</v>
      </c>
      <c r="R960" s="1"/>
      <c r="S960" s="1"/>
      <c r="T960" s="1"/>
    </row>
    <row r="961" spans="1:20">
      <c r="A961" s="1" t="s">
        <v>2334</v>
      </c>
      <c r="B961" s="1" t="str" cm="1">
        <f t="array" ref="B961">IF(A961="","",_xlfn.IFS(COUNTIF($U:$U,A961)&gt;0,"All uploaded",COUNTIF($V:$V,A961)&gt;0,"Partly uploaded",COUNTIF($W:$X,A961)&gt;0,"Not uploaded",TRUE,"Not classified"))</f>
        <v>Partly uploaded</v>
      </c>
      <c r="C961" s="1" t="str" cm="1">
        <f t="array" ref="C961">_xlfn.SWITCH(TRIM(I961),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61" s="1"/>
      <c r="E961" s="1"/>
      <c r="F961" s="1" t="str" cm="1">
        <f t="array" ref="F961">_xlfn.LET(
_xlpm.status,UPPER(TRIM(B961&amp;"")),
_xlpm.risk,UPPER(TRIM(C961&amp;"")),
_xlpm.notify,UPPER(TRIM(D961&amp;"")),
_xlpm.form,UPPER(TRIM(E961&amp;"")),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61" s="1" t="str">
        <f t="shared" ref="G961:G1024" si="15">IF(AND(UPPER(TRIM(C961&amp;""))="MAJOR",OR(TRIM(D961&amp;"")="",UPPER(TRIM(E961&amp;""))="REJECT")),"Required","NA")</f>
        <v>Required</v>
      </c>
      <c r="H961" s="5"/>
      <c r="I961" s="1" t="s">
        <v>27</v>
      </c>
      <c r="J961" s="1"/>
      <c r="K961" s="1" t="s">
        <v>2328</v>
      </c>
      <c r="L961" s="1" t="s">
        <v>27</v>
      </c>
      <c r="M961" s="1"/>
      <c r="N961" s="1" t="s">
        <v>449</v>
      </c>
      <c r="O961" s="1" t="s">
        <v>19</v>
      </c>
      <c r="P961" s="1" t="s">
        <v>18</v>
      </c>
      <c r="Q961" s="1" t="s">
        <v>20</v>
      </c>
      <c r="R961" s="1"/>
      <c r="S961" s="1"/>
      <c r="T961" s="1"/>
    </row>
    <row r="962" spans="1:20">
      <c r="A962" s="1" t="s">
        <v>2340</v>
      </c>
      <c r="B962" s="1" t="str" cm="1">
        <f t="array" ref="B962">IF(A962="","",_xlfn.IFS(COUNTIF($U:$U,A962)&gt;0,"All uploaded",COUNTIF($V:$V,A962)&gt;0,"Partly uploaded",COUNTIF($W:$X,A962)&gt;0,"Not uploaded",TRUE,"Not classified"))</f>
        <v>Not uploaded</v>
      </c>
      <c r="C962" s="1" t="str" cm="1">
        <f t="array" ref="C962">_xlfn.SWITCH(TRIM(I962),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62" s="1"/>
      <c r="E962" s="1"/>
      <c r="F962" s="1" t="str" cm="1">
        <f t="array" ref="F962">_xlfn.LET(
_xlpm.status,UPPER(TRIM(B962&amp;"")),
_xlpm.risk,UPPER(TRIM(C962&amp;"")),
_xlpm.notify,UPPER(TRIM(D962&amp;"")),
_xlpm.form,UPPER(TRIM(E962&amp;"")),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62" s="1" t="str">
        <f t="shared" si="15"/>
        <v>Required</v>
      </c>
      <c r="H962" s="5"/>
      <c r="I962" s="1" t="s">
        <v>27</v>
      </c>
      <c r="J962" s="1"/>
      <c r="K962" s="1" t="s">
        <v>2339</v>
      </c>
      <c r="L962" s="1" t="s">
        <v>27</v>
      </c>
      <c r="M962" s="1"/>
      <c r="N962" s="1" t="s">
        <v>2341</v>
      </c>
      <c r="O962" s="1" t="s">
        <v>19</v>
      </c>
      <c r="P962" s="1" t="s">
        <v>18</v>
      </c>
      <c r="Q962" s="1" t="s">
        <v>20</v>
      </c>
      <c r="R962" s="1"/>
      <c r="S962" s="1"/>
      <c r="T962" s="1"/>
    </row>
    <row r="963" spans="1:20">
      <c r="A963" s="1" t="s">
        <v>2347</v>
      </c>
      <c r="B963" s="1" t="str" cm="1">
        <f t="array" ref="B963">IF(A963="","",_xlfn.IFS(COUNTIF($U:$U,A963)&gt;0,"All uploaded",COUNTIF($V:$V,A963)&gt;0,"Partly uploaded",COUNTIF($W:$X,A963)&gt;0,"Not uploaded",TRUE,"Not classified"))</f>
        <v>Not uploaded</v>
      </c>
      <c r="C963" s="1" t="str" cm="1">
        <f t="array" ref="C963">_xlfn.SWITCH(TRIM(I963),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63" s="1"/>
      <c r="E963" s="1"/>
      <c r="F963" s="1" t="str" cm="1">
        <f t="array" ref="F963">_xlfn.LET(
_xlpm.status,UPPER(TRIM(B963&amp;"")),
_xlpm.risk,UPPER(TRIM(C963&amp;"")),
_xlpm.notify,UPPER(TRIM(D963&amp;"")),
_xlpm.form,UPPER(TRIM(E963&amp;"")),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63" s="1" t="str">
        <f t="shared" si="15"/>
        <v>NA</v>
      </c>
      <c r="H963" s="5"/>
      <c r="I963" s="1" t="s">
        <v>22</v>
      </c>
      <c r="J963" s="1"/>
      <c r="K963" s="1" t="s">
        <v>2339</v>
      </c>
      <c r="L963" s="1" t="s">
        <v>22</v>
      </c>
      <c r="M963" s="1"/>
      <c r="N963" s="1" t="s">
        <v>2348</v>
      </c>
      <c r="O963" s="1" t="s">
        <v>19</v>
      </c>
      <c r="P963" s="1" t="s">
        <v>18</v>
      </c>
      <c r="Q963" s="1" t="s">
        <v>20</v>
      </c>
      <c r="R963" s="1"/>
      <c r="S963" s="1"/>
      <c r="T963" s="1"/>
    </row>
    <row r="964" spans="1:20">
      <c r="A964" s="1" t="s">
        <v>2349</v>
      </c>
      <c r="B964" s="1" t="str" cm="1">
        <f t="array" ref="B964">IF(A964="","",_xlfn.IFS(COUNTIF($U:$U,A964)&gt;0,"All uploaded",COUNTIF($V:$V,A964)&gt;0,"Partly uploaded",COUNTIF($W:$X,A964)&gt;0,"Not uploaded",TRUE,"Not classified"))</f>
        <v>Not uploaded</v>
      </c>
      <c r="C964" s="1" t="str" cm="1">
        <f t="array" ref="C964">_xlfn.SWITCH(TRIM(I964),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64" s="1"/>
      <c r="E964" s="1"/>
      <c r="F964" s="1" t="str" cm="1">
        <f t="array" ref="F964">_xlfn.LET(
_xlpm.status,UPPER(TRIM(B964&amp;"")),
_xlpm.risk,UPPER(TRIM(C964&amp;"")),
_xlpm.notify,UPPER(TRIM(D964&amp;"")),
_xlpm.form,UPPER(TRIM(E964&amp;"")),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64" s="1" t="str">
        <f t="shared" si="15"/>
        <v>NA</v>
      </c>
      <c r="H964" s="5"/>
      <c r="I964" s="1" t="s">
        <v>22</v>
      </c>
      <c r="J964" s="1"/>
      <c r="K964" s="1" t="s">
        <v>2339</v>
      </c>
      <c r="L964" s="1" t="s">
        <v>22</v>
      </c>
      <c r="M964" s="1"/>
      <c r="N964" s="1" t="s">
        <v>2350</v>
      </c>
      <c r="O964" s="1" t="s">
        <v>19</v>
      </c>
      <c r="P964" s="1" t="s">
        <v>18</v>
      </c>
      <c r="Q964" s="1" t="s">
        <v>20</v>
      </c>
      <c r="R964" s="1"/>
      <c r="S964" s="1"/>
      <c r="T964" s="1"/>
    </row>
    <row r="965" spans="1:20">
      <c r="A965" s="1" t="s">
        <v>2342</v>
      </c>
      <c r="B965" s="1" t="str" cm="1">
        <f t="array" ref="B965">IF(A965="","",_xlfn.IFS(COUNTIF($U:$U,A965)&gt;0,"All uploaded",COUNTIF($V:$V,A965)&gt;0,"Partly uploaded",COUNTIF($W:$X,A965)&gt;0,"Not uploaded",TRUE,"Not classified"))</f>
        <v>Partly uploaded</v>
      </c>
      <c r="C965" s="1" t="str" cm="1">
        <f t="array" ref="C965">_xlfn.SWITCH(TRIM(I965),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65" s="1"/>
      <c r="E965" s="1"/>
      <c r="F965" s="1" t="str" cm="1">
        <f t="array" ref="F965">_xlfn.LET(
_xlpm.status,UPPER(TRIM(B965&amp;"")),
_xlpm.risk,UPPER(TRIM(C965&amp;"")),
_xlpm.notify,UPPER(TRIM(D965&amp;"")),
_xlpm.form,UPPER(TRIM(E965&amp;"")),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65" s="1" t="str">
        <f t="shared" si="15"/>
        <v>NA</v>
      </c>
      <c r="H965" s="5"/>
      <c r="I965" s="1" t="s">
        <v>22</v>
      </c>
      <c r="J965" s="1"/>
      <c r="K965" s="1" t="s">
        <v>2339</v>
      </c>
      <c r="L965" s="1" t="s">
        <v>22</v>
      </c>
      <c r="M965" s="1"/>
      <c r="N965" s="1" t="s">
        <v>2343</v>
      </c>
      <c r="O965" s="1" t="s">
        <v>19</v>
      </c>
      <c r="P965" s="1" t="s">
        <v>18</v>
      </c>
      <c r="Q965" s="1" t="s">
        <v>20</v>
      </c>
      <c r="R965" s="1"/>
      <c r="S965" s="1"/>
      <c r="T965" s="1"/>
    </row>
    <row r="966" spans="1:20">
      <c r="A966" s="1" t="s">
        <v>2357</v>
      </c>
      <c r="B966" s="1" t="str" cm="1">
        <f t="array" ref="B966">IF(A966="","",_xlfn.IFS(COUNTIF($U:$U,A966)&gt;0,"All uploaded",COUNTIF($V:$V,A966)&gt;0,"Partly uploaded",COUNTIF($W:$X,A966)&gt;0,"Not uploaded",TRUE,"Not classified"))</f>
        <v>Partly uploaded</v>
      </c>
      <c r="C966" s="1" t="str" cm="1">
        <f t="array" ref="C966">_xlfn.SWITCH(TRIM(I966),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66" s="1"/>
      <c r="E966" s="1"/>
      <c r="F966" s="1" t="str" cm="1">
        <f t="array" ref="F966">_xlfn.LET(
_xlpm.status,UPPER(TRIM(B966&amp;"")),
_xlpm.risk,UPPER(TRIM(C966&amp;"")),
_xlpm.notify,UPPER(TRIM(D966&amp;"")),
_xlpm.form,UPPER(TRIM(E966&amp;"")),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66" s="1" t="str">
        <f t="shared" si="15"/>
        <v>NA</v>
      </c>
      <c r="H966" s="5"/>
      <c r="I966" s="1" t="s">
        <v>50</v>
      </c>
      <c r="J966" s="1"/>
      <c r="K966" s="1" t="s">
        <v>2356</v>
      </c>
      <c r="L966" s="1" t="s">
        <v>50</v>
      </c>
      <c r="M966" s="1"/>
      <c r="N966" s="1" t="s">
        <v>2314</v>
      </c>
      <c r="O966" s="1" t="s">
        <v>19</v>
      </c>
      <c r="P966" s="1" t="s">
        <v>18</v>
      </c>
      <c r="Q966" s="1" t="s">
        <v>20</v>
      </c>
      <c r="R966" s="1"/>
      <c r="S966" s="1"/>
      <c r="T966" s="1"/>
    </row>
    <row r="967" spans="1:20">
      <c r="A967" s="1" t="s">
        <v>2363</v>
      </c>
      <c r="B967" s="1" t="str" cm="1">
        <f t="array" ref="B967">IF(A967="","",_xlfn.IFS(COUNTIF($U:$U,A967)&gt;0,"All uploaded",COUNTIF($V:$V,A967)&gt;0,"Partly uploaded",COUNTIF($W:$X,A967)&gt;0,"Not uploaded",TRUE,"Not classified"))</f>
        <v>Not uploaded</v>
      </c>
      <c r="C967" s="1" t="str" cm="1">
        <f t="array" ref="C967">_xlfn.SWITCH(TRIM(I967),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67" s="1"/>
      <c r="E967" s="1"/>
      <c r="F967" s="1" t="str" cm="1">
        <f t="array" ref="F967">_xlfn.LET(
_xlpm.status,UPPER(TRIM(B967&amp;"")),
_xlpm.risk,UPPER(TRIM(C967&amp;"")),
_xlpm.notify,UPPER(TRIM(D967&amp;"")),
_xlpm.form,UPPER(TRIM(E967&amp;"")),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67" s="1" t="str">
        <f t="shared" si="15"/>
        <v>Required</v>
      </c>
      <c r="H967" s="5"/>
      <c r="I967" s="1" t="s">
        <v>27</v>
      </c>
      <c r="J967" s="1"/>
      <c r="K967" s="1" t="s">
        <v>2356</v>
      </c>
      <c r="L967" s="1" t="s">
        <v>27</v>
      </c>
      <c r="M967" s="1"/>
      <c r="N967" s="1" t="s">
        <v>2364</v>
      </c>
      <c r="O967" s="1" t="s">
        <v>19</v>
      </c>
      <c r="P967" s="1" t="s">
        <v>18</v>
      </c>
      <c r="Q967" s="1" t="s">
        <v>20</v>
      </c>
      <c r="R967" s="1"/>
      <c r="S967" s="1"/>
      <c r="T967" s="1"/>
    </row>
    <row r="968" spans="1:20">
      <c r="A968" s="1" t="s">
        <v>2365</v>
      </c>
      <c r="B968" s="1" t="str" cm="1">
        <f t="array" ref="B968">IF(A968="","",_xlfn.IFS(COUNTIF($U:$U,A968)&gt;0,"All uploaded",COUNTIF($V:$V,A968)&gt;0,"Partly uploaded",COUNTIF($W:$X,A968)&gt;0,"Not uploaded",TRUE,"Not classified"))</f>
        <v>Not uploaded</v>
      </c>
      <c r="C968" s="1" t="str" cm="1">
        <f t="array" ref="C968">_xlfn.SWITCH(TRIM(I968),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68" s="1"/>
      <c r="E968" s="1"/>
      <c r="F968" s="1" t="str" cm="1">
        <f t="array" ref="F968">_xlfn.LET(
_xlpm.status,UPPER(TRIM(B968&amp;"")),
_xlpm.risk,UPPER(TRIM(C968&amp;"")),
_xlpm.notify,UPPER(TRIM(D968&amp;"")),
_xlpm.form,UPPER(TRIM(E968&amp;"")),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68" s="1" t="str">
        <f t="shared" si="15"/>
        <v>NA</v>
      </c>
      <c r="H968" s="5"/>
      <c r="I968" s="1" t="s">
        <v>22</v>
      </c>
      <c r="J968" s="1"/>
      <c r="K968" s="1" t="s">
        <v>2356</v>
      </c>
      <c r="L968" s="1" t="s">
        <v>22</v>
      </c>
      <c r="M968" s="1"/>
      <c r="N968" s="1" t="s">
        <v>2366</v>
      </c>
      <c r="O968" s="1" t="s">
        <v>19</v>
      </c>
      <c r="P968" s="1" t="s">
        <v>18</v>
      </c>
      <c r="Q968" s="1" t="s">
        <v>20</v>
      </c>
      <c r="R968" s="1"/>
      <c r="S968" s="1"/>
      <c r="T968" s="1"/>
    </row>
    <row r="969" spans="1:20">
      <c r="A969" s="1" t="s">
        <v>2368</v>
      </c>
      <c r="B969" s="1" t="str" cm="1">
        <f t="array" ref="B969">IF(A969="","",_xlfn.IFS(COUNTIF($U:$U,A969)&gt;0,"All uploaded",COUNTIF($V:$V,A969)&gt;0,"Partly uploaded",COUNTIF($W:$X,A969)&gt;0,"Not uploaded",TRUE,"Not classified"))</f>
        <v>Partly uploaded</v>
      </c>
      <c r="C969" s="1" t="str" cm="1">
        <f t="array" ref="C969">_xlfn.SWITCH(TRIM(I969),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69" s="1"/>
      <c r="E969" s="1"/>
      <c r="F969" s="1" t="str" cm="1">
        <f t="array" ref="F969">_xlfn.LET(
_xlpm.status,UPPER(TRIM(B969&amp;"")),
_xlpm.risk,UPPER(TRIM(C969&amp;"")),
_xlpm.notify,UPPER(TRIM(D969&amp;"")),
_xlpm.form,UPPER(TRIM(E969&amp;"")),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69" s="1" t="str">
        <f t="shared" si="15"/>
        <v>NA</v>
      </c>
      <c r="H969" s="5"/>
      <c r="I969" s="1" t="s">
        <v>48</v>
      </c>
      <c r="J969" s="1"/>
      <c r="K969" s="1" t="s">
        <v>2367</v>
      </c>
      <c r="L969" s="1" t="s">
        <v>48</v>
      </c>
      <c r="M969" s="1"/>
      <c r="N969" s="1" t="s">
        <v>2369</v>
      </c>
      <c r="O969" s="1" t="s">
        <v>19</v>
      </c>
      <c r="P969" s="1" t="s">
        <v>18</v>
      </c>
      <c r="Q969" s="1" t="s">
        <v>20</v>
      </c>
      <c r="R969" s="1"/>
      <c r="S969" s="1"/>
      <c r="T969" s="1"/>
    </row>
    <row r="970" spans="1:20">
      <c r="A970" s="1" t="s">
        <v>2386</v>
      </c>
      <c r="B970" s="1" t="str" cm="1">
        <f t="array" ref="B970">IF(A970="","",_xlfn.IFS(COUNTIF($U:$U,A970)&gt;0,"All uploaded",COUNTIF($V:$V,A970)&gt;0,"Partly uploaded",COUNTIF($W:$X,A970)&gt;0,"Not uploaded",TRUE,"Not classified"))</f>
        <v>Partly uploaded</v>
      </c>
      <c r="C970" s="1" t="str" cm="1">
        <f t="array" ref="C970">_xlfn.SWITCH(TRIM(I970),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70" s="1"/>
      <c r="E970" s="1"/>
      <c r="F970" s="1" t="str" cm="1">
        <f t="array" ref="F970">_xlfn.LET(
_xlpm.status,UPPER(TRIM(B970&amp;"")),
_xlpm.risk,UPPER(TRIM(C970&amp;"")),
_xlpm.notify,UPPER(TRIM(D970&amp;"")),
_xlpm.form,UPPER(TRIM(E970&amp;"")),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70" s="1" t="str">
        <f t="shared" si="15"/>
        <v>NA</v>
      </c>
      <c r="H970" s="5"/>
      <c r="I970" s="1" t="s">
        <v>22</v>
      </c>
      <c r="J970" s="1"/>
      <c r="K970" s="1" t="s">
        <v>2385</v>
      </c>
      <c r="L970" s="1" t="s">
        <v>22</v>
      </c>
      <c r="M970" s="1"/>
      <c r="N970" s="1" t="s">
        <v>2387</v>
      </c>
      <c r="O970" s="1" t="s">
        <v>19</v>
      </c>
      <c r="P970" s="1" t="s">
        <v>18</v>
      </c>
      <c r="Q970" s="1" t="s">
        <v>20</v>
      </c>
      <c r="R970" s="1"/>
      <c r="S970" s="1"/>
      <c r="T970" s="1"/>
    </row>
    <row r="971" spans="1:20">
      <c r="A971" s="1" t="s">
        <v>2388</v>
      </c>
      <c r="B971" s="1" t="str" cm="1">
        <f t="array" ref="B971">IF(A971="","",_xlfn.IFS(COUNTIF($U:$U,A971)&gt;0,"All uploaded",COUNTIF($V:$V,A971)&gt;0,"Partly uploaded",COUNTIF($W:$X,A971)&gt;0,"Not uploaded",TRUE,"Not classified"))</f>
        <v>Not uploaded</v>
      </c>
      <c r="C971" s="1" t="str" cm="1">
        <f t="array" ref="C971">_xlfn.SWITCH(TRIM(I971),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71" s="1"/>
      <c r="E971" s="1"/>
      <c r="F971" s="1" t="str" cm="1">
        <f t="array" ref="F971">_xlfn.LET(
_xlpm.status,UPPER(TRIM(B971&amp;"")),
_xlpm.risk,UPPER(TRIM(C971&amp;"")),
_xlpm.notify,UPPER(TRIM(D971&amp;"")),
_xlpm.form,UPPER(TRIM(E971&amp;"")),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71" s="1" t="str">
        <f t="shared" si="15"/>
        <v>NA</v>
      </c>
      <c r="H971" s="5"/>
      <c r="I971" s="1" t="s">
        <v>22</v>
      </c>
      <c r="J971" s="1"/>
      <c r="K971" s="1" t="s">
        <v>2385</v>
      </c>
      <c r="L971" s="1" t="s">
        <v>22</v>
      </c>
      <c r="M971" s="1"/>
      <c r="N971" s="1" t="s">
        <v>2389</v>
      </c>
      <c r="O971" s="1" t="s">
        <v>19</v>
      </c>
      <c r="P971" s="1" t="s">
        <v>18</v>
      </c>
      <c r="Q971" s="1" t="s">
        <v>20</v>
      </c>
      <c r="R971" s="1"/>
      <c r="S971" s="1"/>
      <c r="T971" s="1"/>
    </row>
    <row r="972" spans="1:20">
      <c r="A972" s="1" t="s">
        <v>2390</v>
      </c>
      <c r="B972" s="1" t="str" cm="1">
        <f t="array" ref="B972">IF(A972="","",_xlfn.IFS(COUNTIF($U:$U,A972)&gt;0,"All uploaded",COUNTIF($V:$V,A972)&gt;0,"Partly uploaded",COUNTIF($W:$X,A972)&gt;0,"Not uploaded",TRUE,"Not classified"))</f>
        <v>Partly uploaded</v>
      </c>
      <c r="C972" s="1" t="str" cm="1">
        <f t="array" ref="C972">_xlfn.SWITCH(TRIM(I972),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72" s="1"/>
      <c r="E972" s="1"/>
      <c r="F972" s="1" t="str" cm="1">
        <f t="array" ref="F972">_xlfn.LET(
_xlpm.status,UPPER(TRIM(B972&amp;"")),
_xlpm.risk,UPPER(TRIM(C972&amp;"")),
_xlpm.notify,UPPER(TRIM(D972&amp;"")),
_xlpm.form,UPPER(TRIM(E972&amp;"")),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72" s="1" t="str">
        <f t="shared" si="15"/>
        <v>NA</v>
      </c>
      <c r="H972" s="5"/>
      <c r="I972" s="1" t="s">
        <v>22</v>
      </c>
      <c r="J972" s="1"/>
      <c r="K972" s="1" t="s">
        <v>2385</v>
      </c>
      <c r="L972" s="1" t="s">
        <v>22</v>
      </c>
      <c r="M972" s="1"/>
      <c r="N972" s="1" t="s">
        <v>2391</v>
      </c>
      <c r="O972" s="1" t="s">
        <v>19</v>
      </c>
      <c r="P972" s="1" t="s">
        <v>18</v>
      </c>
      <c r="Q972" s="1" t="s">
        <v>20</v>
      </c>
      <c r="R972" s="1"/>
      <c r="S972" s="1"/>
      <c r="T972" s="1"/>
    </row>
    <row r="973" spans="1:20">
      <c r="A973" s="1" t="s">
        <v>2398</v>
      </c>
      <c r="B973" s="1" t="str" cm="1">
        <f t="array" ref="B973">IF(A973="","",_xlfn.IFS(COUNTIF($U:$U,A973)&gt;0,"All uploaded",COUNTIF($V:$V,A973)&gt;0,"Partly uploaded",COUNTIF($W:$X,A973)&gt;0,"Not uploaded",TRUE,"Not classified"))</f>
        <v>Not uploaded</v>
      </c>
      <c r="C973" s="1" t="str" cm="1">
        <f t="array" ref="C973">_xlfn.SWITCH(TRIM(I973),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73" s="1"/>
      <c r="E973" s="1"/>
      <c r="F973" s="1" t="str" cm="1">
        <f t="array" ref="F973">_xlfn.LET(
_xlpm.status,UPPER(TRIM(B973&amp;"")),
_xlpm.risk,UPPER(TRIM(C973&amp;"")),
_xlpm.notify,UPPER(TRIM(D973&amp;"")),
_xlpm.form,UPPER(TRIM(E973&amp;"")),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73" s="1" t="str">
        <f t="shared" si="15"/>
        <v>NA</v>
      </c>
      <c r="H973" s="5"/>
      <c r="I973" s="1" t="s">
        <v>22</v>
      </c>
      <c r="J973" s="1"/>
      <c r="K973" s="1" t="s">
        <v>2385</v>
      </c>
      <c r="L973" s="1" t="s">
        <v>22</v>
      </c>
      <c r="M973" s="1"/>
      <c r="N973" s="1" t="s">
        <v>2399</v>
      </c>
      <c r="O973" s="1" t="s">
        <v>19</v>
      </c>
      <c r="P973" s="1" t="s">
        <v>18</v>
      </c>
      <c r="Q973" s="1" t="s">
        <v>20</v>
      </c>
      <c r="R973" s="1"/>
      <c r="S973" s="1"/>
      <c r="T973" s="1"/>
    </row>
    <row r="974" spans="1:20">
      <c r="A974" s="1" t="s">
        <v>2400</v>
      </c>
      <c r="B974" s="1" t="str" cm="1">
        <f t="array" ref="B974">IF(A974="","",_xlfn.IFS(COUNTIF($U:$U,A974)&gt;0,"All uploaded",COUNTIF($V:$V,A974)&gt;0,"Partly uploaded",COUNTIF($W:$X,A974)&gt;0,"Not uploaded",TRUE,"Not classified"))</f>
        <v>Not uploaded</v>
      </c>
      <c r="C974" s="1" t="str" cm="1">
        <f t="array" ref="C974">_xlfn.SWITCH(TRIM(I974),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74" s="1"/>
      <c r="E974" s="1"/>
      <c r="F974" s="1" t="str" cm="1">
        <f t="array" ref="F974">_xlfn.LET(
_xlpm.status,UPPER(TRIM(B974&amp;"")),
_xlpm.risk,UPPER(TRIM(C974&amp;"")),
_xlpm.notify,UPPER(TRIM(D974&amp;"")),
_xlpm.form,UPPER(TRIM(E974&amp;"")),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74" s="1" t="str">
        <f t="shared" si="15"/>
        <v>NA</v>
      </c>
      <c r="H974" s="5"/>
      <c r="I974" s="1" t="s">
        <v>22</v>
      </c>
      <c r="J974" s="1"/>
      <c r="K974" s="1" t="s">
        <v>2385</v>
      </c>
      <c r="L974" s="1" t="s">
        <v>22</v>
      </c>
      <c r="M974" s="1"/>
      <c r="N974" s="1" t="s">
        <v>2401</v>
      </c>
      <c r="O974" s="1" t="s">
        <v>19</v>
      </c>
      <c r="P974" s="1" t="s">
        <v>18</v>
      </c>
      <c r="Q974" s="1" t="s">
        <v>20</v>
      </c>
      <c r="R974" s="1"/>
      <c r="S974" s="1"/>
      <c r="T974" s="1"/>
    </row>
    <row r="975" spans="1:20">
      <c r="A975" s="1" t="s">
        <v>2403</v>
      </c>
      <c r="B975" s="1" t="str" cm="1">
        <f t="array" ref="B975">IF(A975="","",_xlfn.IFS(COUNTIF($U:$U,A975)&gt;0,"All uploaded",COUNTIF($V:$V,A975)&gt;0,"Partly uploaded",COUNTIF($W:$X,A975)&gt;0,"Not uploaded",TRUE,"Not classified"))</f>
        <v>Partly uploaded</v>
      </c>
      <c r="C975" s="1" t="str" cm="1">
        <f t="array" ref="C975">_xlfn.SWITCH(TRIM(I975),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75" s="1"/>
      <c r="E975" s="1"/>
      <c r="F975" s="1" t="str" cm="1">
        <f t="array" ref="F975">_xlfn.LET(
_xlpm.status,UPPER(TRIM(B975&amp;"")),
_xlpm.risk,UPPER(TRIM(C975&amp;"")),
_xlpm.notify,UPPER(TRIM(D975&amp;"")),
_xlpm.form,UPPER(TRIM(E975&amp;"")),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75" s="1" t="str">
        <f t="shared" si="15"/>
        <v>NA</v>
      </c>
      <c r="H975" s="5"/>
      <c r="I975" s="1" t="s">
        <v>22</v>
      </c>
      <c r="J975" s="1"/>
      <c r="K975" s="1" t="s">
        <v>2402</v>
      </c>
      <c r="L975" s="1" t="s">
        <v>22</v>
      </c>
      <c r="M975" s="1"/>
      <c r="N975" s="1" t="s">
        <v>2404</v>
      </c>
      <c r="O975" s="1" t="s">
        <v>19</v>
      </c>
      <c r="P975" s="1" t="s">
        <v>18</v>
      </c>
      <c r="Q975" s="1" t="s">
        <v>20</v>
      </c>
      <c r="R975" s="1"/>
      <c r="S975" s="1"/>
      <c r="T975" s="1"/>
    </row>
    <row r="976" spans="1:20">
      <c r="A976" s="1" t="s">
        <v>2419</v>
      </c>
      <c r="B976" s="1" t="str" cm="1">
        <f t="array" ref="B976">IF(A976="","",_xlfn.IFS(COUNTIF($U:$U,A976)&gt;0,"All uploaded",COUNTIF($V:$V,A976)&gt;0,"Partly uploaded",COUNTIF($W:$X,A976)&gt;0,"Not uploaded",TRUE,"Not classified"))</f>
        <v>Partly uploaded</v>
      </c>
      <c r="C976" s="1" t="str" cm="1">
        <f t="array" ref="C976">_xlfn.SWITCH(TRIM(I976),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76" s="1"/>
      <c r="E976" s="1"/>
      <c r="F976" s="1" t="str" cm="1">
        <f t="array" ref="F976">_xlfn.LET(
_xlpm.status,UPPER(TRIM(B976&amp;"")),
_xlpm.risk,UPPER(TRIM(C976&amp;"")),
_xlpm.notify,UPPER(TRIM(D976&amp;"")),
_xlpm.form,UPPER(TRIM(E976&amp;"")),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76" s="1" t="str">
        <f t="shared" si="15"/>
        <v>NA</v>
      </c>
      <c r="H976" s="5"/>
      <c r="I976" s="1" t="s">
        <v>23</v>
      </c>
      <c r="J976" s="1"/>
      <c r="K976" s="1" t="s">
        <v>2413</v>
      </c>
      <c r="L976" s="1" t="s">
        <v>23</v>
      </c>
      <c r="M976" s="1"/>
      <c r="N976" s="1" t="s">
        <v>2420</v>
      </c>
      <c r="O976" s="1" t="s">
        <v>19</v>
      </c>
      <c r="P976" s="1" t="s">
        <v>18</v>
      </c>
      <c r="Q976" s="1" t="s">
        <v>20</v>
      </c>
      <c r="R976" s="1"/>
      <c r="S976" s="1"/>
      <c r="T976" s="1"/>
    </row>
    <row r="977" spans="1:20">
      <c r="A977" s="1" t="s">
        <v>2414</v>
      </c>
      <c r="B977" s="1" t="str" cm="1">
        <f t="array" ref="B977">IF(A977="","",_xlfn.IFS(COUNTIF($U:$U,A977)&gt;0,"All uploaded",COUNTIF($V:$V,A977)&gt;0,"Partly uploaded",COUNTIF($W:$X,A977)&gt;0,"Not uploaded",TRUE,"Not classified"))</f>
        <v>Partly uploaded</v>
      </c>
      <c r="C977" s="1" t="str" cm="1">
        <f t="array" ref="C977">_xlfn.SWITCH(TRIM(I977),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77" s="1"/>
      <c r="E977" s="1"/>
      <c r="F977" s="1" t="str" cm="1">
        <f t="array" ref="F977">_xlfn.LET(
_xlpm.status,UPPER(TRIM(B977&amp;"")),
_xlpm.risk,UPPER(TRIM(C977&amp;"")),
_xlpm.notify,UPPER(TRIM(D977&amp;"")),
_xlpm.form,UPPER(TRIM(E977&amp;"")),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77" s="1" t="str">
        <f t="shared" si="15"/>
        <v>Required</v>
      </c>
      <c r="H977" s="5"/>
      <c r="I977" s="1" t="s">
        <v>27</v>
      </c>
      <c r="J977" s="1"/>
      <c r="K977" s="1" t="s">
        <v>2413</v>
      </c>
      <c r="L977" s="1" t="s">
        <v>27</v>
      </c>
      <c r="M977" s="1"/>
      <c r="N977" s="1" t="s">
        <v>2341</v>
      </c>
      <c r="O977" s="1" t="s">
        <v>19</v>
      </c>
      <c r="P977" s="1" t="s">
        <v>18</v>
      </c>
      <c r="Q977" s="1" t="s">
        <v>20</v>
      </c>
      <c r="R977" s="1"/>
      <c r="S977" s="1"/>
      <c r="T977" s="1"/>
    </row>
    <row r="978" spans="1:20">
      <c r="A978" s="1" t="s">
        <v>2425</v>
      </c>
      <c r="B978" s="1" t="str" cm="1">
        <f t="array" ref="B978">IF(A978="","",_xlfn.IFS(COUNTIF($U:$U,A978)&gt;0,"All uploaded",COUNTIF($V:$V,A978)&gt;0,"Partly uploaded",COUNTIF($W:$X,A978)&gt;0,"Not uploaded",TRUE,"Not classified"))</f>
        <v>Partly uploaded</v>
      </c>
      <c r="C978" s="1" t="str" cm="1">
        <f t="array" ref="C978">_xlfn.SWITCH(TRIM(I978),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78" s="1"/>
      <c r="E978" s="1"/>
      <c r="F978" s="1" t="str" cm="1">
        <f t="array" ref="F978">_xlfn.LET(
_xlpm.status,UPPER(TRIM(B978&amp;"")),
_xlpm.risk,UPPER(TRIM(C978&amp;"")),
_xlpm.notify,UPPER(TRIM(D978&amp;"")),
_xlpm.form,UPPER(TRIM(E978&amp;"")),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78" s="1" t="str">
        <f t="shared" si="15"/>
        <v>Required</v>
      </c>
      <c r="H978" s="5"/>
      <c r="I978" s="1" t="s">
        <v>10</v>
      </c>
      <c r="J978" s="1"/>
      <c r="K978" s="1" t="s">
        <v>2424</v>
      </c>
      <c r="L978" s="1" t="s">
        <v>10</v>
      </c>
      <c r="M978" s="1"/>
      <c r="N978" s="1" t="s">
        <v>2426</v>
      </c>
      <c r="O978" s="1" t="s">
        <v>19</v>
      </c>
      <c r="P978" s="1" t="s">
        <v>18</v>
      </c>
      <c r="Q978" s="1" t="s">
        <v>20</v>
      </c>
      <c r="R978" s="1"/>
      <c r="S978" s="1"/>
      <c r="T978" s="1"/>
    </row>
    <row r="979" spans="1:20">
      <c r="A979" s="1" t="s">
        <v>2431</v>
      </c>
      <c r="B979" s="1" t="str" cm="1">
        <f t="array" ref="B979">IF(A979="","",_xlfn.IFS(COUNTIF($U:$U,A979)&gt;0,"All uploaded",COUNTIF($V:$V,A979)&gt;0,"Partly uploaded",COUNTIF($W:$X,A979)&gt;0,"Not uploaded",TRUE,"Not classified"))</f>
        <v>Partly uploaded</v>
      </c>
      <c r="C979" s="1" t="str" cm="1">
        <f t="array" ref="C979">_xlfn.SWITCH(TRIM(I979),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79" s="1"/>
      <c r="E979" s="1"/>
      <c r="F979" s="1" t="str" cm="1">
        <f t="array" ref="F979">_xlfn.LET(
_xlpm.status,UPPER(TRIM(B979&amp;"")),
_xlpm.risk,UPPER(TRIM(C979&amp;"")),
_xlpm.notify,UPPER(TRIM(D979&amp;"")),
_xlpm.form,UPPER(TRIM(E979&amp;"")),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79" s="1" t="str">
        <f t="shared" si="15"/>
        <v>Required</v>
      </c>
      <c r="H979" s="5"/>
      <c r="I979" s="1" t="s">
        <v>27</v>
      </c>
      <c r="J979" s="1"/>
      <c r="K979" s="1" t="s">
        <v>2424</v>
      </c>
      <c r="L979" s="1" t="s">
        <v>27</v>
      </c>
      <c r="M979" s="1"/>
      <c r="N979" s="1" t="s">
        <v>2432</v>
      </c>
      <c r="O979" s="1" t="s">
        <v>19</v>
      </c>
      <c r="P979" s="1" t="s">
        <v>18</v>
      </c>
      <c r="Q979" s="1" t="s">
        <v>20</v>
      </c>
      <c r="R979" s="1"/>
      <c r="S979" s="1"/>
      <c r="T979" s="1"/>
    </row>
    <row r="980" spans="1:20">
      <c r="A980" s="1" t="s">
        <v>2437</v>
      </c>
      <c r="B980" s="1" t="str" cm="1">
        <f t="array" ref="B980">IF(A980="","",_xlfn.IFS(COUNTIF($U:$U,A980)&gt;0,"All uploaded",COUNTIF($V:$V,A980)&gt;0,"Partly uploaded",COUNTIF($W:$X,A980)&gt;0,"Not uploaded",TRUE,"Not classified"))</f>
        <v>Not uploaded</v>
      </c>
      <c r="C980" s="1" t="str" cm="1">
        <f t="array" ref="C980">_xlfn.SWITCH(TRIM(I980),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80" s="1"/>
      <c r="E980" s="1"/>
      <c r="F980" s="1" t="str" cm="1">
        <f t="array" ref="F980">_xlfn.LET(
_xlpm.status,UPPER(TRIM(B980&amp;"")),
_xlpm.risk,UPPER(TRIM(C980&amp;"")),
_xlpm.notify,UPPER(TRIM(D980&amp;"")),
_xlpm.form,UPPER(TRIM(E980&amp;"")),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80" s="1" t="str">
        <f t="shared" si="15"/>
        <v>NA</v>
      </c>
      <c r="H980" s="5"/>
      <c r="I980" s="1" t="s">
        <v>22</v>
      </c>
      <c r="J980" s="1"/>
      <c r="K980" s="1" t="s">
        <v>2436</v>
      </c>
      <c r="L980" s="1" t="s">
        <v>22</v>
      </c>
      <c r="M980" s="1"/>
      <c r="N980" s="1" t="s">
        <v>2438</v>
      </c>
      <c r="O980" s="1" t="s">
        <v>19</v>
      </c>
      <c r="P980" s="1" t="s">
        <v>18</v>
      </c>
      <c r="Q980" s="1" t="s">
        <v>20</v>
      </c>
      <c r="R980" s="1"/>
      <c r="S980" s="1"/>
      <c r="T980" s="1"/>
    </row>
    <row r="981" spans="1:20">
      <c r="A981" s="1" t="s">
        <v>2440</v>
      </c>
      <c r="B981" s="1" t="str" cm="1">
        <f t="array" ref="B981">IF(A981="","",_xlfn.IFS(COUNTIF($U:$U,A981)&gt;0,"All uploaded",COUNTIF($V:$V,A981)&gt;0,"Partly uploaded",COUNTIF($W:$X,A981)&gt;0,"Not uploaded",TRUE,"Not classified"))</f>
        <v>Not uploaded</v>
      </c>
      <c r="C981" s="1" t="str" cm="1">
        <f t="array" ref="C981">_xlfn.SWITCH(TRIM(I981),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81" s="1"/>
      <c r="E981" s="1"/>
      <c r="F981" s="1" t="str" cm="1">
        <f t="array" ref="F981">_xlfn.LET(
_xlpm.status,UPPER(TRIM(B981&amp;"")),
_xlpm.risk,UPPER(TRIM(C981&amp;"")),
_xlpm.notify,UPPER(TRIM(D981&amp;"")),
_xlpm.form,UPPER(TRIM(E981&amp;"")),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81" s="1" t="str">
        <f t="shared" si="15"/>
        <v>NA</v>
      </c>
      <c r="H981" s="5"/>
      <c r="I981" s="1" t="s">
        <v>24</v>
      </c>
      <c r="J981" s="1"/>
      <c r="K981" s="1" t="s">
        <v>2439</v>
      </c>
      <c r="L981" s="1" t="s">
        <v>24</v>
      </c>
      <c r="M981" s="1"/>
      <c r="N981" s="1" t="s">
        <v>2441</v>
      </c>
      <c r="O981" s="1" t="s">
        <v>19</v>
      </c>
      <c r="P981" s="1" t="s">
        <v>18</v>
      </c>
      <c r="Q981" s="1" t="s">
        <v>20</v>
      </c>
      <c r="R981" s="1"/>
      <c r="S981" s="1"/>
      <c r="T981" s="1"/>
    </row>
    <row r="982" spans="1:20">
      <c r="A982" s="1" t="s">
        <v>2454</v>
      </c>
      <c r="B982" s="1" t="str" cm="1">
        <f t="array" ref="B982">IF(A982="","",_xlfn.IFS(COUNTIF($U:$U,A982)&gt;0,"All uploaded",COUNTIF($V:$V,A982)&gt;0,"Partly uploaded",COUNTIF($W:$X,A982)&gt;0,"Not uploaded",TRUE,"Not classified"))</f>
        <v>Partly uploaded</v>
      </c>
      <c r="C982" s="1" t="str" cm="1">
        <f t="array" ref="C982">_xlfn.SWITCH(TRIM(I982),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82" s="1"/>
      <c r="E982" s="1"/>
      <c r="F982" s="1" t="str" cm="1">
        <f t="array" ref="F982">_xlfn.LET(
_xlpm.status,UPPER(TRIM(B982&amp;"")),
_xlpm.risk,UPPER(TRIM(C982&amp;"")),
_xlpm.notify,UPPER(TRIM(D982&amp;"")),
_xlpm.form,UPPER(TRIM(E982&amp;"")),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82" s="1" t="str">
        <f t="shared" si="15"/>
        <v>NA</v>
      </c>
      <c r="H982" s="5"/>
      <c r="I982" s="1" t="s">
        <v>22</v>
      </c>
      <c r="J982" s="1"/>
      <c r="K982" s="1" t="s">
        <v>2453</v>
      </c>
      <c r="L982" s="1" t="s">
        <v>22</v>
      </c>
      <c r="M982" s="1"/>
      <c r="N982" s="1" t="s">
        <v>2455</v>
      </c>
      <c r="O982" s="1" t="s">
        <v>19</v>
      </c>
      <c r="P982" s="1" t="s">
        <v>18</v>
      </c>
      <c r="Q982" s="1" t="s">
        <v>20</v>
      </c>
      <c r="R982" s="1"/>
      <c r="S982" s="1"/>
      <c r="T982" s="1"/>
    </row>
    <row r="983" spans="1:20">
      <c r="A983" s="1" t="s">
        <v>2460</v>
      </c>
      <c r="B983" s="1" t="str" cm="1">
        <f t="array" ref="B983">IF(A983="","",_xlfn.IFS(COUNTIF($U:$U,A983)&gt;0,"All uploaded",COUNTIF($V:$V,A983)&gt;0,"Partly uploaded",COUNTIF($W:$X,A983)&gt;0,"Not uploaded",TRUE,"Not classified"))</f>
        <v>Partly uploaded</v>
      </c>
      <c r="C983" s="1" t="str" cm="1">
        <f t="array" ref="C983">_xlfn.SWITCH(TRIM(I983),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83" s="1"/>
      <c r="E983" s="1"/>
      <c r="F983" s="1" t="str" cm="1">
        <f t="array" ref="F983">_xlfn.LET(
_xlpm.status,UPPER(TRIM(B983&amp;"")),
_xlpm.risk,UPPER(TRIM(C983&amp;"")),
_xlpm.notify,UPPER(TRIM(D983&amp;"")),
_xlpm.form,UPPER(TRIM(E983&amp;"")),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83" s="1" t="str">
        <f t="shared" si="15"/>
        <v>NA</v>
      </c>
      <c r="H983" s="5"/>
      <c r="I983" s="1" t="s">
        <v>22</v>
      </c>
      <c r="J983" s="1"/>
      <c r="K983" s="1" t="s">
        <v>2459</v>
      </c>
      <c r="L983" s="1" t="s">
        <v>22</v>
      </c>
      <c r="M983" s="1"/>
      <c r="N983" s="1" t="s">
        <v>2461</v>
      </c>
      <c r="O983" s="1" t="s">
        <v>19</v>
      </c>
      <c r="P983" s="1" t="s">
        <v>18</v>
      </c>
      <c r="Q983" s="1" t="s">
        <v>20</v>
      </c>
      <c r="R983" s="1"/>
      <c r="S983" s="1"/>
      <c r="T983" s="1"/>
    </row>
    <row r="984" spans="1:20">
      <c r="A984" s="1" t="s">
        <v>2468</v>
      </c>
      <c r="B984" s="1" t="str" cm="1">
        <f t="array" ref="B984">IF(A984="","",_xlfn.IFS(COUNTIF($U:$U,A984)&gt;0,"All uploaded",COUNTIF($V:$V,A984)&gt;0,"Partly uploaded",COUNTIF($W:$X,A984)&gt;0,"Not uploaded",TRUE,"Not classified"))</f>
        <v>Partly uploaded</v>
      </c>
      <c r="C984" s="1" t="str" cm="1">
        <f t="array" ref="C984">_xlfn.SWITCH(TRIM(I984),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84" s="1"/>
      <c r="E984" s="1"/>
      <c r="F984" s="1" t="str" cm="1">
        <f t="array" ref="F984">_xlfn.LET(
_xlpm.status,UPPER(TRIM(B984&amp;"")),
_xlpm.risk,UPPER(TRIM(C984&amp;"")),
_xlpm.notify,UPPER(TRIM(D984&amp;"")),
_xlpm.form,UPPER(TRIM(E984&amp;"")),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84" s="1" t="str">
        <f t="shared" si="15"/>
        <v>Required</v>
      </c>
      <c r="H984" s="5"/>
      <c r="I984" s="1" t="s">
        <v>27</v>
      </c>
      <c r="J984" s="1"/>
      <c r="K984" s="1" t="s">
        <v>2459</v>
      </c>
      <c r="L984" s="1" t="s">
        <v>27</v>
      </c>
      <c r="M984" s="1"/>
      <c r="N984" s="1" t="s">
        <v>2469</v>
      </c>
      <c r="O984" s="1" t="s">
        <v>19</v>
      </c>
      <c r="P984" s="1" t="s">
        <v>18</v>
      </c>
      <c r="Q984" s="1" t="s">
        <v>20</v>
      </c>
      <c r="R984" s="1"/>
      <c r="S984" s="1"/>
      <c r="T984" s="1"/>
    </row>
    <row r="985" spans="1:20">
      <c r="A985" s="1" t="s">
        <v>2470</v>
      </c>
      <c r="B985" s="1" t="str" cm="1">
        <f t="array" ref="B985">IF(A985="","",_xlfn.IFS(COUNTIF($U:$U,A985)&gt;0,"All uploaded",COUNTIF($V:$V,A985)&gt;0,"Partly uploaded",COUNTIF($W:$X,A985)&gt;0,"Not uploaded",TRUE,"Not classified"))</f>
        <v>Not uploaded</v>
      </c>
      <c r="C985" s="1" t="str" cm="1">
        <f t="array" ref="C985">_xlfn.SWITCH(TRIM(I985),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85" s="1"/>
      <c r="E985" s="1"/>
      <c r="F985" s="1" t="str" cm="1">
        <f t="array" ref="F985">_xlfn.LET(
_xlpm.status,UPPER(TRIM(B985&amp;"")),
_xlpm.risk,UPPER(TRIM(C985&amp;"")),
_xlpm.notify,UPPER(TRIM(D985&amp;"")),
_xlpm.form,UPPER(TRIM(E985&amp;"")),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85" s="1" t="str">
        <f t="shared" si="15"/>
        <v>Required</v>
      </c>
      <c r="H985" s="5"/>
      <c r="I985" s="1" t="s">
        <v>27</v>
      </c>
      <c r="J985" s="1"/>
      <c r="K985" s="1" t="s">
        <v>2459</v>
      </c>
      <c r="L985" s="1" t="s">
        <v>27</v>
      </c>
      <c r="M985" s="1"/>
      <c r="N985" s="1" t="s">
        <v>2341</v>
      </c>
      <c r="O985" s="1" t="s">
        <v>19</v>
      </c>
      <c r="P985" s="1" t="s">
        <v>18</v>
      </c>
      <c r="Q985" s="1" t="s">
        <v>20</v>
      </c>
      <c r="R985" s="1"/>
      <c r="S985" s="1"/>
      <c r="T985" s="1"/>
    </row>
    <row r="986" spans="1:20">
      <c r="A986" s="1" t="s">
        <v>2471</v>
      </c>
      <c r="B986" s="1" t="str" cm="1">
        <f t="array" ref="B986">IF(A986="","",_xlfn.IFS(COUNTIF($U:$U,A986)&gt;0,"All uploaded",COUNTIF($V:$V,A986)&gt;0,"Partly uploaded",COUNTIF($W:$X,A986)&gt;0,"Not uploaded",TRUE,"Not classified"))</f>
        <v>Not uploaded</v>
      </c>
      <c r="C986" s="1" t="str" cm="1">
        <f t="array" ref="C986">_xlfn.SWITCH(TRIM(I986),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86" s="1"/>
      <c r="E986" s="1"/>
      <c r="F986" s="1" t="str" cm="1">
        <f t="array" ref="F986">_xlfn.LET(
_xlpm.status,UPPER(TRIM(B986&amp;"")),
_xlpm.risk,UPPER(TRIM(C986&amp;"")),
_xlpm.notify,UPPER(TRIM(D986&amp;"")),
_xlpm.form,UPPER(TRIM(E986&amp;"")),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86" s="1" t="str">
        <f t="shared" si="15"/>
        <v>Required</v>
      </c>
      <c r="H986" s="5"/>
      <c r="I986" s="1" t="s">
        <v>27</v>
      </c>
      <c r="J986" s="1"/>
      <c r="K986" s="1" t="s">
        <v>2459</v>
      </c>
      <c r="L986" s="1" t="s">
        <v>27</v>
      </c>
      <c r="M986" s="1"/>
      <c r="N986" s="1" t="s">
        <v>2472</v>
      </c>
      <c r="O986" s="1" t="s">
        <v>19</v>
      </c>
      <c r="P986" s="1" t="s">
        <v>18</v>
      </c>
      <c r="Q986" s="1" t="s">
        <v>20</v>
      </c>
      <c r="R986" s="1"/>
      <c r="S986" s="1"/>
      <c r="T986" s="1"/>
    </row>
    <row r="987" spans="1:20">
      <c r="A987" s="1" t="s">
        <v>2474</v>
      </c>
      <c r="B987" s="1" t="str" cm="1">
        <f t="array" ref="B987">IF(A987="","",_xlfn.IFS(COUNTIF($U:$U,A987)&gt;0,"All uploaded",COUNTIF($V:$V,A987)&gt;0,"Partly uploaded",COUNTIF($W:$X,A987)&gt;0,"Not uploaded",TRUE,"Not classified"))</f>
        <v>Not uploaded</v>
      </c>
      <c r="C987" s="1" t="str" cm="1">
        <f t="array" ref="C987">_xlfn.SWITCH(TRIM(I987),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87" s="1"/>
      <c r="E987" s="1"/>
      <c r="F987" s="1" t="str" cm="1">
        <f t="array" ref="F987">_xlfn.LET(
_xlpm.status,UPPER(TRIM(B987&amp;"")),
_xlpm.risk,UPPER(TRIM(C987&amp;"")),
_xlpm.notify,UPPER(TRIM(D987&amp;"")),
_xlpm.form,UPPER(TRIM(E987&amp;"")),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87" s="1" t="str">
        <f t="shared" si="15"/>
        <v>Required</v>
      </c>
      <c r="H987" s="5"/>
      <c r="I987" s="1" t="s">
        <v>34</v>
      </c>
      <c r="J987" s="1"/>
      <c r="K987" s="1" t="s">
        <v>2473</v>
      </c>
      <c r="L987" s="1" t="s">
        <v>34</v>
      </c>
      <c r="M987" s="1"/>
      <c r="N987" s="1" t="s">
        <v>2475</v>
      </c>
      <c r="O987" s="1" t="s">
        <v>19</v>
      </c>
      <c r="P987" s="1" t="s">
        <v>18</v>
      </c>
      <c r="Q987" s="1" t="s">
        <v>20</v>
      </c>
      <c r="R987" s="1"/>
      <c r="S987" s="1"/>
      <c r="T987" s="1"/>
    </row>
    <row r="988" spans="1:20">
      <c r="A988" s="1" t="s">
        <v>2476</v>
      </c>
      <c r="B988" s="1" t="str" cm="1">
        <f t="array" ref="B988">IF(A988="","",_xlfn.IFS(COUNTIF($U:$U,A988)&gt;0,"All uploaded",COUNTIF($V:$V,A988)&gt;0,"Partly uploaded",COUNTIF($W:$X,A988)&gt;0,"Not uploaded",TRUE,"Not classified"))</f>
        <v>Partly uploaded</v>
      </c>
      <c r="C988" s="1" t="str" cm="1">
        <f t="array" ref="C988">_xlfn.SWITCH(TRIM(I988),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88" s="1"/>
      <c r="E988" s="1"/>
      <c r="F988" s="1" t="str" cm="1">
        <f t="array" ref="F988">_xlfn.LET(
_xlpm.status,UPPER(TRIM(B988&amp;"")),
_xlpm.risk,UPPER(TRIM(C988&amp;"")),
_xlpm.notify,UPPER(TRIM(D988&amp;"")),
_xlpm.form,UPPER(TRIM(E988&amp;"")),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88" s="1" t="str">
        <f t="shared" si="15"/>
        <v>NA</v>
      </c>
      <c r="H988" s="5"/>
      <c r="I988" s="1" t="s">
        <v>22</v>
      </c>
      <c r="J988" s="1"/>
      <c r="K988" s="1" t="s">
        <v>2473</v>
      </c>
      <c r="L988" s="1" t="s">
        <v>22</v>
      </c>
      <c r="M988" s="1"/>
      <c r="N988" s="1" t="s">
        <v>2477</v>
      </c>
      <c r="O988" s="1" t="s">
        <v>19</v>
      </c>
      <c r="P988" s="1" t="s">
        <v>18</v>
      </c>
      <c r="Q988" s="1" t="s">
        <v>20</v>
      </c>
      <c r="R988" s="1"/>
      <c r="S988" s="1"/>
      <c r="T988" s="1"/>
    </row>
    <row r="989" spans="1:20">
      <c r="A989" s="1" t="s">
        <v>2488</v>
      </c>
      <c r="B989" s="1" t="str" cm="1">
        <f t="array" ref="B989">IF(A989="","",_xlfn.IFS(COUNTIF($U:$U,A989)&gt;0,"All uploaded",COUNTIF($V:$V,A989)&gt;0,"Partly uploaded",COUNTIF($W:$X,A989)&gt;0,"Not uploaded",TRUE,"Not classified"))</f>
        <v>Partly uploaded</v>
      </c>
      <c r="C989" s="1" t="str" cm="1">
        <f t="array" ref="C989">_xlfn.SWITCH(TRIM(I989),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89" s="1"/>
      <c r="E989" s="1"/>
      <c r="F989" s="1" t="str" cm="1">
        <f t="array" ref="F989">_xlfn.LET(
_xlpm.status,UPPER(TRIM(B989&amp;"")),
_xlpm.risk,UPPER(TRIM(C989&amp;"")),
_xlpm.notify,UPPER(TRIM(D989&amp;"")),
_xlpm.form,UPPER(TRIM(E989&amp;"")),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89" s="1" t="str">
        <f t="shared" si="15"/>
        <v>Required</v>
      </c>
      <c r="H989" s="5"/>
      <c r="I989" s="1" t="s">
        <v>10</v>
      </c>
      <c r="J989" s="1"/>
      <c r="K989" s="1" t="s">
        <v>2482</v>
      </c>
      <c r="L989" s="1" t="s">
        <v>10</v>
      </c>
      <c r="M989" s="1"/>
      <c r="N989" s="1" t="s">
        <v>2489</v>
      </c>
      <c r="O989" s="1" t="s">
        <v>19</v>
      </c>
      <c r="P989" s="1" t="s">
        <v>18</v>
      </c>
      <c r="Q989" s="1" t="s">
        <v>20</v>
      </c>
      <c r="R989" s="1"/>
      <c r="S989" s="1"/>
      <c r="T989" s="1"/>
    </row>
    <row r="990" spans="1:20">
      <c r="A990" s="1" t="s">
        <v>2483</v>
      </c>
      <c r="B990" s="1" t="str" cm="1">
        <f t="array" ref="B990">IF(A990="","",_xlfn.IFS(COUNTIF($U:$U,A990)&gt;0,"All uploaded",COUNTIF($V:$V,A990)&gt;0,"Partly uploaded",COUNTIF($W:$X,A990)&gt;0,"Not uploaded",TRUE,"Not classified"))</f>
        <v>Partly uploaded</v>
      </c>
      <c r="C990" s="1" t="str" cm="1">
        <f t="array" ref="C990">_xlfn.SWITCH(TRIM(I990),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90" s="1"/>
      <c r="E990" s="1"/>
      <c r="F990" s="1" t="str" cm="1">
        <f t="array" ref="F990">_xlfn.LET(
_xlpm.status,UPPER(TRIM(B990&amp;"")),
_xlpm.risk,UPPER(TRIM(C990&amp;"")),
_xlpm.notify,UPPER(TRIM(D990&amp;"")),
_xlpm.form,UPPER(TRIM(E990&amp;"")),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90" s="1" t="str">
        <f t="shared" si="15"/>
        <v>NA</v>
      </c>
      <c r="H990" s="5"/>
      <c r="I990" s="1" t="s">
        <v>22</v>
      </c>
      <c r="J990" s="1"/>
      <c r="K990" s="1" t="s">
        <v>2482</v>
      </c>
      <c r="L990" s="1" t="s">
        <v>22</v>
      </c>
      <c r="M990" s="1"/>
      <c r="N990" s="1" t="s">
        <v>2484</v>
      </c>
      <c r="O990" s="1" t="s">
        <v>19</v>
      </c>
      <c r="P990" s="1" t="s">
        <v>18</v>
      </c>
      <c r="Q990" s="1" t="s">
        <v>20</v>
      </c>
      <c r="R990" s="1"/>
      <c r="S990" s="1"/>
      <c r="T990" s="1"/>
    </row>
    <row r="991" spans="1:20">
      <c r="A991" s="1" t="s">
        <v>2504</v>
      </c>
      <c r="B991" s="1" t="str" cm="1">
        <f t="array" ref="B991">IF(A991="","",_xlfn.IFS(COUNTIF($U:$U,A991)&gt;0,"All uploaded",COUNTIF($V:$V,A991)&gt;0,"Partly uploaded",COUNTIF($W:$X,A991)&gt;0,"Not uploaded",TRUE,"Not classified"))</f>
        <v>Partly uploaded</v>
      </c>
      <c r="C991" s="1" t="str" cm="1">
        <f t="array" ref="C991">_xlfn.SWITCH(TRIM(I991),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91" s="1"/>
      <c r="E991" s="1"/>
      <c r="F991" s="1" t="str" cm="1">
        <f t="array" ref="F991">_xlfn.LET(
_xlpm.status,UPPER(TRIM(B991&amp;"")),
_xlpm.risk,UPPER(TRIM(C991&amp;"")),
_xlpm.notify,UPPER(TRIM(D991&amp;"")),
_xlpm.form,UPPER(TRIM(E991&amp;"")),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91" s="1" t="str">
        <f t="shared" si="15"/>
        <v>NA</v>
      </c>
      <c r="H991" s="5"/>
      <c r="I991" s="1" t="s">
        <v>22</v>
      </c>
      <c r="J991" s="1"/>
      <c r="K991" s="1" t="s">
        <v>2503</v>
      </c>
      <c r="L991" s="1" t="s">
        <v>22</v>
      </c>
      <c r="M991" s="1"/>
      <c r="N991" s="1" t="s">
        <v>2505</v>
      </c>
      <c r="O991" s="1" t="s">
        <v>19</v>
      </c>
      <c r="P991" s="1" t="s">
        <v>18</v>
      </c>
      <c r="Q991" s="1" t="s">
        <v>20</v>
      </c>
      <c r="R991" s="1"/>
      <c r="S991" s="1"/>
      <c r="T991" s="1"/>
    </row>
    <row r="992" spans="1:20">
      <c r="A992" s="1" t="s">
        <v>2529</v>
      </c>
      <c r="B992" s="1" t="str" cm="1">
        <f t="array" ref="B992">IF(A992="","",_xlfn.IFS(COUNTIF($U:$U,A992)&gt;0,"All uploaded",COUNTIF($V:$V,A992)&gt;0,"Partly uploaded",COUNTIF($W:$X,A992)&gt;0,"Not uploaded",TRUE,"Not classified"))</f>
        <v>Partly uploaded</v>
      </c>
      <c r="C992" s="1" t="str" cm="1">
        <f t="array" ref="C992">_xlfn.SWITCH(TRIM(I992),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92" s="1"/>
      <c r="E992" s="1"/>
      <c r="F992" s="1" t="str" cm="1">
        <f t="array" ref="F992">_xlfn.LET(
_xlpm.status,UPPER(TRIM(B992&amp;"")),
_xlpm.risk,UPPER(TRIM(C992&amp;"")),
_xlpm.notify,UPPER(TRIM(D992&amp;"")),
_xlpm.form,UPPER(TRIM(E992&amp;"")),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92" s="1" t="str">
        <f t="shared" si="15"/>
        <v>Required</v>
      </c>
      <c r="H992" s="5"/>
      <c r="I992" s="1" t="s">
        <v>27</v>
      </c>
      <c r="J992" s="1"/>
      <c r="K992" s="1" t="s">
        <v>2523</v>
      </c>
      <c r="L992" s="1" t="s">
        <v>27</v>
      </c>
      <c r="M992" s="1"/>
      <c r="N992" s="1" t="s">
        <v>1114</v>
      </c>
      <c r="O992" s="1" t="s">
        <v>19</v>
      </c>
      <c r="P992" s="1" t="s">
        <v>18</v>
      </c>
      <c r="Q992" s="1" t="s">
        <v>20</v>
      </c>
      <c r="R992" s="1"/>
      <c r="S992" s="1"/>
      <c r="T992" s="1"/>
    </row>
    <row r="993" spans="1:20">
      <c r="A993" s="1" t="s">
        <v>2535</v>
      </c>
      <c r="B993" s="1" t="str" cm="1">
        <f t="array" ref="B993">IF(A993="","",_xlfn.IFS(COUNTIF($U:$U,A993)&gt;0,"All uploaded",COUNTIF($V:$V,A993)&gt;0,"Partly uploaded",COUNTIF($W:$X,A993)&gt;0,"Not uploaded",TRUE,"Not classified"))</f>
        <v>Not uploaded</v>
      </c>
      <c r="C993" s="1" t="str" cm="1">
        <f t="array" ref="C993">_xlfn.SWITCH(TRIM(I993),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93" s="1"/>
      <c r="E993" s="1"/>
      <c r="F993" s="1" t="str" cm="1">
        <f t="array" ref="F993">_xlfn.LET(
_xlpm.status,UPPER(TRIM(B993&amp;"")),
_xlpm.risk,UPPER(TRIM(C993&amp;"")),
_xlpm.notify,UPPER(TRIM(D993&amp;"")),
_xlpm.form,UPPER(TRIM(E993&amp;"")),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93" s="1" t="str">
        <f t="shared" si="15"/>
        <v>Required</v>
      </c>
      <c r="H993" s="5"/>
      <c r="I993" s="1" t="s">
        <v>10</v>
      </c>
      <c r="J993" s="1"/>
      <c r="K993" s="1" t="s">
        <v>2534</v>
      </c>
      <c r="L993" s="1" t="s">
        <v>10</v>
      </c>
      <c r="M993" s="1"/>
      <c r="N993" s="1" t="s">
        <v>2536</v>
      </c>
      <c r="O993" s="1" t="s">
        <v>19</v>
      </c>
      <c r="P993" s="1" t="s">
        <v>18</v>
      </c>
      <c r="Q993" s="1" t="s">
        <v>20</v>
      </c>
      <c r="R993" s="1"/>
      <c r="S993" s="1"/>
      <c r="T993" s="1"/>
    </row>
    <row r="994" spans="1:20">
      <c r="A994" s="1" t="s">
        <v>2538</v>
      </c>
      <c r="B994" s="1" t="str" cm="1">
        <f t="array" ref="B994">IF(A994="","",_xlfn.IFS(COUNTIF($U:$U,A994)&gt;0,"All uploaded",COUNTIF($V:$V,A994)&gt;0,"Partly uploaded",COUNTIF($W:$X,A994)&gt;0,"Not uploaded",TRUE,"Not classified"))</f>
        <v>Partly uploaded</v>
      </c>
      <c r="C994" s="1" t="str" cm="1">
        <f t="array" ref="C994">_xlfn.SWITCH(TRIM(I994),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994" s="1"/>
      <c r="E994" s="1"/>
      <c r="F994" s="1" t="str" cm="1">
        <f t="array" ref="F994">_xlfn.LET(
_xlpm.status,UPPER(TRIM(B994&amp;"")),
_xlpm.risk,UPPER(TRIM(C994&amp;"")),
_xlpm.notify,UPPER(TRIM(D994&amp;"")),
_xlpm.form,UPPER(TRIM(E994&amp;"")),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94" s="1" t="str">
        <f t="shared" si="15"/>
        <v>Required</v>
      </c>
      <c r="H994" s="5"/>
      <c r="I994" s="1" t="s">
        <v>27</v>
      </c>
      <c r="J994" s="1"/>
      <c r="K994" s="1" t="s">
        <v>2537</v>
      </c>
      <c r="L994" s="1" t="s">
        <v>27</v>
      </c>
      <c r="M994" s="1"/>
      <c r="N994" s="1" t="s">
        <v>2539</v>
      </c>
      <c r="O994" s="1" t="s">
        <v>19</v>
      </c>
      <c r="P994" s="1" t="s">
        <v>18</v>
      </c>
      <c r="Q994" s="1" t="s">
        <v>20</v>
      </c>
      <c r="R994" s="1"/>
      <c r="S994" s="1"/>
      <c r="T994" s="1"/>
    </row>
    <row r="995" spans="1:20">
      <c r="A995" s="1" t="s">
        <v>2540</v>
      </c>
      <c r="B995" s="1" t="str" cm="1">
        <f t="array" ref="B995">IF(A995="","",_xlfn.IFS(COUNTIF($U:$U,A995)&gt;0,"All uploaded",COUNTIF($V:$V,A995)&gt;0,"Partly uploaded",COUNTIF($W:$X,A995)&gt;0,"Not uploaded",TRUE,"Not classified"))</f>
        <v>Partly uploaded</v>
      </c>
      <c r="C995" s="1" t="str" cm="1">
        <f t="array" ref="C995">_xlfn.SWITCH(TRIM(I995),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95" s="1"/>
      <c r="E995" s="1"/>
      <c r="F995" s="1" t="str" cm="1">
        <f t="array" ref="F995">_xlfn.LET(
_xlpm.status,UPPER(TRIM(B995&amp;"")),
_xlpm.risk,UPPER(TRIM(C995&amp;"")),
_xlpm.notify,UPPER(TRIM(D995&amp;"")),
_xlpm.form,UPPER(TRIM(E995&amp;"")),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95" s="1" t="str">
        <f t="shared" si="15"/>
        <v>NA</v>
      </c>
      <c r="H995" s="5"/>
      <c r="I995" s="1" t="s">
        <v>22</v>
      </c>
      <c r="J995" s="1"/>
      <c r="K995" s="1" t="s">
        <v>2537</v>
      </c>
      <c r="L995" s="1" t="s">
        <v>22</v>
      </c>
      <c r="M995" s="1"/>
      <c r="N995" s="1" t="s">
        <v>2541</v>
      </c>
      <c r="O995" s="1" t="s">
        <v>19</v>
      </c>
      <c r="P995" s="1" t="s">
        <v>18</v>
      </c>
      <c r="Q995" s="1" t="s">
        <v>20</v>
      </c>
      <c r="R995" s="1"/>
      <c r="S995" s="1"/>
      <c r="T995" s="1"/>
    </row>
    <row r="996" spans="1:20">
      <c r="A996" s="1" t="s">
        <v>2549</v>
      </c>
      <c r="B996" s="1" t="str" cm="1">
        <f t="array" ref="B996">IF(A996="","",_xlfn.IFS(COUNTIF($U:$U,A996)&gt;0,"All uploaded",COUNTIF($V:$V,A996)&gt;0,"Partly uploaded",COUNTIF($W:$X,A996)&gt;0,"Not uploaded",TRUE,"Not classified"))</f>
        <v>Not uploaded</v>
      </c>
      <c r="C996" s="1" t="str" cm="1">
        <f t="array" ref="C996">_xlfn.SWITCH(TRIM(I996),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96" s="1"/>
      <c r="E996" s="1"/>
      <c r="F996" s="1" t="str" cm="1">
        <f t="array" ref="F996">_xlfn.LET(
_xlpm.status,UPPER(TRIM(B996&amp;"")),
_xlpm.risk,UPPER(TRIM(C996&amp;"")),
_xlpm.notify,UPPER(TRIM(D996&amp;"")),
_xlpm.form,UPPER(TRIM(E996&amp;"")),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96" s="1" t="str">
        <f t="shared" si="15"/>
        <v>NA</v>
      </c>
      <c r="H996" s="5"/>
      <c r="I996" s="1" t="s">
        <v>22</v>
      </c>
      <c r="J996" s="1"/>
      <c r="K996" s="1" t="s">
        <v>2548</v>
      </c>
      <c r="L996" s="1" t="s">
        <v>22</v>
      </c>
      <c r="M996" s="1"/>
      <c r="N996" s="1" t="s">
        <v>2550</v>
      </c>
      <c r="O996" s="1" t="s">
        <v>19</v>
      </c>
      <c r="P996" s="1" t="s">
        <v>18</v>
      </c>
      <c r="Q996" s="1" t="s">
        <v>20</v>
      </c>
      <c r="R996" s="1"/>
      <c r="S996" s="1"/>
      <c r="T996" s="1"/>
    </row>
    <row r="997" spans="1:20">
      <c r="A997" s="1" t="s">
        <v>2551</v>
      </c>
      <c r="B997" s="1" t="str" cm="1">
        <f t="array" ref="B997">IF(A997="","",_xlfn.IFS(COUNTIF($U:$U,A997)&gt;0,"All uploaded",COUNTIF($V:$V,A997)&gt;0,"Partly uploaded",COUNTIF($W:$X,A997)&gt;0,"Not uploaded",TRUE,"Not classified"))</f>
        <v>Partly uploaded</v>
      </c>
      <c r="C997" s="1" t="str" cm="1">
        <f t="array" ref="C997">_xlfn.SWITCH(TRIM(I997),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97" s="1"/>
      <c r="E997" s="1"/>
      <c r="F997" s="1" t="str" cm="1">
        <f t="array" ref="F997">_xlfn.LET(
_xlpm.status,UPPER(TRIM(B997&amp;"")),
_xlpm.risk,UPPER(TRIM(C997&amp;"")),
_xlpm.notify,UPPER(TRIM(D997&amp;"")),
_xlpm.form,UPPER(TRIM(E997&amp;"")),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97" s="1" t="str">
        <f t="shared" si="15"/>
        <v>NA</v>
      </c>
      <c r="H997" s="5"/>
      <c r="I997" s="1" t="s">
        <v>22</v>
      </c>
      <c r="J997" s="1"/>
      <c r="K997" s="1" t="s">
        <v>2548</v>
      </c>
      <c r="L997" s="1" t="s">
        <v>22</v>
      </c>
      <c r="M997" s="1"/>
      <c r="N997" s="1" t="s">
        <v>89</v>
      </c>
      <c r="O997" s="1" t="s">
        <v>19</v>
      </c>
      <c r="P997" s="1" t="s">
        <v>18</v>
      </c>
      <c r="Q997" s="1" t="s">
        <v>20</v>
      </c>
      <c r="R997" s="1"/>
      <c r="S997" s="1"/>
      <c r="T997" s="1"/>
    </row>
    <row r="998" spans="1:20">
      <c r="A998" s="1" t="s">
        <v>2555</v>
      </c>
      <c r="B998" s="1" t="str" cm="1">
        <f t="array" ref="B998">IF(A998="","",_xlfn.IFS(COUNTIF($U:$U,A998)&gt;0,"All uploaded",COUNTIF($V:$V,A998)&gt;0,"Partly uploaded",COUNTIF($W:$X,A998)&gt;0,"Not uploaded",TRUE,"Not classified"))</f>
        <v>Not uploaded</v>
      </c>
      <c r="C998" s="1" t="str" cm="1">
        <f t="array" ref="C998">_xlfn.SWITCH(TRIM(I998),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98" s="1"/>
      <c r="E998" s="1"/>
      <c r="F998" s="1" t="str" cm="1">
        <f t="array" ref="F998">_xlfn.LET(
_xlpm.status,UPPER(TRIM(B998&amp;"")),
_xlpm.risk,UPPER(TRIM(C998&amp;"")),
_xlpm.notify,UPPER(TRIM(D998&amp;"")),
_xlpm.form,UPPER(TRIM(E998&amp;"")),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98" s="1" t="str">
        <f t="shared" si="15"/>
        <v>NA</v>
      </c>
      <c r="H998" s="5"/>
      <c r="I998" s="1" t="s">
        <v>22</v>
      </c>
      <c r="J998" s="1"/>
      <c r="K998" s="1" t="s">
        <v>2554</v>
      </c>
      <c r="L998" s="1" t="s">
        <v>22</v>
      </c>
      <c r="M998" s="1"/>
      <c r="N998" s="1" t="s">
        <v>2556</v>
      </c>
      <c r="O998" s="1" t="s">
        <v>19</v>
      </c>
      <c r="P998" s="1" t="s">
        <v>18</v>
      </c>
      <c r="Q998" s="1" t="s">
        <v>20</v>
      </c>
      <c r="R998" s="1"/>
      <c r="S998" s="1"/>
      <c r="T998" s="1"/>
    </row>
    <row r="999" spans="1:20">
      <c r="A999" s="1" t="s">
        <v>2557</v>
      </c>
      <c r="B999" s="1" t="str" cm="1">
        <f t="array" ref="B999">IF(A999="","",_xlfn.IFS(COUNTIF($U:$U,A999)&gt;0,"All uploaded",COUNTIF($V:$V,A999)&gt;0,"Partly uploaded",COUNTIF($W:$X,A999)&gt;0,"Not uploaded",TRUE,"Not classified"))</f>
        <v>Partly uploaded</v>
      </c>
      <c r="C999" s="1" t="str" cm="1">
        <f t="array" ref="C999">_xlfn.SWITCH(TRIM(I999),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999" s="1"/>
      <c r="E999" s="1"/>
      <c r="F999" s="1" t="str" cm="1">
        <f t="array" ref="F999">_xlfn.LET(
_xlpm.status,UPPER(TRIM(B999&amp;"")),
_xlpm.risk,UPPER(TRIM(C999&amp;"")),
_xlpm.notify,UPPER(TRIM(D999&amp;"")),
_xlpm.form,UPPER(TRIM(E999&amp;"")),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999" s="1" t="str">
        <f t="shared" si="15"/>
        <v>NA</v>
      </c>
      <c r="H999" s="5"/>
      <c r="I999" s="1" t="s">
        <v>22</v>
      </c>
      <c r="J999" s="1"/>
      <c r="K999" s="1" t="s">
        <v>2554</v>
      </c>
      <c r="L999" s="1" t="s">
        <v>22</v>
      </c>
      <c r="M999" s="1"/>
      <c r="N999" s="1" t="s">
        <v>2558</v>
      </c>
      <c r="O999" s="1" t="s">
        <v>19</v>
      </c>
      <c r="P999" s="1" t="s">
        <v>18</v>
      </c>
      <c r="Q999" s="1" t="s">
        <v>20</v>
      </c>
      <c r="R999" s="1"/>
      <c r="S999" s="1"/>
      <c r="T999" s="1"/>
    </row>
    <row r="1000" spans="1:20">
      <c r="A1000" s="1" t="s">
        <v>2562</v>
      </c>
      <c r="B1000" s="1" t="str" cm="1">
        <f t="array" ref="B1000">IF(A1000="","",_xlfn.IFS(COUNTIF($U:$U,A1000)&gt;0,"All uploaded",COUNTIF($V:$V,A1000)&gt;0,"Partly uploaded",COUNTIF($W:$X,A1000)&gt;0,"Not uploaded",TRUE,"Not classified"))</f>
        <v>Not uploaded</v>
      </c>
      <c r="C1000" s="1" t="str" cm="1">
        <f t="array" ref="C1000">_xlfn.SWITCH(TRIM(I1000),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00" s="1"/>
      <c r="E1000" s="1"/>
      <c r="F1000" s="1" t="str" cm="1">
        <f t="array" ref="F1000">_xlfn.LET(
_xlpm.status,UPPER(TRIM(B1000&amp;"")),
_xlpm.risk,UPPER(TRIM(C1000&amp;"")),
_xlpm.notify,UPPER(TRIM(D1000&amp;"")),
_xlpm.form,UPPER(TRIM(E1000&amp;"")),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00" s="1" t="str">
        <f t="shared" si="15"/>
        <v>NA</v>
      </c>
      <c r="H1000" s="5"/>
      <c r="I1000" s="1" t="s">
        <v>22</v>
      </c>
      <c r="J1000" s="1"/>
      <c r="K1000" s="1" t="s">
        <v>2554</v>
      </c>
      <c r="L1000" s="1" t="s">
        <v>22</v>
      </c>
      <c r="M1000" s="1"/>
      <c r="N1000" s="1" t="s">
        <v>2563</v>
      </c>
      <c r="O1000" s="1" t="s">
        <v>19</v>
      </c>
      <c r="P1000" s="1" t="s">
        <v>18</v>
      </c>
      <c r="Q1000" s="1" t="s">
        <v>20</v>
      </c>
      <c r="R1000" s="1"/>
      <c r="S1000" s="1"/>
      <c r="T1000" s="1"/>
    </row>
    <row r="1001" spans="1:20">
      <c r="A1001" s="1" t="s">
        <v>2564</v>
      </c>
      <c r="B1001" s="1" t="str" cm="1">
        <f t="array" ref="B1001">IF(A1001="","",_xlfn.IFS(COUNTIF($U:$U,A1001)&gt;0,"All uploaded",COUNTIF($V:$V,A1001)&gt;0,"Partly uploaded",COUNTIF($W:$X,A1001)&gt;0,"Not uploaded",TRUE,"Not classified"))</f>
        <v>Not uploaded</v>
      </c>
      <c r="C1001" s="1" t="str" cm="1">
        <f t="array" ref="C1001">_xlfn.SWITCH(TRIM(I1001),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001" s="1"/>
      <c r="E1001" s="1"/>
      <c r="F1001" s="1" t="str" cm="1">
        <f t="array" ref="F1001">_xlfn.LET(
_xlpm.status,UPPER(TRIM(B1001&amp;"")),
_xlpm.risk,UPPER(TRIM(C1001&amp;"")),
_xlpm.notify,UPPER(TRIM(D1001&amp;"")),
_xlpm.form,UPPER(TRIM(E1001&amp;"")),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001" s="1" t="str">
        <f t="shared" si="15"/>
        <v>NA</v>
      </c>
      <c r="H1001" s="5"/>
      <c r="I1001" s="1" t="s">
        <v>21</v>
      </c>
      <c r="J1001" s="1"/>
      <c r="K1001" s="1" t="s">
        <v>2554</v>
      </c>
      <c r="L1001" s="1" t="s">
        <v>21</v>
      </c>
      <c r="M1001" s="1"/>
      <c r="N1001" s="1" t="s">
        <v>83</v>
      </c>
      <c r="O1001" s="1" t="s">
        <v>19</v>
      </c>
      <c r="P1001" s="1" t="s">
        <v>18</v>
      </c>
      <c r="Q1001" s="1" t="s">
        <v>20</v>
      </c>
      <c r="R1001" s="1"/>
      <c r="S1001" s="1"/>
      <c r="T1001" s="1"/>
    </row>
    <row r="1002" spans="1:20">
      <c r="A1002" s="1" t="s">
        <v>2566</v>
      </c>
      <c r="B1002" s="1" t="str" cm="1">
        <f t="array" ref="B1002">IF(A1002="","",_xlfn.IFS(COUNTIF($U:$U,A1002)&gt;0,"All uploaded",COUNTIF($V:$V,A1002)&gt;0,"Partly uploaded",COUNTIF($W:$X,A1002)&gt;0,"Not uploaded",TRUE,"Not classified"))</f>
        <v>Partly uploaded</v>
      </c>
      <c r="C1002" s="1" t="str" cm="1">
        <f t="array" ref="C1002">_xlfn.SWITCH(TRIM(I1002),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02" s="1"/>
      <c r="E1002" s="1"/>
      <c r="F1002" s="1" t="str" cm="1">
        <f t="array" ref="F1002">_xlfn.LET(
_xlpm.status,UPPER(TRIM(B1002&amp;"")),
_xlpm.risk,UPPER(TRIM(C1002&amp;"")),
_xlpm.notify,UPPER(TRIM(D1002&amp;"")),
_xlpm.form,UPPER(TRIM(E1002&amp;"")),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02" s="1" t="str">
        <f t="shared" si="15"/>
        <v>NA</v>
      </c>
      <c r="H1002" s="5"/>
      <c r="I1002" s="1" t="s">
        <v>2567</v>
      </c>
      <c r="J1002" s="1"/>
      <c r="K1002" s="1" t="s">
        <v>2565</v>
      </c>
      <c r="L1002" s="1" t="s">
        <v>2567</v>
      </c>
      <c r="M1002" s="1"/>
      <c r="N1002" s="1" t="s">
        <v>2330</v>
      </c>
      <c r="O1002" s="1" t="s">
        <v>19</v>
      </c>
      <c r="P1002" s="1" t="s">
        <v>18</v>
      </c>
      <c r="Q1002" s="1" t="s">
        <v>20</v>
      </c>
      <c r="R1002" s="1"/>
      <c r="S1002" s="1"/>
      <c r="T1002" s="1"/>
    </row>
    <row r="1003" spans="1:20">
      <c r="A1003" s="1" t="s">
        <v>2572</v>
      </c>
      <c r="B1003" s="1" t="str" cm="1">
        <f t="array" ref="B1003">IF(A1003="","",_xlfn.IFS(COUNTIF($U:$U,A1003)&gt;0,"All uploaded",COUNTIF($V:$V,A1003)&gt;0,"Partly uploaded",COUNTIF($W:$X,A1003)&gt;0,"Not uploaded",TRUE,"Not classified"))</f>
        <v>Not uploaded</v>
      </c>
      <c r="C1003" s="1" t="str" cm="1">
        <f t="array" ref="C1003">_xlfn.SWITCH(TRIM(I1003),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003" s="1"/>
      <c r="E1003" s="1"/>
      <c r="F1003" s="1" t="str" cm="1">
        <f t="array" ref="F1003">_xlfn.LET(
_xlpm.status,UPPER(TRIM(B1003&amp;"")),
_xlpm.risk,UPPER(TRIM(C1003&amp;"")),
_xlpm.notify,UPPER(TRIM(D1003&amp;"")),
_xlpm.form,UPPER(TRIM(E1003&amp;"")),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003" s="1" t="str">
        <f t="shared" si="15"/>
        <v>NA</v>
      </c>
      <c r="H1003" s="5"/>
      <c r="I1003" s="1" t="s">
        <v>21</v>
      </c>
      <c r="J1003" s="1"/>
      <c r="K1003" s="1" t="s">
        <v>2571</v>
      </c>
      <c r="L1003" s="1" t="s">
        <v>21</v>
      </c>
      <c r="M1003" s="1"/>
      <c r="N1003" s="1" t="s">
        <v>2573</v>
      </c>
      <c r="O1003" s="1" t="s">
        <v>19</v>
      </c>
      <c r="P1003" s="1" t="s">
        <v>18</v>
      </c>
      <c r="Q1003" s="1" t="s">
        <v>20</v>
      </c>
      <c r="R1003" s="1"/>
      <c r="S1003" s="1"/>
      <c r="T1003" s="1"/>
    </row>
    <row r="1004" spans="1:20">
      <c r="A1004" s="1" t="s">
        <v>2574</v>
      </c>
      <c r="B1004" s="1" t="str" cm="1">
        <f t="array" ref="B1004">IF(A1004="","",_xlfn.IFS(COUNTIF($U:$U,A1004)&gt;0,"All uploaded",COUNTIF($V:$V,A1004)&gt;0,"Partly uploaded",COUNTIF($W:$X,A1004)&gt;0,"Not uploaded",TRUE,"Not classified"))</f>
        <v>Partly uploaded</v>
      </c>
      <c r="C1004" s="1" t="str" cm="1">
        <f t="array" ref="C1004">_xlfn.SWITCH(TRIM(I1004),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04" s="1"/>
      <c r="E1004" s="1"/>
      <c r="F1004" s="1" t="str" cm="1">
        <f t="array" ref="F1004">_xlfn.LET(
_xlpm.status,UPPER(TRIM(B1004&amp;"")),
_xlpm.risk,UPPER(TRIM(C1004&amp;"")),
_xlpm.notify,UPPER(TRIM(D1004&amp;"")),
_xlpm.form,UPPER(TRIM(E1004&amp;"")),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04" s="1" t="str">
        <f t="shared" si="15"/>
        <v>NA</v>
      </c>
      <c r="H1004" s="5"/>
      <c r="I1004" s="1" t="s">
        <v>22</v>
      </c>
      <c r="J1004" s="1"/>
      <c r="K1004" s="1" t="s">
        <v>2571</v>
      </c>
      <c r="L1004" s="1" t="s">
        <v>22</v>
      </c>
      <c r="M1004" s="1"/>
      <c r="N1004" s="1" t="s">
        <v>2575</v>
      </c>
      <c r="O1004" s="1" t="s">
        <v>19</v>
      </c>
      <c r="P1004" s="1" t="s">
        <v>18</v>
      </c>
      <c r="Q1004" s="1" t="s">
        <v>20</v>
      </c>
      <c r="R1004" s="1"/>
      <c r="S1004" s="1"/>
      <c r="T1004" s="1"/>
    </row>
    <row r="1005" spans="1:20">
      <c r="A1005" s="1" t="s">
        <v>2582</v>
      </c>
      <c r="B1005" s="1" t="str" cm="1">
        <f t="array" ref="B1005">IF(A1005="","",_xlfn.IFS(COUNTIF($U:$U,A1005)&gt;0,"All uploaded",COUNTIF($V:$V,A1005)&gt;0,"Partly uploaded",COUNTIF($W:$X,A1005)&gt;0,"Not uploaded",TRUE,"Not classified"))</f>
        <v>Partly uploaded</v>
      </c>
      <c r="C1005" s="1" t="str" cm="1">
        <f t="array" ref="C1005">_xlfn.SWITCH(TRIM(I1005),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05" s="1"/>
      <c r="E1005" s="1"/>
      <c r="F1005" s="1" t="str" cm="1">
        <f t="array" ref="F1005">_xlfn.LET(
_xlpm.status,UPPER(TRIM(B1005&amp;"")),
_xlpm.risk,UPPER(TRIM(C1005&amp;"")),
_xlpm.notify,UPPER(TRIM(D1005&amp;"")),
_xlpm.form,UPPER(TRIM(E1005&amp;"")),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05" s="1" t="str">
        <f t="shared" si="15"/>
        <v>NA</v>
      </c>
      <c r="H1005" s="5"/>
      <c r="I1005" s="1" t="s">
        <v>23</v>
      </c>
      <c r="J1005" s="1"/>
      <c r="K1005" s="1" t="s">
        <v>2581</v>
      </c>
      <c r="L1005" s="1" t="s">
        <v>23</v>
      </c>
      <c r="M1005" s="1"/>
      <c r="N1005" s="1" t="s">
        <v>2583</v>
      </c>
      <c r="O1005" s="1" t="s">
        <v>19</v>
      </c>
      <c r="P1005" s="1" t="s">
        <v>18</v>
      </c>
      <c r="Q1005" s="1" t="s">
        <v>20</v>
      </c>
      <c r="R1005" s="1"/>
      <c r="S1005" s="1"/>
      <c r="T1005" s="1"/>
    </row>
    <row r="1006" spans="1:20">
      <c r="A1006" s="1" t="s">
        <v>2590</v>
      </c>
      <c r="B1006" s="1" t="str" cm="1">
        <f t="array" ref="B1006">IF(A1006="","",_xlfn.IFS(COUNTIF($U:$U,A1006)&gt;0,"All uploaded",COUNTIF($V:$V,A1006)&gt;0,"Partly uploaded",COUNTIF($W:$X,A1006)&gt;0,"Not uploaded",TRUE,"Not classified"))</f>
        <v>Partly uploaded</v>
      </c>
      <c r="C1006" s="1" t="str" cm="1">
        <f t="array" ref="C1006">_xlfn.SWITCH(TRIM(I1006),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06" s="1"/>
      <c r="E1006" s="1"/>
      <c r="F1006" s="1" t="str" cm="1">
        <f t="array" ref="F1006">_xlfn.LET(
_xlpm.status,UPPER(TRIM(B1006&amp;"")),
_xlpm.risk,UPPER(TRIM(C1006&amp;"")),
_xlpm.notify,UPPER(TRIM(D1006&amp;"")),
_xlpm.form,UPPER(TRIM(E1006&amp;"")),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06" s="1" t="str">
        <f t="shared" si="15"/>
        <v>Required</v>
      </c>
      <c r="H1006" s="5"/>
      <c r="I1006" s="1" t="s">
        <v>10</v>
      </c>
      <c r="J1006" s="1"/>
      <c r="K1006" s="1" t="s">
        <v>2589</v>
      </c>
      <c r="L1006" s="1" t="s">
        <v>10</v>
      </c>
      <c r="M1006" s="1"/>
      <c r="N1006" s="1" t="s">
        <v>2314</v>
      </c>
      <c r="O1006" s="1" t="s">
        <v>19</v>
      </c>
      <c r="P1006" s="1" t="s">
        <v>18</v>
      </c>
      <c r="Q1006" s="1" t="s">
        <v>20</v>
      </c>
      <c r="R1006" s="1"/>
      <c r="S1006" s="1"/>
      <c r="T1006" s="1"/>
    </row>
    <row r="1007" spans="1:20">
      <c r="A1007" s="1" t="s">
        <v>2596</v>
      </c>
      <c r="B1007" s="1" t="str" cm="1">
        <f t="array" ref="B1007">IF(A1007="","",_xlfn.IFS(COUNTIF($U:$U,A1007)&gt;0,"All uploaded",COUNTIF($V:$V,A1007)&gt;0,"Partly uploaded",COUNTIF($W:$X,A1007)&gt;0,"Not uploaded",TRUE,"Not classified"))</f>
        <v>Not uploaded</v>
      </c>
      <c r="C1007" s="1" t="str" cm="1">
        <f t="array" ref="C1007">_xlfn.SWITCH(TRIM(I1007),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07" s="1"/>
      <c r="E1007" s="1"/>
      <c r="F1007" s="1" t="str" cm="1">
        <f t="array" ref="F1007">_xlfn.LET(
_xlpm.status,UPPER(TRIM(B1007&amp;"")),
_xlpm.risk,UPPER(TRIM(C1007&amp;"")),
_xlpm.notify,UPPER(TRIM(D1007&amp;"")),
_xlpm.form,UPPER(TRIM(E1007&amp;"")),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07" s="1" t="str">
        <f t="shared" si="15"/>
        <v>Required</v>
      </c>
      <c r="H1007" s="5"/>
      <c r="I1007" s="1" t="s">
        <v>27</v>
      </c>
      <c r="J1007" s="1"/>
      <c r="K1007" s="1" t="s">
        <v>2595</v>
      </c>
      <c r="L1007" s="1" t="s">
        <v>27</v>
      </c>
      <c r="M1007" s="1"/>
      <c r="N1007" s="1" t="s">
        <v>2597</v>
      </c>
      <c r="O1007" s="1" t="s">
        <v>19</v>
      </c>
      <c r="P1007" s="1" t="s">
        <v>18</v>
      </c>
      <c r="Q1007" s="1" t="s">
        <v>20</v>
      </c>
      <c r="R1007" s="1"/>
      <c r="S1007" s="1"/>
      <c r="T1007" s="1"/>
    </row>
    <row r="1008" spans="1:20">
      <c r="A1008" s="1" t="s">
        <v>2598</v>
      </c>
      <c r="B1008" s="1" t="str" cm="1">
        <f t="array" ref="B1008">IF(A1008="","",_xlfn.IFS(COUNTIF($U:$U,A1008)&gt;0,"All uploaded",COUNTIF($V:$V,A1008)&gt;0,"Partly uploaded",COUNTIF($W:$X,A1008)&gt;0,"Not uploaded",TRUE,"Not classified"))</f>
        <v>Partly uploaded</v>
      </c>
      <c r="C1008" s="1" t="str" cm="1">
        <f t="array" ref="C1008">_xlfn.SWITCH(TRIM(I1008),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08" s="1"/>
      <c r="E1008" s="1"/>
      <c r="F1008" s="1" t="str" cm="1">
        <f t="array" ref="F1008">_xlfn.LET(
_xlpm.status,UPPER(TRIM(B1008&amp;"")),
_xlpm.risk,UPPER(TRIM(C1008&amp;"")),
_xlpm.notify,UPPER(TRIM(D1008&amp;"")),
_xlpm.form,UPPER(TRIM(E1008&amp;"")),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08" s="1" t="str">
        <f t="shared" si="15"/>
        <v>Required</v>
      </c>
      <c r="H1008" s="5"/>
      <c r="I1008" s="1" t="s">
        <v>27</v>
      </c>
      <c r="J1008" s="1"/>
      <c r="K1008" s="1" t="s">
        <v>2595</v>
      </c>
      <c r="L1008" s="1" t="s">
        <v>27</v>
      </c>
      <c r="M1008" s="1"/>
      <c r="N1008" s="1" t="s">
        <v>2599</v>
      </c>
      <c r="O1008" s="1" t="s">
        <v>19</v>
      </c>
      <c r="P1008" s="1" t="s">
        <v>18</v>
      </c>
      <c r="Q1008" s="1" t="s">
        <v>20</v>
      </c>
      <c r="R1008" s="1"/>
      <c r="S1008" s="1"/>
      <c r="T1008" s="1"/>
    </row>
    <row r="1009" spans="1:20">
      <c r="A1009" s="1" t="s">
        <v>2600</v>
      </c>
      <c r="B1009" s="1" t="str" cm="1">
        <f t="array" ref="B1009">IF(A1009="","",_xlfn.IFS(COUNTIF($U:$U,A1009)&gt;0,"All uploaded",COUNTIF($V:$V,A1009)&gt;0,"Partly uploaded",COUNTIF($W:$X,A1009)&gt;0,"Not uploaded",TRUE,"Not classified"))</f>
        <v>Partly uploaded</v>
      </c>
      <c r="C1009" s="1" t="str" cm="1">
        <f t="array" ref="C1009">_xlfn.SWITCH(TRIM(I1009),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09" s="1"/>
      <c r="E1009" s="1"/>
      <c r="F1009" s="1" t="str" cm="1">
        <f t="array" ref="F1009">_xlfn.LET(
_xlpm.status,UPPER(TRIM(B1009&amp;"")),
_xlpm.risk,UPPER(TRIM(C1009&amp;"")),
_xlpm.notify,UPPER(TRIM(D1009&amp;"")),
_xlpm.form,UPPER(TRIM(E1009&amp;"")),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09" s="1" t="str">
        <f t="shared" si="15"/>
        <v>Required</v>
      </c>
      <c r="H1009" s="5"/>
      <c r="I1009" s="1" t="s">
        <v>27</v>
      </c>
      <c r="J1009" s="1"/>
      <c r="K1009" s="1" t="s">
        <v>2595</v>
      </c>
      <c r="L1009" s="1" t="s">
        <v>27</v>
      </c>
      <c r="M1009" s="1"/>
      <c r="N1009" s="1" t="s">
        <v>2601</v>
      </c>
      <c r="O1009" s="1" t="s">
        <v>19</v>
      </c>
      <c r="P1009" s="1" t="s">
        <v>18</v>
      </c>
      <c r="Q1009" s="1" t="s">
        <v>20</v>
      </c>
      <c r="R1009" s="1"/>
      <c r="S1009" s="1"/>
      <c r="T1009" s="1"/>
    </row>
    <row r="1010" spans="1:20">
      <c r="A1010" s="1" t="s">
        <v>2610</v>
      </c>
      <c r="B1010" s="1" t="str" cm="1">
        <f t="array" ref="B1010">IF(A1010="","",_xlfn.IFS(COUNTIF($U:$U,A1010)&gt;0,"All uploaded",COUNTIF($V:$V,A1010)&gt;0,"Partly uploaded",COUNTIF($W:$X,A1010)&gt;0,"Not uploaded",TRUE,"Not classified"))</f>
        <v>Partly uploaded</v>
      </c>
      <c r="C1010" s="1" t="str" cm="1">
        <f t="array" ref="C1010">_xlfn.SWITCH(TRIM(I1010),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10" s="1"/>
      <c r="E1010" s="1"/>
      <c r="F1010" s="1" t="str" cm="1">
        <f t="array" ref="F1010">_xlfn.LET(
_xlpm.status,UPPER(TRIM(B1010&amp;"")),
_xlpm.risk,UPPER(TRIM(C1010&amp;"")),
_xlpm.notify,UPPER(TRIM(D1010&amp;"")),
_xlpm.form,UPPER(TRIM(E1010&amp;"")),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10" s="1" t="str">
        <f t="shared" si="15"/>
        <v>NA</v>
      </c>
      <c r="H1010" s="5"/>
      <c r="I1010" s="1" t="s">
        <v>22</v>
      </c>
      <c r="J1010" s="1"/>
      <c r="K1010" s="1" t="s">
        <v>2609</v>
      </c>
      <c r="L1010" s="1" t="s">
        <v>22</v>
      </c>
      <c r="M1010" s="1"/>
      <c r="N1010" s="1" t="s">
        <v>2611</v>
      </c>
      <c r="O1010" s="1" t="s">
        <v>19</v>
      </c>
      <c r="P1010" s="1" t="s">
        <v>18</v>
      </c>
      <c r="Q1010" s="1" t="s">
        <v>20</v>
      </c>
      <c r="R1010" s="1"/>
      <c r="S1010" s="1"/>
      <c r="T1010" s="1"/>
    </row>
    <row r="1011" spans="1:20">
      <c r="A1011" s="1" t="s">
        <v>2615</v>
      </c>
      <c r="B1011" s="1" t="str" cm="1">
        <f t="array" ref="B1011">IF(A1011="","",_xlfn.IFS(COUNTIF($U:$U,A1011)&gt;0,"All uploaded",COUNTIF($V:$V,A1011)&gt;0,"Partly uploaded",COUNTIF($W:$X,A1011)&gt;0,"Not uploaded",TRUE,"Not classified"))</f>
        <v>Partly uploaded</v>
      </c>
      <c r="C1011" s="1" t="str" cm="1">
        <f t="array" ref="C1011">_xlfn.SWITCH(TRIM(I1011),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11" s="1"/>
      <c r="E1011" s="1"/>
      <c r="F1011" s="1" t="str" cm="1">
        <f t="array" ref="F1011">_xlfn.LET(
_xlpm.status,UPPER(TRIM(B1011&amp;"")),
_xlpm.risk,UPPER(TRIM(C1011&amp;"")),
_xlpm.notify,UPPER(TRIM(D1011&amp;"")),
_xlpm.form,UPPER(TRIM(E1011&amp;"")),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11" s="1" t="str">
        <f t="shared" si="15"/>
        <v>NA</v>
      </c>
      <c r="H1011" s="5"/>
      <c r="I1011" s="1" t="s">
        <v>22</v>
      </c>
      <c r="J1011" s="1"/>
      <c r="K1011" s="1" t="s">
        <v>2614</v>
      </c>
      <c r="L1011" s="1" t="s">
        <v>22</v>
      </c>
      <c r="M1011" s="1"/>
      <c r="N1011" s="1" t="s">
        <v>2616</v>
      </c>
      <c r="O1011" s="1" t="s">
        <v>19</v>
      </c>
      <c r="P1011" s="1" t="s">
        <v>18</v>
      </c>
      <c r="Q1011" s="1" t="s">
        <v>20</v>
      </c>
      <c r="R1011" s="1"/>
      <c r="S1011" s="1"/>
      <c r="T1011" s="1"/>
    </row>
    <row r="1012" spans="1:20">
      <c r="A1012" s="1" t="s">
        <v>2620</v>
      </c>
      <c r="B1012" s="1" t="str" cm="1">
        <f t="array" ref="B1012">IF(A1012="","",_xlfn.IFS(COUNTIF($U:$U,A1012)&gt;0,"All uploaded",COUNTIF($V:$V,A1012)&gt;0,"Partly uploaded",COUNTIF($W:$X,A1012)&gt;0,"Not uploaded",TRUE,"Not classified"))</f>
        <v>Partly uploaded</v>
      </c>
      <c r="C1012" s="1" t="str" cm="1">
        <f t="array" ref="C1012">_xlfn.SWITCH(TRIM(I1012),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12" s="1"/>
      <c r="E1012" s="1"/>
      <c r="F1012" s="1" t="str" cm="1">
        <f t="array" ref="F1012">_xlfn.LET(
_xlpm.status,UPPER(TRIM(B1012&amp;"")),
_xlpm.risk,UPPER(TRIM(C1012&amp;"")),
_xlpm.notify,UPPER(TRIM(D1012&amp;"")),
_xlpm.form,UPPER(TRIM(E1012&amp;"")),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12" s="1" t="str">
        <f t="shared" si="15"/>
        <v>NA</v>
      </c>
      <c r="H1012" s="5"/>
      <c r="I1012" s="1" t="s">
        <v>48</v>
      </c>
      <c r="J1012" s="1"/>
      <c r="K1012" s="1" t="s">
        <v>2614</v>
      </c>
      <c r="L1012" s="1" t="s">
        <v>48</v>
      </c>
      <c r="M1012" s="1"/>
      <c r="N1012" s="1" t="s">
        <v>2621</v>
      </c>
      <c r="O1012" s="1" t="s">
        <v>19</v>
      </c>
      <c r="P1012" s="1" t="s">
        <v>18</v>
      </c>
      <c r="Q1012" s="1" t="s">
        <v>20</v>
      </c>
      <c r="R1012" s="1"/>
      <c r="S1012" s="1"/>
      <c r="T1012" s="1"/>
    </row>
    <row r="1013" spans="1:20">
      <c r="A1013" s="1" t="s">
        <v>2627</v>
      </c>
      <c r="B1013" s="1" t="str" cm="1">
        <f t="array" ref="B1013">IF(A1013="","",_xlfn.IFS(COUNTIF($U:$U,A1013)&gt;0,"All uploaded",COUNTIF($V:$V,A1013)&gt;0,"Partly uploaded",COUNTIF($W:$X,A1013)&gt;0,"Not uploaded",TRUE,"Not classified"))</f>
        <v>Not uploaded</v>
      </c>
      <c r="C1013" s="1" t="str" cm="1">
        <f t="array" ref="C1013">_xlfn.SWITCH(TRIM(I1013),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13" s="1"/>
      <c r="E1013" s="1"/>
      <c r="F1013" s="1" t="str" cm="1">
        <f t="array" ref="F1013">_xlfn.LET(
_xlpm.status,UPPER(TRIM(B1013&amp;"")),
_xlpm.risk,UPPER(TRIM(C1013&amp;"")),
_xlpm.notify,UPPER(TRIM(D1013&amp;"")),
_xlpm.form,UPPER(TRIM(E1013&amp;"")),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13" s="1" t="str">
        <f t="shared" si="15"/>
        <v>Required</v>
      </c>
      <c r="H1013" s="5"/>
      <c r="I1013" s="1" t="s">
        <v>27</v>
      </c>
      <c r="J1013" s="1"/>
      <c r="K1013" s="1" t="s">
        <v>2626</v>
      </c>
      <c r="L1013" s="1" t="s">
        <v>27</v>
      </c>
      <c r="M1013" s="1"/>
      <c r="N1013" s="1" t="s">
        <v>2628</v>
      </c>
      <c r="O1013" s="1" t="s">
        <v>19</v>
      </c>
      <c r="P1013" s="1" t="s">
        <v>18</v>
      </c>
      <c r="Q1013" s="1" t="s">
        <v>20</v>
      </c>
      <c r="R1013" s="1"/>
      <c r="S1013" s="1"/>
      <c r="T1013" s="1"/>
    </row>
    <row r="1014" spans="1:20">
      <c r="A1014" s="1" t="s">
        <v>2630</v>
      </c>
      <c r="B1014" s="1" t="str" cm="1">
        <f t="array" ref="B1014">IF(A1014="","",_xlfn.IFS(COUNTIF($U:$U,A1014)&gt;0,"All uploaded",COUNTIF($V:$V,A1014)&gt;0,"Partly uploaded",COUNTIF($W:$X,A1014)&gt;0,"Not uploaded",TRUE,"Not classified"))</f>
        <v>Partly uploaded</v>
      </c>
      <c r="C1014" s="1" t="str" cm="1">
        <f t="array" ref="C1014">_xlfn.SWITCH(TRIM(I1014),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14" s="1"/>
      <c r="E1014" s="1"/>
      <c r="F1014" s="1" t="str" cm="1">
        <f t="array" ref="F1014">_xlfn.LET(
_xlpm.status,UPPER(TRIM(B1014&amp;"")),
_xlpm.risk,UPPER(TRIM(C1014&amp;"")),
_xlpm.notify,UPPER(TRIM(D1014&amp;"")),
_xlpm.form,UPPER(TRIM(E1014&amp;"")),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14" s="1" t="str">
        <f t="shared" si="15"/>
        <v>Required</v>
      </c>
      <c r="H1014" s="5"/>
      <c r="I1014" s="1" t="s">
        <v>25</v>
      </c>
      <c r="J1014" s="1"/>
      <c r="K1014" s="1" t="s">
        <v>2629</v>
      </c>
      <c r="L1014" s="1" t="s">
        <v>25</v>
      </c>
      <c r="M1014" s="1"/>
      <c r="N1014" s="1" t="s">
        <v>104</v>
      </c>
      <c r="O1014" s="1" t="s">
        <v>19</v>
      </c>
      <c r="P1014" s="1" t="s">
        <v>18</v>
      </c>
      <c r="Q1014" s="1" t="s">
        <v>20</v>
      </c>
      <c r="R1014" s="1"/>
      <c r="S1014" s="1"/>
      <c r="T1014" s="1"/>
    </row>
    <row r="1015" spans="1:20">
      <c r="A1015" s="1" t="s">
        <v>2639</v>
      </c>
      <c r="B1015" s="1" t="str" cm="1">
        <f t="array" ref="B1015">IF(A1015="","",_xlfn.IFS(COUNTIF($U:$U,A1015)&gt;0,"All uploaded",COUNTIF($V:$V,A1015)&gt;0,"Partly uploaded",COUNTIF($W:$X,A1015)&gt;0,"Not uploaded",TRUE,"Not classified"))</f>
        <v>Partly uploaded</v>
      </c>
      <c r="C1015" s="1" t="str" cm="1">
        <f t="array" ref="C1015">_xlfn.SWITCH(TRIM(I1015),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15" s="1"/>
      <c r="E1015" s="1"/>
      <c r="F1015" s="1" t="str" cm="1">
        <f t="array" ref="F1015">_xlfn.LET(
_xlpm.status,UPPER(TRIM(B1015&amp;"")),
_xlpm.risk,UPPER(TRIM(C1015&amp;"")),
_xlpm.notify,UPPER(TRIM(D1015&amp;"")),
_xlpm.form,UPPER(TRIM(E1015&amp;"")),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15" s="1" t="str">
        <f t="shared" si="15"/>
        <v>NA</v>
      </c>
      <c r="H1015" s="5"/>
      <c r="I1015" s="1" t="s">
        <v>22</v>
      </c>
      <c r="J1015" s="1"/>
      <c r="K1015" s="1" t="s">
        <v>2638</v>
      </c>
      <c r="L1015" s="1" t="s">
        <v>22</v>
      </c>
      <c r="M1015" s="1"/>
      <c r="N1015" s="1" t="s">
        <v>2640</v>
      </c>
      <c r="O1015" s="1" t="s">
        <v>19</v>
      </c>
      <c r="P1015" s="1" t="s">
        <v>18</v>
      </c>
      <c r="Q1015" s="1" t="s">
        <v>20</v>
      </c>
      <c r="R1015" s="1"/>
      <c r="S1015" s="1"/>
      <c r="T1015" s="1"/>
    </row>
    <row r="1016" spans="1:20">
      <c r="A1016" s="1" t="s">
        <v>2644</v>
      </c>
      <c r="B1016" s="1" t="str" cm="1">
        <f t="array" ref="B1016">IF(A1016="","",_xlfn.IFS(COUNTIF($U:$U,A1016)&gt;0,"All uploaded",COUNTIF($V:$V,A1016)&gt;0,"Partly uploaded",COUNTIF($W:$X,A1016)&gt;0,"Not uploaded",TRUE,"Not classified"))</f>
        <v>Partly uploaded</v>
      </c>
      <c r="C1016" s="1" t="str" cm="1">
        <f t="array" ref="C1016">_xlfn.SWITCH(TRIM(I1016),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16" s="1"/>
      <c r="E1016" s="1"/>
      <c r="F1016" s="1" t="str" cm="1">
        <f t="array" ref="F1016">_xlfn.LET(
_xlpm.status,UPPER(TRIM(B1016&amp;"")),
_xlpm.risk,UPPER(TRIM(C1016&amp;"")),
_xlpm.notify,UPPER(TRIM(D1016&amp;"")),
_xlpm.form,UPPER(TRIM(E1016&amp;"")),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16" s="1" t="str">
        <f t="shared" si="15"/>
        <v>NA</v>
      </c>
      <c r="H1016" s="5"/>
      <c r="I1016" s="1" t="s">
        <v>22</v>
      </c>
      <c r="J1016" s="1"/>
      <c r="K1016" s="1" t="s">
        <v>2638</v>
      </c>
      <c r="L1016" s="1" t="s">
        <v>22</v>
      </c>
      <c r="M1016" s="1"/>
      <c r="N1016" s="1" t="s">
        <v>2645</v>
      </c>
      <c r="O1016" s="1" t="s">
        <v>19</v>
      </c>
      <c r="P1016" s="1" t="s">
        <v>18</v>
      </c>
      <c r="Q1016" s="1" t="s">
        <v>20</v>
      </c>
      <c r="R1016" s="1"/>
      <c r="S1016" s="1"/>
      <c r="T1016" s="1"/>
    </row>
    <row r="1017" spans="1:20">
      <c r="A1017" s="1" t="s">
        <v>2649</v>
      </c>
      <c r="B1017" s="1" t="str" cm="1">
        <f t="array" ref="B1017">IF(A1017="","",_xlfn.IFS(COUNTIF($U:$U,A1017)&gt;0,"All uploaded",COUNTIF($V:$V,A1017)&gt;0,"Partly uploaded",COUNTIF($W:$X,A1017)&gt;0,"Not uploaded",TRUE,"Not classified"))</f>
        <v>Partly uploaded</v>
      </c>
      <c r="C1017" s="1" t="str" cm="1">
        <f t="array" ref="C1017">_xlfn.SWITCH(TRIM(I1017),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17" s="1"/>
      <c r="E1017" s="1"/>
      <c r="F1017" s="1" t="str" cm="1">
        <f t="array" ref="F1017">_xlfn.LET(
_xlpm.status,UPPER(TRIM(B1017&amp;"")),
_xlpm.risk,UPPER(TRIM(C1017&amp;"")),
_xlpm.notify,UPPER(TRIM(D1017&amp;"")),
_xlpm.form,UPPER(TRIM(E1017&amp;"")),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17" s="1" t="str">
        <f t="shared" si="15"/>
        <v>NA</v>
      </c>
      <c r="H1017" s="5"/>
      <c r="I1017" s="1" t="s">
        <v>22</v>
      </c>
      <c r="J1017" s="1"/>
      <c r="K1017" s="1" t="s">
        <v>2648</v>
      </c>
      <c r="L1017" s="1" t="s">
        <v>22</v>
      </c>
      <c r="M1017" s="1"/>
      <c r="N1017" s="1" t="s">
        <v>2611</v>
      </c>
      <c r="O1017" s="1" t="s">
        <v>19</v>
      </c>
      <c r="P1017" s="1" t="s">
        <v>18</v>
      </c>
      <c r="Q1017" s="1" t="s">
        <v>20</v>
      </c>
      <c r="R1017" s="1"/>
      <c r="S1017" s="1"/>
      <c r="T1017" s="1"/>
    </row>
    <row r="1018" spans="1:20">
      <c r="A1018" s="1" t="s">
        <v>2655</v>
      </c>
      <c r="B1018" s="1" t="str" cm="1">
        <f t="array" ref="B1018">IF(A1018="","",_xlfn.IFS(COUNTIF($U:$U,A1018)&gt;0,"All uploaded",COUNTIF($V:$V,A1018)&gt;0,"Partly uploaded",COUNTIF($W:$X,A1018)&gt;0,"Not uploaded",TRUE,"Not classified"))</f>
        <v>Partly uploaded</v>
      </c>
      <c r="C1018" s="1" t="str" cm="1">
        <f t="array" ref="C1018">_xlfn.SWITCH(TRIM(I1018),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18" s="1"/>
      <c r="E1018" s="1"/>
      <c r="F1018" s="1" t="str" cm="1">
        <f t="array" ref="F1018">_xlfn.LET(
_xlpm.status,UPPER(TRIM(B1018&amp;"")),
_xlpm.risk,UPPER(TRIM(C1018&amp;"")),
_xlpm.notify,UPPER(TRIM(D1018&amp;"")),
_xlpm.form,UPPER(TRIM(E1018&amp;"")),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18" s="1" t="str">
        <f t="shared" si="15"/>
        <v>NA</v>
      </c>
      <c r="H1018" s="5"/>
      <c r="I1018" s="1" t="s">
        <v>23</v>
      </c>
      <c r="J1018" s="1"/>
      <c r="K1018" s="1" t="s">
        <v>2648</v>
      </c>
      <c r="L1018" s="1" t="s">
        <v>23</v>
      </c>
      <c r="M1018" s="1"/>
      <c r="N1018" s="1" t="s">
        <v>2656</v>
      </c>
      <c r="O1018" s="1" t="s">
        <v>19</v>
      </c>
      <c r="P1018" s="1" t="s">
        <v>18</v>
      </c>
      <c r="Q1018" s="1" t="s">
        <v>20</v>
      </c>
      <c r="R1018" s="1"/>
      <c r="S1018" s="1"/>
      <c r="T1018" s="1"/>
    </row>
    <row r="1019" spans="1:20">
      <c r="A1019" s="1" t="s">
        <v>2667</v>
      </c>
      <c r="B1019" s="1" t="str" cm="1">
        <f t="array" ref="B1019">IF(A1019="","",_xlfn.IFS(COUNTIF($U:$U,A1019)&gt;0,"All uploaded",COUNTIF($V:$V,A1019)&gt;0,"Partly uploaded",COUNTIF($W:$X,A1019)&gt;0,"Not uploaded",TRUE,"Not classified"))</f>
        <v>Partly uploaded</v>
      </c>
      <c r="C1019" s="1" t="str" cm="1">
        <f t="array" ref="C1019">_xlfn.SWITCH(TRIM(I1019),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19" s="1"/>
      <c r="E1019" s="1"/>
      <c r="F1019" s="1" t="str" cm="1">
        <f t="array" ref="F1019">_xlfn.LET(
_xlpm.status,UPPER(TRIM(B1019&amp;"")),
_xlpm.risk,UPPER(TRIM(C1019&amp;"")),
_xlpm.notify,UPPER(TRIM(D1019&amp;"")),
_xlpm.form,UPPER(TRIM(E1019&amp;"")),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19" s="1" t="str">
        <f t="shared" si="15"/>
        <v>NA</v>
      </c>
      <c r="H1019" s="5"/>
      <c r="I1019" s="1" t="s">
        <v>23</v>
      </c>
      <c r="J1019" s="1"/>
      <c r="K1019" s="1" t="s">
        <v>2660</v>
      </c>
      <c r="L1019" s="1" t="s">
        <v>23</v>
      </c>
      <c r="M1019" s="1"/>
      <c r="N1019" s="1" t="s">
        <v>2668</v>
      </c>
      <c r="O1019" s="1" t="s">
        <v>19</v>
      </c>
      <c r="P1019" s="1" t="s">
        <v>18</v>
      </c>
      <c r="Q1019" s="1" t="s">
        <v>20</v>
      </c>
      <c r="R1019" s="1"/>
      <c r="S1019" s="1"/>
      <c r="T1019" s="1"/>
    </row>
    <row r="1020" spans="1:20">
      <c r="A1020" s="1" t="s">
        <v>2674</v>
      </c>
      <c r="B1020" s="1" t="str" cm="1">
        <f t="array" ref="B1020">IF(A1020="","",_xlfn.IFS(COUNTIF($U:$U,A1020)&gt;0,"All uploaded",COUNTIF($V:$V,A1020)&gt;0,"Partly uploaded",COUNTIF($W:$X,A1020)&gt;0,"Not uploaded",TRUE,"Not classified"))</f>
        <v>Partly uploaded</v>
      </c>
      <c r="C1020" s="1" t="str" cm="1">
        <f t="array" ref="C1020">_xlfn.SWITCH(TRIM(I1020),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20" s="1"/>
      <c r="E1020" s="1"/>
      <c r="F1020" s="1" t="str" cm="1">
        <f t="array" ref="F1020">_xlfn.LET(
_xlpm.status,UPPER(TRIM(B1020&amp;"")),
_xlpm.risk,UPPER(TRIM(C1020&amp;"")),
_xlpm.notify,UPPER(TRIM(D1020&amp;"")),
_xlpm.form,UPPER(TRIM(E1020&amp;"")),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20" s="1" t="str">
        <f t="shared" si="15"/>
        <v>NA</v>
      </c>
      <c r="H1020" s="5"/>
      <c r="I1020" s="1" t="s">
        <v>48</v>
      </c>
      <c r="J1020" s="1"/>
      <c r="K1020" s="1" t="s">
        <v>2673</v>
      </c>
      <c r="L1020" s="1" t="s">
        <v>48</v>
      </c>
      <c r="M1020" s="1"/>
      <c r="N1020" s="1" t="s">
        <v>2675</v>
      </c>
      <c r="O1020" s="1" t="s">
        <v>19</v>
      </c>
      <c r="P1020" s="1" t="s">
        <v>18</v>
      </c>
      <c r="Q1020" s="1" t="s">
        <v>20</v>
      </c>
      <c r="R1020" s="1"/>
      <c r="S1020" s="1"/>
      <c r="T1020" s="1"/>
    </row>
    <row r="1021" spans="1:20">
      <c r="A1021" s="1" t="s">
        <v>2687</v>
      </c>
      <c r="B1021" s="1" t="str" cm="1">
        <f t="array" ref="B1021">IF(A1021="","",_xlfn.IFS(COUNTIF($U:$U,A1021)&gt;0,"All uploaded",COUNTIF($V:$V,A1021)&gt;0,"Partly uploaded",COUNTIF($W:$X,A1021)&gt;0,"Not uploaded",TRUE,"Not classified"))</f>
        <v>Partly uploaded</v>
      </c>
      <c r="C1021" s="1" t="str" cm="1">
        <f t="array" ref="C1021">_xlfn.SWITCH(TRIM(I1021),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21" s="1"/>
      <c r="E1021" s="1"/>
      <c r="F1021" s="1" t="str" cm="1">
        <f t="array" ref="F1021">_xlfn.LET(
_xlpm.status,UPPER(TRIM(B1021&amp;"")),
_xlpm.risk,UPPER(TRIM(C1021&amp;"")),
_xlpm.notify,UPPER(TRIM(D1021&amp;"")),
_xlpm.form,UPPER(TRIM(E1021&amp;"")),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21" s="1" t="str">
        <f t="shared" si="15"/>
        <v>NA</v>
      </c>
      <c r="H1021" s="5"/>
      <c r="I1021" s="1" t="s">
        <v>48</v>
      </c>
      <c r="J1021" s="1"/>
      <c r="K1021" s="1" t="s">
        <v>2686</v>
      </c>
      <c r="L1021" s="1" t="s">
        <v>48</v>
      </c>
      <c r="M1021" s="1"/>
      <c r="N1021" s="1" t="s">
        <v>2688</v>
      </c>
      <c r="O1021" s="1" t="s">
        <v>19</v>
      </c>
      <c r="P1021" s="1" t="s">
        <v>18</v>
      </c>
      <c r="Q1021" s="1" t="s">
        <v>20</v>
      </c>
      <c r="R1021" s="1"/>
      <c r="S1021" s="1"/>
      <c r="T1021" s="1"/>
    </row>
    <row r="1022" spans="1:20">
      <c r="A1022" s="1" t="s">
        <v>2693</v>
      </c>
      <c r="B1022" s="1" t="str" cm="1">
        <f t="array" ref="B1022">IF(A1022="","",_xlfn.IFS(COUNTIF($U:$U,A1022)&gt;0,"All uploaded",COUNTIF($V:$V,A1022)&gt;0,"Partly uploaded",COUNTIF($W:$X,A1022)&gt;0,"Not uploaded",TRUE,"Not classified"))</f>
        <v>Partly uploaded</v>
      </c>
      <c r="C1022" s="1" t="str" cm="1">
        <f t="array" ref="C1022">_xlfn.SWITCH(TRIM(I1022),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22" s="1"/>
      <c r="E1022" s="1"/>
      <c r="F1022" s="1" t="str" cm="1">
        <f t="array" ref="F1022">_xlfn.LET(
_xlpm.status,UPPER(TRIM(B1022&amp;"")),
_xlpm.risk,UPPER(TRIM(C1022&amp;"")),
_xlpm.notify,UPPER(TRIM(D1022&amp;"")),
_xlpm.form,UPPER(TRIM(E1022&amp;"")),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22" s="1" t="str">
        <f t="shared" si="15"/>
        <v>NA</v>
      </c>
      <c r="H1022" s="5"/>
      <c r="I1022" s="1" t="s">
        <v>23</v>
      </c>
      <c r="J1022" s="1"/>
      <c r="K1022" s="1" t="s">
        <v>2692</v>
      </c>
      <c r="L1022" s="1" t="s">
        <v>23</v>
      </c>
      <c r="M1022" s="1"/>
      <c r="N1022" s="1" t="s">
        <v>2694</v>
      </c>
      <c r="O1022" s="1" t="s">
        <v>19</v>
      </c>
      <c r="P1022" s="1" t="s">
        <v>18</v>
      </c>
      <c r="Q1022" s="1" t="s">
        <v>20</v>
      </c>
      <c r="R1022" s="1"/>
      <c r="S1022" s="1"/>
      <c r="T1022" s="1"/>
    </row>
    <row r="1023" spans="1:20">
      <c r="A1023" s="1" t="s">
        <v>2699</v>
      </c>
      <c r="B1023" s="1" t="str" cm="1">
        <f t="array" ref="B1023">IF(A1023="","",_xlfn.IFS(COUNTIF($U:$U,A1023)&gt;0,"All uploaded",COUNTIF($V:$V,A1023)&gt;0,"Partly uploaded",COUNTIF($W:$X,A1023)&gt;0,"Not uploaded",TRUE,"Not classified"))</f>
        <v>Partly uploaded</v>
      </c>
      <c r="C1023" s="1" t="str" cm="1">
        <f t="array" ref="C1023">_xlfn.SWITCH(TRIM(I1023),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23" s="1"/>
      <c r="E1023" s="1"/>
      <c r="F1023" s="1" t="str" cm="1">
        <f t="array" ref="F1023">_xlfn.LET(
_xlpm.status,UPPER(TRIM(B1023&amp;"")),
_xlpm.risk,UPPER(TRIM(C1023&amp;"")),
_xlpm.notify,UPPER(TRIM(D1023&amp;"")),
_xlpm.form,UPPER(TRIM(E1023&amp;"")),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23" s="1" t="str">
        <f t="shared" si="15"/>
        <v>NA</v>
      </c>
      <c r="H1023" s="5"/>
      <c r="I1023" s="1" t="s">
        <v>23</v>
      </c>
      <c r="J1023" s="1"/>
      <c r="K1023" s="1" t="s">
        <v>2698</v>
      </c>
      <c r="L1023" s="1" t="s">
        <v>23</v>
      </c>
      <c r="M1023" s="1"/>
      <c r="N1023" s="1" t="s">
        <v>2700</v>
      </c>
      <c r="O1023" s="1" t="s">
        <v>19</v>
      </c>
      <c r="P1023" s="1" t="s">
        <v>18</v>
      </c>
      <c r="Q1023" s="1" t="s">
        <v>20</v>
      </c>
      <c r="R1023" s="1"/>
      <c r="S1023" s="1"/>
      <c r="T1023" s="1"/>
    </row>
    <row r="1024" spans="1:20">
      <c r="A1024" s="1" t="s">
        <v>2706</v>
      </c>
      <c r="B1024" s="1" t="str" cm="1">
        <f t="array" ref="B1024">IF(A1024="","",_xlfn.IFS(COUNTIF($U:$U,A1024)&gt;0,"All uploaded",COUNTIF($V:$V,A1024)&gt;0,"Partly uploaded",COUNTIF($W:$X,A1024)&gt;0,"Not uploaded",TRUE,"Not classified"))</f>
        <v>Partly uploaded</v>
      </c>
      <c r="C1024" s="1" t="str" cm="1">
        <f t="array" ref="C1024">_xlfn.SWITCH(TRIM(I1024),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24" s="1"/>
      <c r="E1024" s="1"/>
      <c r="F1024" s="1" t="str" cm="1">
        <f t="array" ref="F1024">_xlfn.LET(
_xlpm.status,UPPER(TRIM(B1024&amp;"")),
_xlpm.risk,UPPER(TRIM(C1024&amp;"")),
_xlpm.notify,UPPER(TRIM(D1024&amp;"")),
_xlpm.form,UPPER(TRIM(E1024&amp;"")),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24" s="1" t="str">
        <f t="shared" si="15"/>
        <v>Required</v>
      </c>
      <c r="H1024" s="5"/>
      <c r="I1024" s="1" t="s">
        <v>10</v>
      </c>
      <c r="J1024" s="1"/>
      <c r="K1024" s="1" t="s">
        <v>2705</v>
      </c>
      <c r="L1024" s="1" t="s">
        <v>10</v>
      </c>
      <c r="M1024" s="1"/>
      <c r="N1024" s="1" t="s">
        <v>2707</v>
      </c>
      <c r="O1024" s="1" t="s">
        <v>19</v>
      </c>
      <c r="P1024" s="1" t="s">
        <v>18</v>
      </c>
      <c r="Q1024" s="1" t="s">
        <v>20</v>
      </c>
      <c r="R1024" s="1"/>
      <c r="S1024" s="1"/>
      <c r="T1024" s="1"/>
    </row>
    <row r="1025" spans="1:20">
      <c r="A1025" s="1" t="s">
        <v>2731</v>
      </c>
      <c r="B1025" s="1" t="str" cm="1">
        <f t="array" ref="B1025">IF(A1025="","",_xlfn.IFS(COUNTIF($U:$U,A1025)&gt;0,"All uploaded",COUNTIF($V:$V,A1025)&gt;0,"Partly uploaded",COUNTIF($W:$X,A1025)&gt;0,"Not uploaded",TRUE,"Not classified"))</f>
        <v>Partly uploaded</v>
      </c>
      <c r="C1025" s="1" t="str" cm="1">
        <f t="array" ref="C1025">_xlfn.SWITCH(TRIM(I1025),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25" s="1"/>
      <c r="E1025" s="1"/>
      <c r="F1025" s="1" t="str" cm="1">
        <f t="array" ref="F1025">_xlfn.LET(
_xlpm.status,UPPER(TRIM(B1025&amp;"")),
_xlpm.risk,UPPER(TRIM(C1025&amp;"")),
_xlpm.notify,UPPER(TRIM(D1025&amp;"")),
_xlpm.form,UPPER(TRIM(E1025&amp;"")),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25" s="1" t="str">
        <f t="shared" ref="G1025:G1088" si="16">IF(AND(UPPER(TRIM(C1025&amp;""))="MAJOR",OR(TRIM(D1025&amp;"")="",UPPER(TRIM(E1025&amp;""))="REJECT")),"Required","NA")</f>
        <v>Required</v>
      </c>
      <c r="H1025" s="5"/>
      <c r="I1025" s="1" t="s">
        <v>27</v>
      </c>
      <c r="J1025" s="1"/>
      <c r="K1025" s="1" t="s">
        <v>2725</v>
      </c>
      <c r="L1025" s="1" t="s">
        <v>27</v>
      </c>
      <c r="M1025" s="1"/>
      <c r="N1025" s="1" t="s">
        <v>2599</v>
      </c>
      <c r="O1025" s="1" t="s">
        <v>19</v>
      </c>
      <c r="P1025" s="1" t="s">
        <v>18</v>
      </c>
      <c r="Q1025" s="1" t="s">
        <v>20</v>
      </c>
      <c r="R1025" s="1"/>
      <c r="S1025" s="1"/>
      <c r="T1025" s="1"/>
    </row>
    <row r="1026" spans="1:20">
      <c r="A1026" s="1" t="s">
        <v>2726</v>
      </c>
      <c r="B1026" s="1" t="str" cm="1">
        <f t="array" ref="B1026">IF(A1026="","",_xlfn.IFS(COUNTIF($U:$U,A1026)&gt;0,"All uploaded",COUNTIF($V:$V,A1026)&gt;0,"Partly uploaded",COUNTIF($W:$X,A1026)&gt;0,"Not uploaded",TRUE,"Not classified"))</f>
        <v>Partly uploaded</v>
      </c>
      <c r="C1026" s="1" t="str" cm="1">
        <f t="array" ref="C1026">_xlfn.SWITCH(TRIM(I1026),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26" s="1"/>
      <c r="E1026" s="1"/>
      <c r="F1026" s="1" t="str" cm="1">
        <f t="array" ref="F1026">_xlfn.LET(
_xlpm.status,UPPER(TRIM(B1026&amp;"")),
_xlpm.risk,UPPER(TRIM(C1026&amp;"")),
_xlpm.notify,UPPER(TRIM(D1026&amp;"")),
_xlpm.form,UPPER(TRIM(E1026&amp;"")),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26" s="1" t="str">
        <f t="shared" si="16"/>
        <v>Required</v>
      </c>
      <c r="H1026" s="5"/>
      <c r="I1026" s="1" t="s">
        <v>25</v>
      </c>
      <c r="J1026" s="1"/>
      <c r="K1026" s="1" t="s">
        <v>2725</v>
      </c>
      <c r="L1026" s="1" t="s">
        <v>25</v>
      </c>
      <c r="M1026" s="1"/>
      <c r="N1026" s="1" t="s">
        <v>2181</v>
      </c>
      <c r="O1026" s="1" t="s">
        <v>19</v>
      </c>
      <c r="P1026" s="1" t="s">
        <v>18</v>
      </c>
      <c r="Q1026" s="1" t="s">
        <v>20</v>
      </c>
      <c r="R1026" s="1"/>
      <c r="S1026" s="1"/>
      <c r="T1026" s="1"/>
    </row>
    <row r="1027" spans="1:20">
      <c r="A1027" s="1" t="s">
        <v>2736</v>
      </c>
      <c r="B1027" s="1" t="str" cm="1">
        <f t="array" ref="B1027">IF(A1027="","",_xlfn.IFS(COUNTIF($U:$U,A1027)&gt;0,"All uploaded",COUNTIF($V:$V,A1027)&gt;0,"Partly uploaded",COUNTIF($W:$X,A1027)&gt;0,"Not uploaded",TRUE,"Not classified"))</f>
        <v>Not uploaded</v>
      </c>
      <c r="C1027" s="1" t="str" cm="1">
        <f t="array" ref="C1027">_xlfn.SWITCH(TRIM(I1027),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27" s="1"/>
      <c r="E1027" s="1"/>
      <c r="F1027" s="1" t="str" cm="1">
        <f t="array" ref="F1027">_xlfn.LET(
_xlpm.status,UPPER(TRIM(B1027&amp;"")),
_xlpm.risk,UPPER(TRIM(C1027&amp;"")),
_xlpm.notify,UPPER(TRIM(D1027&amp;"")),
_xlpm.form,UPPER(TRIM(E1027&amp;"")),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27" s="1" t="str">
        <f t="shared" si="16"/>
        <v>Required</v>
      </c>
      <c r="H1027" s="5"/>
      <c r="I1027" s="1" t="s">
        <v>27</v>
      </c>
      <c r="J1027" s="1"/>
      <c r="K1027" s="1" t="s">
        <v>2735</v>
      </c>
      <c r="L1027" s="1" t="s">
        <v>27</v>
      </c>
      <c r="M1027" s="1"/>
      <c r="N1027" s="1" t="s">
        <v>2737</v>
      </c>
      <c r="O1027" s="1" t="s">
        <v>19</v>
      </c>
      <c r="P1027" s="1" t="s">
        <v>18</v>
      </c>
      <c r="Q1027" s="1" t="s">
        <v>20</v>
      </c>
      <c r="R1027" s="1"/>
      <c r="S1027" s="1"/>
      <c r="T1027" s="1"/>
    </row>
    <row r="1028" spans="1:20">
      <c r="A1028" s="1" t="s">
        <v>2744</v>
      </c>
      <c r="B1028" s="1" t="str" cm="1">
        <f t="array" ref="B1028">IF(A1028="","",_xlfn.IFS(COUNTIF($U:$U,A1028)&gt;0,"All uploaded",COUNTIF($V:$V,A1028)&gt;0,"Partly uploaded",COUNTIF($W:$X,A1028)&gt;0,"Not uploaded",TRUE,"Not classified"))</f>
        <v>Partly uploaded</v>
      </c>
      <c r="C1028" s="1" t="str" cm="1">
        <f t="array" ref="C1028">_xlfn.SWITCH(TRIM(I1028),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28" s="1"/>
      <c r="E1028" s="1"/>
      <c r="F1028" s="1" t="str" cm="1">
        <f t="array" ref="F1028">_xlfn.LET(
_xlpm.status,UPPER(TRIM(B1028&amp;"")),
_xlpm.risk,UPPER(TRIM(C1028&amp;"")),
_xlpm.notify,UPPER(TRIM(D1028&amp;"")),
_xlpm.form,UPPER(TRIM(E1028&amp;"")),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28" s="1" t="str">
        <f t="shared" si="16"/>
        <v>NA</v>
      </c>
      <c r="H1028" s="5"/>
      <c r="I1028" s="1" t="s">
        <v>23</v>
      </c>
      <c r="J1028" s="1"/>
      <c r="K1028" s="1" t="s">
        <v>2743</v>
      </c>
      <c r="L1028" s="1" t="s">
        <v>23</v>
      </c>
      <c r="M1028" s="1"/>
      <c r="N1028" s="1" t="s">
        <v>1920</v>
      </c>
      <c r="O1028" s="1" t="s">
        <v>19</v>
      </c>
      <c r="P1028" s="1" t="s">
        <v>18</v>
      </c>
      <c r="Q1028" s="1" t="s">
        <v>20</v>
      </c>
      <c r="R1028" s="1"/>
      <c r="S1028" s="1"/>
      <c r="T1028" s="1"/>
    </row>
    <row r="1029" spans="1:20">
      <c r="A1029" s="1" t="s">
        <v>2752</v>
      </c>
      <c r="B1029" s="1" t="str" cm="1">
        <f t="array" ref="B1029">IF(A1029="","",_xlfn.IFS(COUNTIF($U:$U,A1029)&gt;0,"All uploaded",COUNTIF($V:$V,A1029)&gt;0,"Partly uploaded",COUNTIF($W:$X,A1029)&gt;0,"Not uploaded",TRUE,"Not classified"))</f>
        <v>Partly uploaded</v>
      </c>
      <c r="C1029" s="1" t="str" cm="1">
        <f t="array" ref="C1029">_xlfn.SWITCH(TRIM(I1029),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29" s="1"/>
      <c r="E1029" s="1"/>
      <c r="F1029" s="1" t="str" cm="1">
        <f t="array" ref="F1029">_xlfn.LET(
_xlpm.status,UPPER(TRIM(B1029&amp;"")),
_xlpm.risk,UPPER(TRIM(C1029&amp;"")),
_xlpm.notify,UPPER(TRIM(D1029&amp;"")),
_xlpm.form,UPPER(TRIM(E1029&amp;"")),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29" s="1" t="str">
        <f t="shared" si="16"/>
        <v>Required</v>
      </c>
      <c r="H1029" s="5"/>
      <c r="I1029" s="1" t="s">
        <v>25</v>
      </c>
      <c r="J1029" s="1"/>
      <c r="K1029" s="1" t="s">
        <v>2751</v>
      </c>
      <c r="L1029" s="1" t="s">
        <v>25</v>
      </c>
      <c r="M1029" s="1"/>
      <c r="N1029" s="1" t="s">
        <v>2753</v>
      </c>
      <c r="O1029" s="1" t="s">
        <v>19</v>
      </c>
      <c r="P1029" s="1" t="s">
        <v>18</v>
      </c>
      <c r="Q1029" s="1" t="s">
        <v>20</v>
      </c>
      <c r="R1029" s="1"/>
      <c r="S1029" s="1"/>
      <c r="T1029" s="1"/>
    </row>
    <row r="1030" spans="1:20">
      <c r="A1030" s="1" t="s">
        <v>2754</v>
      </c>
      <c r="B1030" s="1" t="str" cm="1">
        <f t="array" ref="B1030">IF(A1030="","",_xlfn.IFS(COUNTIF($U:$U,A1030)&gt;0,"All uploaded",COUNTIF($V:$V,A1030)&gt;0,"Partly uploaded",COUNTIF($W:$X,A1030)&gt;0,"Not uploaded",TRUE,"Not classified"))</f>
        <v>Partly uploaded</v>
      </c>
      <c r="C1030" s="1" t="str" cm="1">
        <f t="array" ref="C1030">_xlfn.SWITCH(TRIM(I1030),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30" s="1"/>
      <c r="E1030" s="1"/>
      <c r="F1030" s="1" t="str" cm="1">
        <f t="array" ref="F1030">_xlfn.LET(
_xlpm.status,UPPER(TRIM(B1030&amp;"")),
_xlpm.risk,UPPER(TRIM(C1030&amp;"")),
_xlpm.notify,UPPER(TRIM(D1030&amp;"")),
_xlpm.form,UPPER(TRIM(E1030&amp;"")),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30" s="1" t="str">
        <f t="shared" si="16"/>
        <v>Required</v>
      </c>
      <c r="H1030" s="5"/>
      <c r="I1030" s="1" t="s">
        <v>27</v>
      </c>
      <c r="J1030" s="1"/>
      <c r="K1030" s="1" t="s">
        <v>2751</v>
      </c>
      <c r="L1030" s="1" t="s">
        <v>27</v>
      </c>
      <c r="M1030" s="1"/>
      <c r="N1030" s="1" t="s">
        <v>2341</v>
      </c>
      <c r="O1030" s="1" t="s">
        <v>19</v>
      </c>
      <c r="P1030" s="1" t="s">
        <v>18</v>
      </c>
      <c r="Q1030" s="1" t="s">
        <v>20</v>
      </c>
      <c r="R1030" s="1"/>
      <c r="S1030" s="1"/>
      <c r="T1030" s="1"/>
    </row>
    <row r="1031" spans="1:20">
      <c r="A1031" s="1" t="s">
        <v>2763</v>
      </c>
      <c r="B1031" s="1" t="str" cm="1">
        <f t="array" ref="B1031">IF(A1031="","",_xlfn.IFS(COUNTIF($U:$U,A1031)&gt;0,"All uploaded",COUNTIF($V:$V,A1031)&gt;0,"Partly uploaded",COUNTIF($W:$X,A1031)&gt;0,"Not uploaded",TRUE,"Not classified"))</f>
        <v>Partly uploaded</v>
      </c>
      <c r="C1031" s="1" t="str" cm="1">
        <f t="array" ref="C1031">_xlfn.SWITCH(TRIM(I1031),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31" s="1"/>
      <c r="E1031" s="1"/>
      <c r="F1031" s="1" t="str" cm="1">
        <f t="array" ref="F1031">_xlfn.LET(
_xlpm.status,UPPER(TRIM(B1031&amp;"")),
_xlpm.risk,UPPER(TRIM(C1031&amp;"")),
_xlpm.notify,UPPER(TRIM(D1031&amp;"")),
_xlpm.form,UPPER(TRIM(E1031&amp;"")),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31" s="1" t="str">
        <f t="shared" si="16"/>
        <v>Required</v>
      </c>
      <c r="H1031" s="5"/>
      <c r="I1031" s="1" t="s">
        <v>25</v>
      </c>
      <c r="J1031" s="1"/>
      <c r="K1031" s="1" t="s">
        <v>2762</v>
      </c>
      <c r="L1031" s="1" t="s">
        <v>25</v>
      </c>
      <c r="M1031" s="1"/>
      <c r="N1031" s="1" t="s">
        <v>2764</v>
      </c>
      <c r="O1031" s="1" t="s">
        <v>19</v>
      </c>
      <c r="P1031" s="1" t="s">
        <v>18</v>
      </c>
      <c r="Q1031" s="1" t="s">
        <v>20</v>
      </c>
      <c r="R1031" s="1"/>
      <c r="S1031" s="1"/>
      <c r="T1031" s="1"/>
    </row>
    <row r="1032" spans="1:20">
      <c r="A1032" s="1" t="s">
        <v>2769</v>
      </c>
      <c r="B1032" s="1" t="str" cm="1">
        <f t="array" ref="B1032">IF(A1032="","",_xlfn.IFS(COUNTIF($U:$U,A1032)&gt;0,"All uploaded",COUNTIF($V:$V,A1032)&gt;0,"Partly uploaded",COUNTIF($W:$X,A1032)&gt;0,"Not uploaded",TRUE,"Not classified"))</f>
        <v>Not uploaded</v>
      </c>
      <c r="C1032" s="1" t="str" cm="1">
        <f t="array" ref="C1032">_xlfn.SWITCH(TRIM(I1032),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32" s="1"/>
      <c r="E1032" s="1"/>
      <c r="F1032" s="1" t="str" cm="1">
        <f t="array" ref="F1032">_xlfn.LET(
_xlpm.status,UPPER(TRIM(B1032&amp;"")),
_xlpm.risk,UPPER(TRIM(C1032&amp;"")),
_xlpm.notify,UPPER(TRIM(D1032&amp;"")),
_xlpm.form,UPPER(TRIM(E1032&amp;"")),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32" s="1" t="str">
        <f t="shared" si="16"/>
        <v>NA</v>
      </c>
      <c r="H1032" s="5"/>
      <c r="I1032" s="1" t="s">
        <v>22</v>
      </c>
      <c r="J1032" s="1"/>
      <c r="K1032" s="1" t="s">
        <v>2762</v>
      </c>
      <c r="L1032" s="1" t="s">
        <v>22</v>
      </c>
      <c r="M1032" s="1"/>
      <c r="N1032" s="1" t="s">
        <v>2770</v>
      </c>
      <c r="O1032" s="1" t="s">
        <v>19</v>
      </c>
      <c r="P1032" s="1" t="s">
        <v>18</v>
      </c>
      <c r="Q1032" s="1" t="s">
        <v>20</v>
      </c>
      <c r="R1032" s="1"/>
      <c r="S1032" s="1"/>
      <c r="T1032" s="1"/>
    </row>
    <row r="1033" spans="1:20">
      <c r="A1033" s="1" t="s">
        <v>2772</v>
      </c>
      <c r="B1033" s="1" t="str" cm="1">
        <f t="array" ref="B1033">IF(A1033="","",_xlfn.IFS(COUNTIF($U:$U,A1033)&gt;0,"All uploaded",COUNTIF($V:$V,A1033)&gt;0,"Partly uploaded",COUNTIF($W:$X,A1033)&gt;0,"Not uploaded",TRUE,"Not classified"))</f>
        <v>Partly uploaded</v>
      </c>
      <c r="C1033" s="1" t="str" cm="1">
        <f t="array" ref="C1033">_xlfn.SWITCH(TRIM(I1033),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33" s="1"/>
      <c r="E1033" s="1"/>
      <c r="F1033" s="1" t="str" cm="1">
        <f t="array" ref="F1033">_xlfn.LET(
_xlpm.status,UPPER(TRIM(B1033&amp;"")),
_xlpm.risk,UPPER(TRIM(C1033&amp;"")),
_xlpm.notify,UPPER(TRIM(D1033&amp;"")),
_xlpm.form,UPPER(TRIM(E1033&amp;"")),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33" s="1" t="str">
        <f t="shared" si="16"/>
        <v>NA</v>
      </c>
      <c r="H1033" s="5"/>
      <c r="I1033" s="1" t="s">
        <v>23</v>
      </c>
      <c r="J1033" s="1"/>
      <c r="K1033" s="1" t="s">
        <v>2771</v>
      </c>
      <c r="L1033" s="1" t="s">
        <v>23</v>
      </c>
      <c r="M1033" s="1"/>
      <c r="N1033" s="1" t="s">
        <v>2773</v>
      </c>
      <c r="O1033" s="1" t="s">
        <v>19</v>
      </c>
      <c r="P1033" s="1" t="s">
        <v>18</v>
      </c>
      <c r="Q1033" s="1" t="s">
        <v>20</v>
      </c>
      <c r="R1033" s="1"/>
      <c r="S1033" s="1"/>
      <c r="T1033" s="1"/>
    </row>
    <row r="1034" spans="1:20">
      <c r="A1034" s="1" t="s">
        <v>2778</v>
      </c>
      <c r="B1034" s="1" t="str" cm="1">
        <f t="array" ref="B1034">IF(A1034="","",_xlfn.IFS(COUNTIF($U:$U,A1034)&gt;0,"All uploaded",COUNTIF($V:$V,A1034)&gt;0,"Partly uploaded",COUNTIF($W:$X,A1034)&gt;0,"Not uploaded",TRUE,"Not classified"))</f>
        <v>Partly uploaded</v>
      </c>
      <c r="C1034" s="1" t="str" cm="1">
        <f t="array" ref="C1034">_xlfn.SWITCH(TRIM(I1034),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34" s="1"/>
      <c r="E1034" s="1"/>
      <c r="F1034" s="1" t="str" cm="1">
        <f t="array" ref="F1034">_xlfn.LET(
_xlpm.status,UPPER(TRIM(B1034&amp;"")),
_xlpm.risk,UPPER(TRIM(C1034&amp;"")),
_xlpm.notify,UPPER(TRIM(D1034&amp;"")),
_xlpm.form,UPPER(TRIM(E1034&amp;"")),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34" s="1" t="str">
        <f t="shared" si="16"/>
        <v>NA</v>
      </c>
      <c r="H1034" s="5"/>
      <c r="I1034" s="1" t="s">
        <v>22</v>
      </c>
      <c r="J1034" s="1"/>
      <c r="K1034" s="1" t="s">
        <v>2771</v>
      </c>
      <c r="L1034" s="1" t="s">
        <v>22</v>
      </c>
      <c r="M1034" s="1"/>
      <c r="N1034" s="1" t="s">
        <v>2779</v>
      </c>
      <c r="O1034" s="1" t="s">
        <v>19</v>
      </c>
      <c r="P1034" s="1" t="s">
        <v>18</v>
      </c>
      <c r="Q1034" s="1" t="s">
        <v>20</v>
      </c>
      <c r="R1034" s="1"/>
      <c r="S1034" s="1"/>
      <c r="T1034" s="1"/>
    </row>
    <row r="1035" spans="1:20">
      <c r="A1035" s="1" t="s">
        <v>2784</v>
      </c>
      <c r="B1035" s="1" t="str" cm="1">
        <f t="array" ref="B1035">IF(A1035="","",_xlfn.IFS(COUNTIF($U:$U,A1035)&gt;0,"All uploaded",COUNTIF($V:$V,A1035)&gt;0,"Partly uploaded",COUNTIF($W:$X,A1035)&gt;0,"Not uploaded",TRUE,"Not classified"))</f>
        <v>Not uploaded</v>
      </c>
      <c r="C1035" s="1" t="str" cm="1">
        <f t="array" ref="C1035">_xlfn.SWITCH(TRIM(I1035),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035" s="1"/>
      <c r="E1035" s="1"/>
      <c r="F1035" s="1" t="str" cm="1">
        <f t="array" ref="F1035">_xlfn.LET(
_xlpm.status,UPPER(TRIM(B1035&amp;"")),
_xlpm.risk,UPPER(TRIM(C1035&amp;"")),
_xlpm.notify,UPPER(TRIM(D1035&amp;"")),
_xlpm.form,UPPER(TRIM(E1035&amp;"")),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035" s="1" t="str">
        <f t="shared" si="16"/>
        <v>NA</v>
      </c>
      <c r="H1035" s="5"/>
      <c r="I1035" s="1" t="s">
        <v>21</v>
      </c>
      <c r="J1035" s="1"/>
      <c r="K1035" s="1" t="s">
        <v>2783</v>
      </c>
      <c r="L1035" s="1" t="s">
        <v>21</v>
      </c>
      <c r="M1035" s="1"/>
      <c r="N1035" s="1" t="s">
        <v>83</v>
      </c>
      <c r="O1035" s="1" t="s">
        <v>19</v>
      </c>
      <c r="P1035" s="1" t="s">
        <v>18</v>
      </c>
      <c r="Q1035" s="1" t="s">
        <v>20</v>
      </c>
      <c r="R1035" s="1"/>
      <c r="S1035" s="1"/>
      <c r="T1035" s="1"/>
    </row>
    <row r="1036" spans="1:20">
      <c r="A1036" s="1" t="s">
        <v>2786</v>
      </c>
      <c r="B1036" s="1" t="str" cm="1">
        <f t="array" ref="B1036">IF(A1036="","",_xlfn.IFS(COUNTIF($U:$U,A1036)&gt;0,"All uploaded",COUNTIF($V:$V,A1036)&gt;0,"Partly uploaded",COUNTIF($W:$X,A1036)&gt;0,"Not uploaded",TRUE,"Not classified"))</f>
        <v>Partly uploaded</v>
      </c>
      <c r="C1036" s="1" t="str" cm="1">
        <f t="array" ref="C1036">_xlfn.SWITCH(TRIM(I1036),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36" s="1"/>
      <c r="E1036" s="1"/>
      <c r="F1036" s="1" t="str" cm="1">
        <f t="array" ref="F1036">_xlfn.LET(
_xlpm.status,UPPER(TRIM(B1036&amp;"")),
_xlpm.risk,UPPER(TRIM(C1036&amp;"")),
_xlpm.notify,UPPER(TRIM(D1036&amp;"")),
_xlpm.form,UPPER(TRIM(E1036&amp;"")),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36" s="1" t="str">
        <f t="shared" si="16"/>
        <v>NA</v>
      </c>
      <c r="H1036" s="5"/>
      <c r="I1036" s="1" t="s">
        <v>23</v>
      </c>
      <c r="J1036" s="1"/>
      <c r="K1036" s="1" t="s">
        <v>2785</v>
      </c>
      <c r="L1036" s="1" t="s">
        <v>23</v>
      </c>
      <c r="M1036" s="1"/>
      <c r="N1036" s="1" t="s">
        <v>2773</v>
      </c>
      <c r="O1036" s="1" t="s">
        <v>19</v>
      </c>
      <c r="P1036" s="1" t="s">
        <v>18</v>
      </c>
      <c r="Q1036" s="1" t="s">
        <v>20</v>
      </c>
      <c r="R1036" s="1"/>
      <c r="S1036" s="1"/>
      <c r="T1036" s="1"/>
    </row>
    <row r="1037" spans="1:20">
      <c r="A1037" s="1" t="s">
        <v>2791</v>
      </c>
      <c r="B1037" s="1" t="str" cm="1">
        <f t="array" ref="B1037">IF(A1037="","",_xlfn.IFS(COUNTIF($U:$U,A1037)&gt;0,"All uploaded",COUNTIF($V:$V,A1037)&gt;0,"Partly uploaded",COUNTIF($W:$X,A1037)&gt;0,"Not uploaded",TRUE,"Not classified"))</f>
        <v>Partly uploaded</v>
      </c>
      <c r="C1037" s="1" t="str" cm="1">
        <f t="array" ref="C1037">_xlfn.SWITCH(TRIM(I1037),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37" s="1"/>
      <c r="E1037" s="1"/>
      <c r="F1037" s="1" t="str" cm="1">
        <f t="array" ref="F1037">_xlfn.LET(
_xlpm.status,UPPER(TRIM(B1037&amp;"")),
_xlpm.risk,UPPER(TRIM(C1037&amp;"")),
_xlpm.notify,UPPER(TRIM(D1037&amp;"")),
_xlpm.form,UPPER(TRIM(E1037&amp;"")),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37" s="1" t="str">
        <f t="shared" si="16"/>
        <v>Required</v>
      </c>
      <c r="H1037" s="5"/>
      <c r="I1037" s="1" t="s">
        <v>27</v>
      </c>
      <c r="J1037" s="1"/>
      <c r="K1037" s="1" t="s">
        <v>2790</v>
      </c>
      <c r="L1037" s="1" t="s">
        <v>27</v>
      </c>
      <c r="M1037" s="1"/>
      <c r="N1037" s="1" t="s">
        <v>2792</v>
      </c>
      <c r="O1037" s="1" t="s">
        <v>19</v>
      </c>
      <c r="P1037" s="1" t="s">
        <v>18</v>
      </c>
      <c r="Q1037" s="1" t="s">
        <v>20</v>
      </c>
      <c r="R1037" s="1"/>
      <c r="S1037" s="1"/>
      <c r="T1037" s="1"/>
    </row>
    <row r="1038" spans="1:20">
      <c r="A1038" s="1" t="s">
        <v>2798</v>
      </c>
      <c r="B1038" s="1" t="str" cm="1">
        <f t="array" ref="B1038">IF(A1038="","",_xlfn.IFS(COUNTIF($U:$U,A1038)&gt;0,"All uploaded",COUNTIF($V:$V,A1038)&gt;0,"Partly uploaded",COUNTIF($W:$X,A1038)&gt;0,"Not uploaded",TRUE,"Not classified"))</f>
        <v>Partly uploaded</v>
      </c>
      <c r="C1038" s="1" t="str" cm="1">
        <f t="array" ref="C1038">_xlfn.SWITCH(TRIM(I1038),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38" s="1"/>
      <c r="E1038" s="1"/>
      <c r="F1038" s="1" t="str" cm="1">
        <f t="array" ref="F1038">_xlfn.LET(
_xlpm.status,UPPER(TRIM(B1038&amp;"")),
_xlpm.risk,UPPER(TRIM(C1038&amp;"")),
_xlpm.notify,UPPER(TRIM(D1038&amp;"")),
_xlpm.form,UPPER(TRIM(E1038&amp;"")),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38" s="1" t="str">
        <f t="shared" si="16"/>
        <v>Required</v>
      </c>
      <c r="H1038" s="5"/>
      <c r="I1038" s="1" t="s">
        <v>10</v>
      </c>
      <c r="J1038" s="1"/>
      <c r="K1038" s="1" t="s">
        <v>2797</v>
      </c>
      <c r="L1038" s="1" t="s">
        <v>10</v>
      </c>
      <c r="M1038" s="1"/>
      <c r="N1038" s="1" t="s">
        <v>364</v>
      </c>
      <c r="O1038" s="1" t="s">
        <v>19</v>
      </c>
      <c r="P1038" s="1" t="s">
        <v>18</v>
      </c>
      <c r="Q1038" s="1" t="s">
        <v>20</v>
      </c>
      <c r="R1038" s="1"/>
      <c r="S1038" s="1"/>
      <c r="T1038" s="1"/>
    </row>
    <row r="1039" spans="1:20">
      <c r="A1039" s="1" t="s">
        <v>2810</v>
      </c>
      <c r="B1039" s="1" t="str" cm="1">
        <f t="array" ref="B1039">IF(A1039="","",_xlfn.IFS(COUNTIF($U:$U,A1039)&gt;0,"All uploaded",COUNTIF($V:$V,A1039)&gt;0,"Partly uploaded",COUNTIF($W:$X,A1039)&gt;0,"Not uploaded",TRUE,"Not classified"))</f>
        <v>Partly uploaded</v>
      </c>
      <c r="C1039" s="1" t="str" cm="1">
        <f t="array" ref="C1039">_xlfn.SWITCH(TRIM(I1039),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39" s="1"/>
      <c r="E1039" s="1"/>
      <c r="F1039" s="1" t="str" cm="1">
        <f t="array" ref="F1039">_xlfn.LET(
_xlpm.status,UPPER(TRIM(B1039&amp;"")),
_xlpm.risk,UPPER(TRIM(C1039&amp;"")),
_xlpm.notify,UPPER(TRIM(D1039&amp;"")),
_xlpm.form,UPPER(TRIM(E1039&amp;"")),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39" s="1" t="str">
        <f t="shared" si="16"/>
        <v>Required</v>
      </c>
      <c r="H1039" s="5"/>
      <c r="I1039" s="1" t="s">
        <v>27</v>
      </c>
      <c r="J1039" s="1"/>
      <c r="K1039" s="1" t="s">
        <v>2809</v>
      </c>
      <c r="L1039" s="1" t="s">
        <v>27</v>
      </c>
      <c r="M1039" s="1"/>
      <c r="N1039" s="1" t="s">
        <v>2811</v>
      </c>
      <c r="O1039" s="1" t="s">
        <v>19</v>
      </c>
      <c r="P1039" s="1" t="s">
        <v>18</v>
      </c>
      <c r="Q1039" s="1" t="s">
        <v>20</v>
      </c>
      <c r="R1039" s="1"/>
      <c r="S1039" s="1"/>
      <c r="T1039" s="1"/>
    </row>
    <row r="1040" spans="1:20">
      <c r="A1040" s="1" t="s">
        <v>2816</v>
      </c>
      <c r="B1040" s="1" t="str" cm="1">
        <f t="array" ref="B1040">IF(A1040="","",_xlfn.IFS(COUNTIF($U:$U,A1040)&gt;0,"All uploaded",COUNTIF($V:$V,A1040)&gt;0,"Partly uploaded",COUNTIF($W:$X,A1040)&gt;0,"Not uploaded",TRUE,"Not classified"))</f>
        <v>Partly uploaded</v>
      </c>
      <c r="C1040" s="1" t="str" cm="1">
        <f t="array" ref="C1040">_xlfn.SWITCH(TRIM(I1040),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40" s="1"/>
      <c r="E1040" s="1"/>
      <c r="F1040" s="1" t="str" cm="1">
        <f t="array" ref="F1040">_xlfn.LET(
_xlpm.status,UPPER(TRIM(B1040&amp;"")),
_xlpm.risk,UPPER(TRIM(C1040&amp;"")),
_xlpm.notify,UPPER(TRIM(D1040&amp;"")),
_xlpm.form,UPPER(TRIM(E1040&amp;"")),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40" s="1" t="str">
        <f t="shared" si="16"/>
        <v>Required</v>
      </c>
      <c r="H1040" s="5"/>
      <c r="I1040" s="1" t="s">
        <v>27</v>
      </c>
      <c r="J1040" s="1"/>
      <c r="K1040" s="1" t="s">
        <v>2815</v>
      </c>
      <c r="L1040" s="1" t="s">
        <v>27</v>
      </c>
      <c r="M1040" s="1"/>
      <c r="N1040" s="1" t="s">
        <v>1782</v>
      </c>
      <c r="O1040" s="1" t="s">
        <v>19</v>
      </c>
      <c r="P1040" s="1" t="s">
        <v>18</v>
      </c>
      <c r="Q1040" s="1" t="s">
        <v>20</v>
      </c>
      <c r="R1040" s="1"/>
      <c r="S1040" s="1"/>
      <c r="T1040" s="1"/>
    </row>
    <row r="1041" spans="1:20">
      <c r="A1041" s="1" t="s">
        <v>2822</v>
      </c>
      <c r="B1041" s="1" t="str" cm="1">
        <f t="array" ref="B1041">IF(A1041="","",_xlfn.IFS(COUNTIF($U:$U,A1041)&gt;0,"All uploaded",COUNTIF($V:$V,A1041)&gt;0,"Partly uploaded",COUNTIF($W:$X,A1041)&gt;0,"Not uploaded",TRUE,"Not classified"))</f>
        <v>Partly uploaded</v>
      </c>
      <c r="C1041" s="1" t="str" cm="1">
        <f t="array" ref="C1041">_xlfn.SWITCH(TRIM(I1041),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41" s="1"/>
      <c r="E1041" s="1"/>
      <c r="F1041" s="1" t="str" cm="1">
        <f t="array" ref="F1041">_xlfn.LET(
_xlpm.status,UPPER(TRIM(B1041&amp;"")),
_xlpm.risk,UPPER(TRIM(C1041&amp;"")),
_xlpm.notify,UPPER(TRIM(D1041&amp;"")),
_xlpm.form,UPPER(TRIM(E1041&amp;"")),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41" s="1" t="str">
        <f t="shared" si="16"/>
        <v>NA</v>
      </c>
      <c r="H1041" s="5"/>
      <c r="I1041" s="1" t="s">
        <v>23</v>
      </c>
      <c r="J1041" s="1"/>
      <c r="K1041" s="1" t="s">
        <v>2821</v>
      </c>
      <c r="L1041" s="1" t="s">
        <v>23</v>
      </c>
      <c r="M1041" s="1"/>
      <c r="N1041" s="1" t="s">
        <v>2823</v>
      </c>
      <c r="O1041" s="1" t="s">
        <v>19</v>
      </c>
      <c r="P1041" s="1" t="s">
        <v>18</v>
      </c>
      <c r="Q1041" s="1" t="s">
        <v>20</v>
      </c>
      <c r="R1041" s="1"/>
      <c r="S1041" s="1"/>
      <c r="T1041" s="1"/>
    </row>
    <row r="1042" spans="1:20">
      <c r="A1042" s="1" t="s">
        <v>2833</v>
      </c>
      <c r="B1042" s="1" t="str" cm="1">
        <f t="array" ref="B1042">IF(A1042="","",_xlfn.IFS(COUNTIF($U:$U,A1042)&gt;0,"All uploaded",COUNTIF($V:$V,A1042)&gt;0,"Partly uploaded",COUNTIF($W:$X,A1042)&gt;0,"Not uploaded",TRUE,"Not classified"))</f>
        <v>Not uploaded</v>
      </c>
      <c r="C1042" s="1" t="str" cm="1">
        <f t="array" ref="C1042">_xlfn.SWITCH(TRIM(I1042),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42" s="1"/>
      <c r="E1042" s="1"/>
      <c r="F1042" s="1" t="str" cm="1">
        <f t="array" ref="F1042">_xlfn.LET(
_xlpm.status,UPPER(TRIM(B1042&amp;"")),
_xlpm.risk,UPPER(TRIM(C1042&amp;"")),
_xlpm.notify,UPPER(TRIM(D1042&amp;"")),
_xlpm.form,UPPER(TRIM(E1042&amp;"")),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42" s="1" t="str">
        <f t="shared" si="16"/>
        <v>NA</v>
      </c>
      <c r="H1042" s="5"/>
      <c r="I1042" s="1" t="s">
        <v>23</v>
      </c>
      <c r="J1042" s="1"/>
      <c r="K1042" s="1" t="s">
        <v>2821</v>
      </c>
      <c r="L1042" s="1" t="s">
        <v>23</v>
      </c>
      <c r="M1042" s="1"/>
      <c r="N1042" s="1" t="s">
        <v>2825</v>
      </c>
      <c r="O1042" s="1" t="s">
        <v>19</v>
      </c>
      <c r="P1042" s="1" t="s">
        <v>18</v>
      </c>
      <c r="Q1042" s="1" t="s">
        <v>20</v>
      </c>
      <c r="R1042" s="1"/>
      <c r="S1042" s="1"/>
      <c r="T1042" s="1"/>
    </row>
    <row r="1043" spans="1:20">
      <c r="A1043" s="1" t="s">
        <v>2845</v>
      </c>
      <c r="B1043" s="1" t="str" cm="1">
        <f t="array" ref="B1043">IF(A1043="","",_xlfn.IFS(COUNTIF($U:$U,A1043)&gt;0,"All uploaded",COUNTIF($V:$V,A1043)&gt;0,"Partly uploaded",COUNTIF($W:$X,A1043)&gt;0,"Not uploaded",TRUE,"Not classified"))</f>
        <v>Partly uploaded</v>
      </c>
      <c r="C1043" s="1" t="str" cm="1">
        <f t="array" ref="C1043">_xlfn.SWITCH(TRIM(I1043),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43" s="1"/>
      <c r="E1043" s="1"/>
      <c r="F1043" s="1" t="str" cm="1">
        <f t="array" ref="F1043">_xlfn.LET(
_xlpm.status,UPPER(TRIM(B1043&amp;"")),
_xlpm.risk,UPPER(TRIM(C1043&amp;"")),
_xlpm.notify,UPPER(TRIM(D1043&amp;"")),
_xlpm.form,UPPER(TRIM(E1043&amp;"")),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43" s="1" t="str">
        <f t="shared" si="16"/>
        <v>Required</v>
      </c>
      <c r="H1043" s="5"/>
      <c r="I1043" s="1" t="s">
        <v>27</v>
      </c>
      <c r="J1043" s="1"/>
      <c r="K1043" s="1" t="s">
        <v>2844</v>
      </c>
      <c r="L1043" s="1" t="s">
        <v>27</v>
      </c>
      <c r="M1043" s="1"/>
      <c r="N1043" s="1" t="s">
        <v>2846</v>
      </c>
      <c r="O1043" s="1" t="s">
        <v>19</v>
      </c>
      <c r="P1043" s="1" t="s">
        <v>18</v>
      </c>
      <c r="Q1043" s="1" t="s">
        <v>20</v>
      </c>
      <c r="R1043" s="1"/>
      <c r="S1043" s="1"/>
      <c r="T1043" s="1"/>
    </row>
    <row r="1044" spans="1:20">
      <c r="A1044" s="1" t="s">
        <v>2855</v>
      </c>
      <c r="B1044" s="1" t="str" cm="1">
        <f t="array" ref="B1044">IF(A1044="","",_xlfn.IFS(COUNTIF($U:$U,A1044)&gt;0,"All uploaded",COUNTIF($V:$V,A1044)&gt;0,"Partly uploaded",COUNTIF($W:$X,A1044)&gt;0,"Not uploaded",TRUE,"Not classified"))</f>
        <v>Not uploaded</v>
      </c>
      <c r="C1044" s="1" t="str" cm="1">
        <f t="array" ref="C1044">_xlfn.SWITCH(TRIM(I1044),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44" s="1"/>
      <c r="E1044" s="1"/>
      <c r="F1044" s="1" t="str" cm="1">
        <f t="array" ref="F1044">_xlfn.LET(
_xlpm.status,UPPER(TRIM(B1044&amp;"")),
_xlpm.risk,UPPER(TRIM(C1044&amp;"")),
_xlpm.notify,UPPER(TRIM(D1044&amp;"")),
_xlpm.form,UPPER(TRIM(E1044&amp;"")),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44" s="1" t="str">
        <f t="shared" si="16"/>
        <v>Required</v>
      </c>
      <c r="H1044" s="5"/>
      <c r="I1044" s="1" t="s">
        <v>27</v>
      </c>
      <c r="J1044" s="1"/>
      <c r="K1044" s="1" t="s">
        <v>2854</v>
      </c>
      <c r="L1044" s="1" t="s">
        <v>27</v>
      </c>
      <c r="M1044" s="1"/>
      <c r="N1044" s="1" t="s">
        <v>2856</v>
      </c>
      <c r="O1044" s="1" t="s">
        <v>19</v>
      </c>
      <c r="P1044" s="1" t="s">
        <v>18</v>
      </c>
      <c r="Q1044" s="1" t="s">
        <v>20</v>
      </c>
      <c r="R1044" s="1"/>
      <c r="S1044" s="1"/>
      <c r="T1044" s="1"/>
    </row>
    <row r="1045" spans="1:20">
      <c r="A1045" s="1" t="s">
        <v>2857</v>
      </c>
      <c r="B1045" s="1" t="str" cm="1">
        <f t="array" ref="B1045">IF(A1045="","",_xlfn.IFS(COUNTIF($U:$U,A1045)&gt;0,"All uploaded",COUNTIF($V:$V,A1045)&gt;0,"Partly uploaded",COUNTIF($W:$X,A1045)&gt;0,"Not uploaded",TRUE,"Not classified"))</f>
        <v>Not uploaded</v>
      </c>
      <c r="C1045" s="1" t="str" cm="1">
        <f t="array" ref="C1045">_xlfn.SWITCH(TRIM(I1045),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45" s="1"/>
      <c r="E1045" s="1"/>
      <c r="F1045" s="1" t="str" cm="1">
        <f t="array" ref="F1045">_xlfn.LET(
_xlpm.status,UPPER(TRIM(B1045&amp;"")),
_xlpm.risk,UPPER(TRIM(C1045&amp;"")),
_xlpm.notify,UPPER(TRIM(D1045&amp;"")),
_xlpm.form,UPPER(TRIM(E1045&amp;"")),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45" s="1" t="str">
        <f t="shared" si="16"/>
        <v>Required</v>
      </c>
      <c r="H1045" s="5"/>
      <c r="I1045" s="1" t="s">
        <v>27</v>
      </c>
      <c r="J1045" s="1"/>
      <c r="K1045" s="1" t="s">
        <v>2854</v>
      </c>
      <c r="L1045" s="1" t="s">
        <v>27</v>
      </c>
      <c r="M1045" s="1"/>
      <c r="N1045" s="1" t="s">
        <v>2737</v>
      </c>
      <c r="O1045" s="1" t="s">
        <v>19</v>
      </c>
      <c r="P1045" s="1" t="s">
        <v>18</v>
      </c>
      <c r="Q1045" s="1" t="s">
        <v>20</v>
      </c>
      <c r="R1045" s="1"/>
      <c r="S1045" s="1"/>
      <c r="T1045" s="1"/>
    </row>
    <row r="1046" spans="1:20">
      <c r="A1046" s="1" t="s">
        <v>2858</v>
      </c>
      <c r="B1046" s="1" t="str" cm="1">
        <f t="array" ref="B1046">IF(A1046="","",_xlfn.IFS(COUNTIF($U:$U,A1046)&gt;0,"All uploaded",COUNTIF($V:$V,A1046)&gt;0,"Partly uploaded",COUNTIF($W:$X,A1046)&gt;0,"Not uploaded",TRUE,"Not classified"))</f>
        <v>Not uploaded</v>
      </c>
      <c r="C1046" s="1" t="str" cm="1">
        <f t="array" ref="C1046">_xlfn.SWITCH(TRIM(I1046),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46" s="1"/>
      <c r="E1046" s="1"/>
      <c r="F1046" s="1" t="str" cm="1">
        <f t="array" ref="F1046">_xlfn.LET(
_xlpm.status,UPPER(TRIM(B1046&amp;"")),
_xlpm.risk,UPPER(TRIM(C1046&amp;"")),
_xlpm.notify,UPPER(TRIM(D1046&amp;"")),
_xlpm.form,UPPER(TRIM(E1046&amp;"")),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46" s="1" t="str">
        <f t="shared" si="16"/>
        <v>Required</v>
      </c>
      <c r="H1046" s="5"/>
      <c r="I1046" s="1" t="s">
        <v>27</v>
      </c>
      <c r="J1046" s="1"/>
      <c r="K1046" s="1" t="s">
        <v>2854</v>
      </c>
      <c r="L1046" s="1" t="s">
        <v>27</v>
      </c>
      <c r="M1046" s="1"/>
      <c r="N1046" s="1" t="s">
        <v>2859</v>
      </c>
      <c r="O1046" s="1" t="s">
        <v>19</v>
      </c>
      <c r="P1046" s="1" t="s">
        <v>18</v>
      </c>
      <c r="Q1046" s="1" t="s">
        <v>20</v>
      </c>
      <c r="R1046" s="1"/>
      <c r="S1046" s="1"/>
      <c r="T1046" s="1"/>
    </row>
    <row r="1047" spans="1:20">
      <c r="A1047" s="1" t="s">
        <v>2861</v>
      </c>
      <c r="B1047" s="1" t="str" cm="1">
        <f t="array" ref="B1047">IF(A1047="","",_xlfn.IFS(COUNTIF($U:$U,A1047)&gt;0,"All uploaded",COUNTIF($V:$V,A1047)&gt;0,"Partly uploaded",COUNTIF($W:$X,A1047)&gt;0,"Not uploaded",TRUE,"Not classified"))</f>
        <v>Not uploaded</v>
      </c>
      <c r="C1047" s="1" t="str" cm="1">
        <f t="array" ref="C1047">_xlfn.SWITCH(TRIM(I1047),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47" s="1"/>
      <c r="E1047" s="1"/>
      <c r="F1047" s="1" t="str" cm="1">
        <f t="array" ref="F1047">_xlfn.LET(
_xlpm.status,UPPER(TRIM(B1047&amp;"")),
_xlpm.risk,UPPER(TRIM(C1047&amp;"")),
_xlpm.notify,UPPER(TRIM(D1047&amp;"")),
_xlpm.form,UPPER(TRIM(E1047&amp;"")),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47" s="1" t="str">
        <f t="shared" si="16"/>
        <v>Required</v>
      </c>
      <c r="H1047" s="5"/>
      <c r="I1047" s="1" t="s">
        <v>25</v>
      </c>
      <c r="J1047" s="1"/>
      <c r="K1047" s="1" t="s">
        <v>2860</v>
      </c>
      <c r="L1047" s="1" t="s">
        <v>25</v>
      </c>
      <c r="M1047" s="1"/>
      <c r="N1047" s="1" t="s">
        <v>2862</v>
      </c>
      <c r="O1047" s="1" t="s">
        <v>19</v>
      </c>
      <c r="P1047" s="1" t="s">
        <v>18</v>
      </c>
      <c r="Q1047" s="1" t="s">
        <v>20</v>
      </c>
      <c r="R1047" s="1"/>
      <c r="S1047" s="1"/>
      <c r="T1047" s="1"/>
    </row>
    <row r="1048" spans="1:20">
      <c r="A1048" s="1" t="s">
        <v>2863</v>
      </c>
      <c r="B1048" s="1" t="str" cm="1">
        <f t="array" ref="B1048">IF(A1048="","",_xlfn.IFS(COUNTIF($U:$U,A1048)&gt;0,"All uploaded",COUNTIF($V:$V,A1048)&gt;0,"Partly uploaded",COUNTIF($W:$X,A1048)&gt;0,"Not uploaded",TRUE,"Not classified"))</f>
        <v>Partly uploaded</v>
      </c>
      <c r="C1048" s="1" t="str" cm="1">
        <f t="array" ref="C1048">_xlfn.SWITCH(TRIM(I1048),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48" s="1"/>
      <c r="E1048" s="1"/>
      <c r="F1048" s="1" t="str" cm="1">
        <f t="array" ref="F1048">_xlfn.LET(
_xlpm.status,UPPER(TRIM(B1048&amp;"")),
_xlpm.risk,UPPER(TRIM(C1048&amp;"")),
_xlpm.notify,UPPER(TRIM(D1048&amp;"")),
_xlpm.form,UPPER(TRIM(E1048&amp;"")),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48" s="1" t="str">
        <f t="shared" si="16"/>
        <v>Required</v>
      </c>
      <c r="H1048" s="5"/>
      <c r="I1048" s="1" t="s">
        <v>25</v>
      </c>
      <c r="J1048" s="1"/>
      <c r="K1048" s="1" t="s">
        <v>2860</v>
      </c>
      <c r="L1048" s="1" t="s">
        <v>25</v>
      </c>
      <c r="M1048" s="1"/>
      <c r="N1048" s="1" t="s">
        <v>2864</v>
      </c>
      <c r="O1048" s="1" t="s">
        <v>19</v>
      </c>
      <c r="P1048" s="1" t="s">
        <v>18</v>
      </c>
      <c r="Q1048" s="1" t="s">
        <v>20</v>
      </c>
      <c r="R1048" s="1"/>
      <c r="S1048" s="1"/>
      <c r="T1048" s="1"/>
    </row>
    <row r="1049" spans="1:20">
      <c r="A1049" s="1" t="s">
        <v>2869</v>
      </c>
      <c r="B1049" s="1" t="str" cm="1">
        <f t="array" ref="B1049">IF(A1049="","",_xlfn.IFS(COUNTIF($U:$U,A1049)&gt;0,"All uploaded",COUNTIF($V:$V,A1049)&gt;0,"Partly uploaded",COUNTIF($W:$X,A1049)&gt;0,"Not uploaded",TRUE,"Not classified"))</f>
        <v>Not uploaded</v>
      </c>
      <c r="C1049" s="1" t="str" cm="1">
        <f t="array" ref="C1049">_xlfn.SWITCH(TRIM(I1049),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49" s="1"/>
      <c r="E1049" s="1"/>
      <c r="F1049" s="1" t="str" cm="1">
        <f t="array" ref="F1049">_xlfn.LET(
_xlpm.status,UPPER(TRIM(B1049&amp;"")),
_xlpm.risk,UPPER(TRIM(C1049&amp;"")),
_xlpm.notify,UPPER(TRIM(D1049&amp;"")),
_xlpm.form,UPPER(TRIM(E1049&amp;"")),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49" s="1" t="str">
        <f t="shared" si="16"/>
        <v>Required</v>
      </c>
      <c r="H1049" s="5"/>
      <c r="I1049" s="1" t="s">
        <v>27</v>
      </c>
      <c r="J1049" s="1"/>
      <c r="K1049" s="1" t="s">
        <v>2860</v>
      </c>
      <c r="L1049" s="1" t="s">
        <v>27</v>
      </c>
      <c r="M1049" s="1"/>
      <c r="N1049" s="1" t="s">
        <v>2599</v>
      </c>
      <c r="O1049" s="1" t="s">
        <v>19</v>
      </c>
      <c r="P1049" s="1" t="s">
        <v>18</v>
      </c>
      <c r="Q1049" s="1" t="s">
        <v>20</v>
      </c>
      <c r="R1049" s="1"/>
      <c r="S1049" s="1"/>
      <c r="T1049" s="1"/>
    </row>
    <row r="1050" spans="1:20">
      <c r="A1050" s="1" t="s">
        <v>2870</v>
      </c>
      <c r="B1050" s="1" t="str" cm="1">
        <f t="array" ref="B1050">IF(A1050="","",_xlfn.IFS(COUNTIF($U:$U,A1050)&gt;0,"All uploaded",COUNTIF($V:$V,A1050)&gt;0,"Partly uploaded",COUNTIF($W:$X,A1050)&gt;0,"Not uploaded",TRUE,"Not classified"))</f>
        <v>Not uploaded</v>
      </c>
      <c r="C1050" s="1" t="str" cm="1">
        <f t="array" ref="C1050">_xlfn.SWITCH(TRIM(I1050),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50" s="1"/>
      <c r="E1050" s="1"/>
      <c r="F1050" s="1" t="str" cm="1">
        <f t="array" ref="F1050">_xlfn.LET(
_xlpm.status,UPPER(TRIM(B1050&amp;"")),
_xlpm.risk,UPPER(TRIM(C1050&amp;"")),
_xlpm.notify,UPPER(TRIM(D1050&amp;"")),
_xlpm.form,UPPER(TRIM(E1050&amp;"")),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50" s="1" t="str">
        <f t="shared" si="16"/>
        <v>Required</v>
      </c>
      <c r="H1050" s="5"/>
      <c r="I1050" s="1" t="s">
        <v>27</v>
      </c>
      <c r="J1050" s="1"/>
      <c r="K1050" s="1" t="s">
        <v>2860</v>
      </c>
      <c r="L1050" s="1" t="s">
        <v>27</v>
      </c>
      <c r="M1050" s="1"/>
      <c r="N1050" s="1" t="s">
        <v>2871</v>
      </c>
      <c r="O1050" s="1" t="s">
        <v>19</v>
      </c>
      <c r="P1050" s="1" t="s">
        <v>18</v>
      </c>
      <c r="Q1050" s="1" t="s">
        <v>20</v>
      </c>
      <c r="R1050" s="1"/>
      <c r="S1050" s="1"/>
      <c r="T1050" s="1"/>
    </row>
    <row r="1051" spans="1:20">
      <c r="A1051" s="1" t="s">
        <v>2872</v>
      </c>
      <c r="B1051" s="1" t="str" cm="1">
        <f t="array" ref="B1051">IF(A1051="","",_xlfn.IFS(COUNTIF($U:$U,A1051)&gt;0,"All uploaded",COUNTIF($V:$V,A1051)&gt;0,"Partly uploaded",COUNTIF($W:$X,A1051)&gt;0,"Not uploaded",TRUE,"Not classified"))</f>
        <v>Not uploaded</v>
      </c>
      <c r="C1051" s="1" t="str" cm="1">
        <f t="array" ref="C1051">_xlfn.SWITCH(TRIM(I1051),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51" s="1"/>
      <c r="E1051" s="1"/>
      <c r="F1051" s="1" t="str" cm="1">
        <f t="array" ref="F1051">_xlfn.LET(
_xlpm.status,UPPER(TRIM(B1051&amp;"")),
_xlpm.risk,UPPER(TRIM(C1051&amp;"")),
_xlpm.notify,UPPER(TRIM(D1051&amp;"")),
_xlpm.form,UPPER(TRIM(E1051&amp;"")),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51" s="1" t="str">
        <f t="shared" si="16"/>
        <v>Required</v>
      </c>
      <c r="H1051" s="5"/>
      <c r="I1051" s="1" t="s">
        <v>27</v>
      </c>
      <c r="J1051" s="1"/>
      <c r="K1051" s="1" t="s">
        <v>2860</v>
      </c>
      <c r="L1051" s="1" t="s">
        <v>27</v>
      </c>
      <c r="M1051" s="1"/>
      <c r="N1051" s="1" t="s">
        <v>2873</v>
      </c>
      <c r="O1051" s="1" t="s">
        <v>19</v>
      </c>
      <c r="P1051" s="1" t="s">
        <v>18</v>
      </c>
      <c r="Q1051" s="1" t="s">
        <v>20</v>
      </c>
      <c r="R1051" s="1"/>
      <c r="S1051" s="1"/>
      <c r="T1051" s="1"/>
    </row>
    <row r="1052" spans="1:20">
      <c r="A1052" s="1" t="s">
        <v>2874</v>
      </c>
      <c r="B1052" s="1" t="str" cm="1">
        <f t="array" ref="B1052">IF(A1052="","",_xlfn.IFS(COUNTIF($U:$U,A1052)&gt;0,"All uploaded",COUNTIF($V:$V,A1052)&gt;0,"Partly uploaded",COUNTIF($W:$X,A1052)&gt;0,"Not uploaded",TRUE,"Not classified"))</f>
        <v>Not uploaded</v>
      </c>
      <c r="C1052" s="1" t="str" cm="1">
        <f t="array" ref="C1052">_xlfn.SWITCH(TRIM(I1052),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52" s="1"/>
      <c r="E1052" s="1"/>
      <c r="F1052" s="1" t="str" cm="1">
        <f t="array" ref="F1052">_xlfn.LET(
_xlpm.status,UPPER(TRIM(B1052&amp;"")),
_xlpm.risk,UPPER(TRIM(C1052&amp;"")),
_xlpm.notify,UPPER(TRIM(D1052&amp;"")),
_xlpm.form,UPPER(TRIM(E1052&amp;"")),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52" s="1" t="str">
        <f t="shared" si="16"/>
        <v>Required</v>
      </c>
      <c r="H1052" s="5"/>
      <c r="I1052" s="1" t="s">
        <v>27</v>
      </c>
      <c r="J1052" s="1"/>
      <c r="K1052" s="1" t="s">
        <v>2860</v>
      </c>
      <c r="L1052" s="1" t="s">
        <v>27</v>
      </c>
      <c r="M1052" s="1"/>
      <c r="N1052" s="1" t="s">
        <v>2875</v>
      </c>
      <c r="O1052" s="1" t="s">
        <v>19</v>
      </c>
      <c r="P1052" s="1" t="s">
        <v>18</v>
      </c>
      <c r="Q1052" s="1" t="s">
        <v>20</v>
      </c>
      <c r="R1052" s="1"/>
      <c r="S1052" s="1"/>
      <c r="T1052" s="1"/>
    </row>
    <row r="1053" spans="1:20">
      <c r="A1053" s="1" t="s">
        <v>2876</v>
      </c>
      <c r="B1053" s="1" t="str" cm="1">
        <f t="array" ref="B1053">IF(A1053="","",_xlfn.IFS(COUNTIF($U:$U,A1053)&gt;0,"All uploaded",COUNTIF($V:$V,A1053)&gt;0,"Partly uploaded",COUNTIF($W:$X,A1053)&gt;0,"Not uploaded",TRUE,"Not classified"))</f>
        <v>Not uploaded</v>
      </c>
      <c r="C1053" s="1" t="str" cm="1">
        <f t="array" ref="C1053">_xlfn.SWITCH(TRIM(I1053),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53" s="1"/>
      <c r="E1053" s="1"/>
      <c r="F1053" s="1" t="str" cm="1">
        <f t="array" ref="F1053">_xlfn.LET(
_xlpm.status,UPPER(TRIM(B1053&amp;"")),
_xlpm.risk,UPPER(TRIM(C1053&amp;"")),
_xlpm.notify,UPPER(TRIM(D1053&amp;"")),
_xlpm.form,UPPER(TRIM(E1053&amp;"")),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53" s="1" t="str">
        <f t="shared" si="16"/>
        <v>NA</v>
      </c>
      <c r="H1053" s="5"/>
      <c r="I1053" s="1" t="s">
        <v>23</v>
      </c>
      <c r="J1053" s="1"/>
      <c r="K1053" s="1" t="s">
        <v>2860</v>
      </c>
      <c r="L1053" s="1" t="s">
        <v>23</v>
      </c>
      <c r="M1053" s="1"/>
      <c r="N1053" s="1" t="s">
        <v>2877</v>
      </c>
      <c r="O1053" s="1" t="s">
        <v>19</v>
      </c>
      <c r="P1053" s="1" t="s">
        <v>18</v>
      </c>
      <c r="Q1053" s="1" t="s">
        <v>20</v>
      </c>
      <c r="R1053" s="1"/>
      <c r="S1053" s="1"/>
      <c r="T1053" s="1"/>
    </row>
    <row r="1054" spans="1:20">
      <c r="A1054" s="1" t="s">
        <v>2878</v>
      </c>
      <c r="B1054" s="1" t="str" cm="1">
        <f t="array" ref="B1054">IF(A1054="","",_xlfn.IFS(COUNTIF($U:$U,A1054)&gt;0,"All uploaded",COUNTIF($V:$V,A1054)&gt;0,"Partly uploaded",COUNTIF($W:$X,A1054)&gt;0,"Not uploaded",TRUE,"Not classified"))</f>
        <v>Not uploaded</v>
      </c>
      <c r="C1054" s="1" t="str" cm="1">
        <f t="array" ref="C1054">_xlfn.SWITCH(TRIM(I1054),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54" s="1"/>
      <c r="E1054" s="1"/>
      <c r="F1054" s="1" t="str" cm="1">
        <f t="array" ref="F1054">_xlfn.LET(
_xlpm.status,UPPER(TRIM(B1054&amp;"")),
_xlpm.risk,UPPER(TRIM(C1054&amp;"")),
_xlpm.notify,UPPER(TRIM(D1054&amp;"")),
_xlpm.form,UPPER(TRIM(E1054&amp;"")),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54" s="1" t="str">
        <f t="shared" si="16"/>
        <v>Required</v>
      </c>
      <c r="H1054" s="5"/>
      <c r="I1054" s="1" t="s">
        <v>25</v>
      </c>
      <c r="J1054" s="1"/>
      <c r="K1054" s="1" t="s">
        <v>2860</v>
      </c>
      <c r="L1054" s="1" t="s">
        <v>25</v>
      </c>
      <c r="M1054" s="1"/>
      <c r="N1054" s="1" t="s">
        <v>2879</v>
      </c>
      <c r="O1054" s="1" t="s">
        <v>19</v>
      </c>
      <c r="P1054" s="1" t="s">
        <v>18</v>
      </c>
      <c r="Q1054" s="1" t="s">
        <v>20</v>
      </c>
      <c r="R1054" s="1"/>
      <c r="S1054" s="1"/>
      <c r="T1054" s="1"/>
    </row>
    <row r="1055" spans="1:20">
      <c r="A1055" s="1" t="s">
        <v>2887</v>
      </c>
      <c r="B1055" s="1" t="str" cm="1">
        <f t="array" ref="B1055">IF(A1055="","",_xlfn.IFS(COUNTIF($U:$U,A1055)&gt;0,"All uploaded",COUNTIF($V:$V,A1055)&gt;0,"Partly uploaded",COUNTIF($W:$X,A1055)&gt;0,"Not uploaded",TRUE,"Not classified"))</f>
        <v>Partly uploaded</v>
      </c>
      <c r="C1055" s="1" t="str" cm="1">
        <f t="array" ref="C1055">_xlfn.SWITCH(TRIM(I1055),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55" s="1"/>
      <c r="E1055" s="1"/>
      <c r="F1055" s="1" t="str" cm="1">
        <f t="array" ref="F1055">_xlfn.LET(
_xlpm.status,UPPER(TRIM(B1055&amp;"")),
_xlpm.risk,UPPER(TRIM(C1055&amp;"")),
_xlpm.notify,UPPER(TRIM(D1055&amp;"")),
_xlpm.form,UPPER(TRIM(E1055&amp;"")),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55" s="1" t="str">
        <f t="shared" si="16"/>
        <v>NA</v>
      </c>
      <c r="H1055" s="5"/>
      <c r="I1055" s="1" t="s">
        <v>22</v>
      </c>
      <c r="J1055" s="1"/>
      <c r="K1055" s="1" t="s">
        <v>2886</v>
      </c>
      <c r="L1055" s="1" t="s">
        <v>22</v>
      </c>
      <c r="M1055" s="1"/>
      <c r="N1055" s="1" t="s">
        <v>51</v>
      </c>
      <c r="O1055" s="1" t="s">
        <v>19</v>
      </c>
      <c r="P1055" s="1" t="s">
        <v>18</v>
      </c>
      <c r="Q1055" s="1" t="s">
        <v>20</v>
      </c>
      <c r="R1055" s="1"/>
      <c r="S1055" s="1"/>
      <c r="T1055" s="1"/>
    </row>
    <row r="1056" spans="1:20">
      <c r="A1056" s="1" t="s">
        <v>2892</v>
      </c>
      <c r="B1056" s="1" t="str" cm="1">
        <f t="array" ref="B1056">IF(A1056="","",_xlfn.IFS(COUNTIF($U:$U,A1056)&gt;0,"All uploaded",COUNTIF($V:$V,A1056)&gt;0,"Partly uploaded",COUNTIF($W:$X,A1056)&gt;0,"Not uploaded",TRUE,"Not classified"))</f>
        <v>Partly uploaded</v>
      </c>
      <c r="C1056" s="1" t="str" cm="1">
        <f t="array" ref="C1056">_xlfn.SWITCH(TRIM(I1056),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56" s="1"/>
      <c r="E1056" s="1"/>
      <c r="F1056" s="1" t="str" cm="1">
        <f t="array" ref="F1056">_xlfn.LET(
_xlpm.status,UPPER(TRIM(B1056&amp;"")),
_xlpm.risk,UPPER(TRIM(C1056&amp;"")),
_xlpm.notify,UPPER(TRIM(D1056&amp;"")),
_xlpm.form,UPPER(TRIM(E1056&amp;"")),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56" s="1" t="str">
        <f t="shared" si="16"/>
        <v>Required</v>
      </c>
      <c r="H1056" s="5"/>
      <c r="I1056" s="1" t="s">
        <v>10</v>
      </c>
      <c r="J1056" s="1"/>
      <c r="K1056" s="1" t="s">
        <v>2891</v>
      </c>
      <c r="L1056" s="1" t="s">
        <v>10</v>
      </c>
      <c r="M1056" s="1"/>
      <c r="N1056" s="1" t="s">
        <v>51</v>
      </c>
      <c r="O1056" s="1" t="s">
        <v>19</v>
      </c>
      <c r="P1056" s="1" t="s">
        <v>18</v>
      </c>
      <c r="Q1056" s="1" t="s">
        <v>20</v>
      </c>
      <c r="R1056" s="1"/>
      <c r="S1056" s="1"/>
      <c r="T1056" s="1"/>
    </row>
    <row r="1057" spans="1:20">
      <c r="A1057" s="1" t="s">
        <v>2893</v>
      </c>
      <c r="B1057" s="1" t="str" cm="1">
        <f t="array" ref="B1057">IF(A1057="","",_xlfn.IFS(COUNTIF($U:$U,A1057)&gt;0,"All uploaded",COUNTIF($V:$V,A1057)&gt;0,"Partly uploaded",COUNTIF($W:$X,A1057)&gt;0,"Not uploaded",TRUE,"Not classified"))</f>
        <v>Not uploaded</v>
      </c>
      <c r="C1057" s="1" t="str" cm="1">
        <f t="array" ref="C1057">_xlfn.SWITCH(TRIM(I1057),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57" s="1"/>
      <c r="E1057" s="1"/>
      <c r="F1057" s="1" t="str" cm="1">
        <f t="array" ref="F1057">_xlfn.LET(
_xlpm.status,UPPER(TRIM(B1057&amp;"")),
_xlpm.risk,UPPER(TRIM(C1057&amp;"")),
_xlpm.notify,UPPER(TRIM(D1057&amp;"")),
_xlpm.form,UPPER(TRIM(E1057&amp;"")),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57" s="1" t="str">
        <f t="shared" si="16"/>
        <v>Required</v>
      </c>
      <c r="H1057" s="5"/>
      <c r="I1057" s="1" t="s">
        <v>10</v>
      </c>
      <c r="J1057" s="1"/>
      <c r="K1057" s="1" t="s">
        <v>2891</v>
      </c>
      <c r="L1057" s="1" t="s">
        <v>10</v>
      </c>
      <c r="M1057" s="1"/>
      <c r="N1057" s="1" t="s">
        <v>51</v>
      </c>
      <c r="O1057" s="1" t="s">
        <v>19</v>
      </c>
      <c r="P1057" s="1" t="s">
        <v>18</v>
      </c>
      <c r="Q1057" s="1" t="s">
        <v>20</v>
      </c>
      <c r="R1057" s="1"/>
      <c r="S1057" s="1"/>
      <c r="T1057" s="1"/>
    </row>
    <row r="1058" spans="1:20">
      <c r="A1058" s="1" t="s">
        <v>2894</v>
      </c>
      <c r="B1058" s="1" t="str" cm="1">
        <f t="array" ref="B1058">IF(A1058="","",_xlfn.IFS(COUNTIF($U:$U,A1058)&gt;0,"All uploaded",COUNTIF($V:$V,A1058)&gt;0,"Partly uploaded",COUNTIF($W:$X,A1058)&gt;0,"Not uploaded",TRUE,"Not classified"))</f>
        <v>Not uploaded</v>
      </c>
      <c r="C1058" s="1" t="str" cm="1">
        <f t="array" ref="C1058">_xlfn.SWITCH(TRIM(I1058),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58" s="1"/>
      <c r="E1058" s="1"/>
      <c r="F1058" s="1" t="str" cm="1">
        <f t="array" ref="F1058">_xlfn.LET(
_xlpm.status,UPPER(TRIM(B1058&amp;"")),
_xlpm.risk,UPPER(TRIM(C1058&amp;"")),
_xlpm.notify,UPPER(TRIM(D1058&amp;"")),
_xlpm.form,UPPER(TRIM(E1058&amp;"")),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58" s="1" t="str">
        <f t="shared" si="16"/>
        <v>NA</v>
      </c>
      <c r="H1058" s="5"/>
      <c r="I1058" s="1" t="s">
        <v>22</v>
      </c>
      <c r="J1058" s="1"/>
      <c r="K1058" s="1" t="s">
        <v>2891</v>
      </c>
      <c r="L1058" s="1" t="s">
        <v>22</v>
      </c>
      <c r="M1058" s="1"/>
      <c r="N1058" s="1" t="s">
        <v>2895</v>
      </c>
      <c r="O1058" s="1" t="s">
        <v>19</v>
      </c>
      <c r="P1058" s="1" t="s">
        <v>18</v>
      </c>
      <c r="Q1058" s="1" t="s">
        <v>20</v>
      </c>
      <c r="R1058" s="1"/>
      <c r="S1058" s="1"/>
      <c r="T1058" s="1"/>
    </row>
    <row r="1059" spans="1:20">
      <c r="A1059" s="1" t="s">
        <v>2909</v>
      </c>
      <c r="B1059" s="1" t="str" cm="1">
        <f t="array" ref="B1059">IF(A1059="","",_xlfn.IFS(COUNTIF($U:$U,A1059)&gt;0,"All uploaded",COUNTIF($V:$V,A1059)&gt;0,"Partly uploaded",COUNTIF($W:$X,A1059)&gt;0,"Not uploaded",TRUE,"Not classified"))</f>
        <v>Not uploaded</v>
      </c>
      <c r="C1059" s="1" t="str" cm="1">
        <f t="array" ref="C1059">_xlfn.SWITCH(TRIM(I1059),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59" s="1"/>
      <c r="E1059" s="1"/>
      <c r="F1059" s="1" t="str" cm="1">
        <f t="array" ref="F1059">_xlfn.LET(
_xlpm.status,UPPER(TRIM(B1059&amp;"")),
_xlpm.risk,UPPER(TRIM(C1059&amp;"")),
_xlpm.notify,UPPER(TRIM(D1059&amp;"")),
_xlpm.form,UPPER(TRIM(E1059&amp;"")),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59" s="1" t="str">
        <f t="shared" si="16"/>
        <v>NA</v>
      </c>
      <c r="H1059" s="5"/>
      <c r="I1059" s="1" t="s">
        <v>23</v>
      </c>
      <c r="J1059" s="1"/>
      <c r="K1059" s="1" t="s">
        <v>2903</v>
      </c>
      <c r="L1059" s="1" t="s">
        <v>23</v>
      </c>
      <c r="M1059" s="1"/>
      <c r="N1059" s="1" t="s">
        <v>2910</v>
      </c>
      <c r="O1059" s="1" t="s">
        <v>19</v>
      </c>
      <c r="P1059" s="1" t="s">
        <v>18</v>
      </c>
      <c r="Q1059" s="1" t="s">
        <v>20</v>
      </c>
      <c r="R1059" s="1"/>
      <c r="S1059" s="1"/>
      <c r="T1059" s="1"/>
    </row>
    <row r="1060" spans="1:20">
      <c r="A1060" s="1" t="s">
        <v>2904</v>
      </c>
      <c r="B1060" s="1" t="str" cm="1">
        <f t="array" ref="B1060">IF(A1060="","",_xlfn.IFS(COUNTIF($U:$U,A1060)&gt;0,"All uploaded",COUNTIF($V:$V,A1060)&gt;0,"Partly uploaded",COUNTIF($W:$X,A1060)&gt;0,"Not uploaded",TRUE,"Not classified"))</f>
        <v>Partly uploaded</v>
      </c>
      <c r="C1060" s="1" t="str" cm="1">
        <f t="array" ref="C1060">_xlfn.SWITCH(TRIM(I1060),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60" s="1"/>
      <c r="E1060" s="1"/>
      <c r="F1060" s="1" t="str" cm="1">
        <f t="array" ref="F1060">_xlfn.LET(
_xlpm.status,UPPER(TRIM(B1060&amp;"")),
_xlpm.risk,UPPER(TRIM(C1060&amp;"")),
_xlpm.notify,UPPER(TRIM(D1060&amp;"")),
_xlpm.form,UPPER(TRIM(E1060&amp;"")),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60" s="1" t="str">
        <f t="shared" si="16"/>
        <v>Required</v>
      </c>
      <c r="H1060" s="5"/>
      <c r="I1060" s="1" t="s">
        <v>10</v>
      </c>
      <c r="J1060" s="1"/>
      <c r="K1060" s="1" t="s">
        <v>2903</v>
      </c>
      <c r="L1060" s="1" t="s">
        <v>10</v>
      </c>
      <c r="M1060" s="1"/>
      <c r="N1060" s="1" t="s">
        <v>51</v>
      </c>
      <c r="O1060" s="1" t="s">
        <v>19</v>
      </c>
      <c r="P1060" s="1" t="s">
        <v>18</v>
      </c>
      <c r="Q1060" s="1" t="s">
        <v>20</v>
      </c>
      <c r="R1060" s="1"/>
      <c r="S1060" s="1"/>
      <c r="T1060" s="1"/>
    </row>
    <row r="1061" spans="1:20">
      <c r="A1061" s="1" t="s">
        <v>2912</v>
      </c>
      <c r="B1061" s="1" t="str" cm="1">
        <f t="array" ref="B1061">IF(A1061="","",_xlfn.IFS(COUNTIF($U:$U,A1061)&gt;0,"All uploaded",COUNTIF($V:$V,A1061)&gt;0,"Partly uploaded",COUNTIF($W:$X,A1061)&gt;0,"Not uploaded",TRUE,"Not classified"))</f>
        <v>Partly uploaded</v>
      </c>
      <c r="C1061" s="1" t="str" cm="1">
        <f t="array" ref="C1061">_xlfn.SWITCH(TRIM(I1061),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61" s="1"/>
      <c r="E1061" s="1"/>
      <c r="F1061" s="1" t="str" cm="1">
        <f t="array" ref="F1061">_xlfn.LET(
_xlpm.status,UPPER(TRIM(B1061&amp;"")),
_xlpm.risk,UPPER(TRIM(C1061&amp;"")),
_xlpm.notify,UPPER(TRIM(D1061&amp;"")),
_xlpm.form,UPPER(TRIM(E1061&amp;"")),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61" s="1" t="str">
        <f t="shared" si="16"/>
        <v>Required</v>
      </c>
      <c r="H1061" s="5"/>
      <c r="I1061" s="1" t="s">
        <v>27</v>
      </c>
      <c r="J1061" s="1"/>
      <c r="K1061" s="1" t="s">
        <v>2911</v>
      </c>
      <c r="L1061" s="1" t="s">
        <v>27</v>
      </c>
      <c r="M1061" s="1"/>
      <c r="N1061" s="1" t="s">
        <v>2913</v>
      </c>
      <c r="O1061" s="1" t="s">
        <v>19</v>
      </c>
      <c r="P1061" s="1" t="s">
        <v>18</v>
      </c>
      <c r="Q1061" s="1" t="s">
        <v>20</v>
      </c>
      <c r="R1061" s="1"/>
      <c r="S1061" s="1"/>
      <c r="T1061" s="1"/>
    </row>
    <row r="1062" spans="1:20">
      <c r="A1062" s="1" t="s">
        <v>2919</v>
      </c>
      <c r="B1062" s="1" t="str" cm="1">
        <f t="array" ref="B1062">IF(A1062="","",_xlfn.IFS(COUNTIF($U:$U,A1062)&gt;0,"All uploaded",COUNTIF($V:$V,A1062)&gt;0,"Partly uploaded",COUNTIF($W:$X,A1062)&gt;0,"Not uploaded",TRUE,"Not classified"))</f>
        <v>Not uploaded</v>
      </c>
      <c r="C1062" s="1" t="str" cm="1">
        <f t="array" ref="C1062">_xlfn.SWITCH(TRIM(I1062),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62" s="1"/>
      <c r="E1062" s="1"/>
      <c r="F1062" s="1" t="str" cm="1">
        <f t="array" ref="F1062">_xlfn.LET(
_xlpm.status,UPPER(TRIM(B1062&amp;"")),
_xlpm.risk,UPPER(TRIM(C1062&amp;"")),
_xlpm.notify,UPPER(TRIM(D1062&amp;"")),
_xlpm.form,UPPER(TRIM(E1062&amp;"")),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62" s="1" t="str">
        <f t="shared" si="16"/>
        <v>Required</v>
      </c>
      <c r="H1062" s="5"/>
      <c r="I1062" s="1" t="s">
        <v>27</v>
      </c>
      <c r="J1062" s="1"/>
      <c r="K1062" s="1" t="s">
        <v>2918</v>
      </c>
      <c r="L1062" s="1" t="s">
        <v>27</v>
      </c>
      <c r="M1062" s="1"/>
      <c r="N1062" s="1" t="s">
        <v>2920</v>
      </c>
      <c r="O1062" s="1" t="s">
        <v>19</v>
      </c>
      <c r="P1062" s="1" t="s">
        <v>18</v>
      </c>
      <c r="Q1062" s="1" t="s">
        <v>20</v>
      </c>
      <c r="R1062" s="1"/>
      <c r="S1062" s="1"/>
      <c r="T1062" s="1"/>
    </row>
    <row r="1063" spans="1:20">
      <c r="A1063" s="1" t="s">
        <v>2921</v>
      </c>
      <c r="B1063" s="1" t="str" cm="1">
        <f t="array" ref="B1063">IF(A1063="","",_xlfn.IFS(COUNTIF($U:$U,A1063)&gt;0,"All uploaded",COUNTIF($V:$V,A1063)&gt;0,"Partly uploaded",COUNTIF($W:$X,A1063)&gt;0,"Not uploaded",TRUE,"Not classified"))</f>
        <v>Partly uploaded</v>
      </c>
      <c r="C1063" s="1" t="str" cm="1">
        <f t="array" ref="C1063">_xlfn.SWITCH(TRIM(I1063),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63" s="1"/>
      <c r="E1063" s="1"/>
      <c r="F1063" s="1" t="str" cm="1">
        <f t="array" ref="F1063">_xlfn.LET(
_xlpm.status,UPPER(TRIM(B1063&amp;"")),
_xlpm.risk,UPPER(TRIM(C1063&amp;"")),
_xlpm.notify,UPPER(TRIM(D1063&amp;"")),
_xlpm.form,UPPER(TRIM(E1063&amp;"")),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63" s="1" t="str">
        <f t="shared" si="16"/>
        <v>NA</v>
      </c>
      <c r="H1063" s="5"/>
      <c r="I1063" s="1" t="s">
        <v>22</v>
      </c>
      <c r="J1063" s="1"/>
      <c r="K1063" s="1" t="s">
        <v>2918</v>
      </c>
      <c r="L1063" s="1" t="s">
        <v>22</v>
      </c>
      <c r="M1063" s="1"/>
      <c r="N1063" s="1" t="s">
        <v>2922</v>
      </c>
      <c r="O1063" s="1" t="s">
        <v>19</v>
      </c>
      <c r="P1063" s="1" t="s">
        <v>18</v>
      </c>
      <c r="Q1063" s="1" t="s">
        <v>20</v>
      </c>
      <c r="R1063" s="1"/>
      <c r="S1063" s="1"/>
      <c r="T1063" s="1"/>
    </row>
    <row r="1064" spans="1:20">
      <c r="A1064" s="1" t="s">
        <v>2923</v>
      </c>
      <c r="B1064" s="1" t="str" cm="1">
        <f t="array" ref="B1064">IF(A1064="","",_xlfn.IFS(COUNTIF($U:$U,A1064)&gt;0,"All uploaded",COUNTIF($V:$V,A1064)&gt;0,"Partly uploaded",COUNTIF($W:$X,A1064)&gt;0,"Not uploaded",TRUE,"Not classified"))</f>
        <v>Not uploaded</v>
      </c>
      <c r="C1064" s="1" t="str" cm="1">
        <f t="array" ref="C1064">_xlfn.SWITCH(TRIM(I1064),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64" s="1"/>
      <c r="E1064" s="1"/>
      <c r="F1064" s="1" t="str" cm="1">
        <f t="array" ref="F1064">_xlfn.LET(
_xlpm.status,UPPER(TRIM(B1064&amp;"")),
_xlpm.risk,UPPER(TRIM(C1064&amp;"")),
_xlpm.notify,UPPER(TRIM(D1064&amp;"")),
_xlpm.form,UPPER(TRIM(E1064&amp;"")),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64" s="1" t="str">
        <f t="shared" si="16"/>
        <v>Required</v>
      </c>
      <c r="H1064" s="5"/>
      <c r="I1064" s="1" t="s">
        <v>27</v>
      </c>
      <c r="J1064" s="1"/>
      <c r="K1064" s="1" t="s">
        <v>2918</v>
      </c>
      <c r="L1064" s="1" t="s">
        <v>27</v>
      </c>
      <c r="M1064" s="1"/>
      <c r="N1064" s="1" t="s">
        <v>2924</v>
      </c>
      <c r="O1064" s="1" t="s">
        <v>19</v>
      </c>
      <c r="P1064" s="1" t="s">
        <v>18</v>
      </c>
      <c r="Q1064" s="1" t="s">
        <v>20</v>
      </c>
      <c r="R1064" s="1"/>
      <c r="S1064" s="1"/>
      <c r="T1064" s="1"/>
    </row>
    <row r="1065" spans="1:20">
      <c r="A1065" s="1" t="s">
        <v>2935</v>
      </c>
      <c r="B1065" s="1" t="str" cm="1">
        <f t="array" ref="B1065">IF(A1065="","",_xlfn.IFS(COUNTIF($U:$U,A1065)&gt;0,"All uploaded",COUNTIF($V:$V,A1065)&gt;0,"Partly uploaded",COUNTIF($W:$X,A1065)&gt;0,"Not uploaded",TRUE,"Not classified"))</f>
        <v>Not uploaded</v>
      </c>
      <c r="C1065" s="1" t="str" cm="1">
        <f t="array" ref="C1065">_xlfn.SWITCH(TRIM(I1065),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65" s="1"/>
      <c r="E1065" s="1"/>
      <c r="F1065" s="1" t="str" cm="1">
        <f t="array" ref="F1065">_xlfn.LET(
_xlpm.status,UPPER(TRIM(B1065&amp;"")),
_xlpm.risk,UPPER(TRIM(C1065&amp;"")),
_xlpm.notify,UPPER(TRIM(D1065&amp;"")),
_xlpm.form,UPPER(TRIM(E1065&amp;"")),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65" s="1" t="str">
        <f t="shared" si="16"/>
        <v>NA</v>
      </c>
      <c r="H1065" s="5"/>
      <c r="I1065" s="1" t="s">
        <v>22</v>
      </c>
      <c r="J1065" s="1"/>
      <c r="K1065" s="1" t="s">
        <v>2928</v>
      </c>
      <c r="L1065" s="1" t="s">
        <v>22</v>
      </c>
      <c r="M1065" s="1"/>
      <c r="N1065" s="1" t="s">
        <v>2936</v>
      </c>
      <c r="O1065" s="1" t="s">
        <v>19</v>
      </c>
      <c r="P1065" s="1" t="s">
        <v>18</v>
      </c>
      <c r="Q1065" s="1" t="s">
        <v>20</v>
      </c>
      <c r="R1065" s="1"/>
      <c r="S1065" s="1"/>
      <c r="T1065" s="1"/>
    </row>
    <row r="1066" spans="1:20">
      <c r="A1066" s="1" t="s">
        <v>2938</v>
      </c>
      <c r="B1066" s="1" t="str" cm="1">
        <f t="array" ref="B1066">IF(A1066="","",_xlfn.IFS(COUNTIF($U:$U,A1066)&gt;0,"All uploaded",COUNTIF($V:$V,A1066)&gt;0,"Partly uploaded",COUNTIF($W:$X,A1066)&gt;0,"Not uploaded",TRUE,"Not classified"))</f>
        <v>Partly uploaded</v>
      </c>
      <c r="C1066" s="1" t="str" cm="1">
        <f t="array" ref="C1066">_xlfn.SWITCH(TRIM(I1066),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66" s="1"/>
      <c r="E1066" s="1"/>
      <c r="F1066" s="1" t="str" cm="1">
        <f t="array" ref="F1066">_xlfn.LET(
_xlpm.status,UPPER(TRIM(B1066&amp;"")),
_xlpm.risk,UPPER(TRIM(C1066&amp;"")),
_xlpm.notify,UPPER(TRIM(D1066&amp;"")),
_xlpm.form,UPPER(TRIM(E1066&amp;"")),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66" s="1" t="str">
        <f t="shared" si="16"/>
        <v>NA</v>
      </c>
      <c r="H1066" s="5"/>
      <c r="I1066" s="1" t="s">
        <v>22</v>
      </c>
      <c r="J1066" s="1"/>
      <c r="K1066" s="1" t="s">
        <v>2937</v>
      </c>
      <c r="L1066" s="1" t="s">
        <v>22</v>
      </c>
      <c r="M1066" s="1"/>
      <c r="N1066" s="1" t="s">
        <v>2939</v>
      </c>
      <c r="O1066" s="1" t="s">
        <v>19</v>
      </c>
      <c r="P1066" s="1" t="s">
        <v>18</v>
      </c>
      <c r="Q1066" s="1" t="s">
        <v>20</v>
      </c>
      <c r="R1066" s="1"/>
      <c r="S1066" s="1"/>
      <c r="T1066" s="1"/>
    </row>
    <row r="1067" spans="1:20">
      <c r="A1067" s="1" t="s">
        <v>2948</v>
      </c>
      <c r="B1067" s="1" t="str" cm="1">
        <f t="array" ref="B1067">IF(A1067="","",_xlfn.IFS(COUNTIF($U:$U,A1067)&gt;0,"All uploaded",COUNTIF($V:$V,A1067)&gt;0,"Partly uploaded",COUNTIF($W:$X,A1067)&gt;0,"Not uploaded",TRUE,"Not classified"))</f>
        <v>Not uploaded</v>
      </c>
      <c r="C1067" s="1" t="str" cm="1">
        <f t="array" ref="C1067">_xlfn.SWITCH(TRIM(I1067),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67" s="1"/>
      <c r="E1067" s="1"/>
      <c r="F1067" s="1" t="str" cm="1">
        <f t="array" ref="F1067">_xlfn.LET(
_xlpm.status,UPPER(TRIM(B1067&amp;"")),
_xlpm.risk,UPPER(TRIM(C1067&amp;"")),
_xlpm.notify,UPPER(TRIM(D1067&amp;"")),
_xlpm.form,UPPER(TRIM(E1067&amp;"")),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67" s="1" t="str">
        <f t="shared" si="16"/>
        <v>NA</v>
      </c>
      <c r="H1067" s="5"/>
      <c r="I1067" s="1" t="s">
        <v>50</v>
      </c>
      <c r="J1067" s="1"/>
      <c r="K1067" s="1" t="s">
        <v>2947</v>
      </c>
      <c r="L1067" s="1" t="s">
        <v>50</v>
      </c>
      <c r="M1067" s="1"/>
      <c r="N1067" s="1" t="s">
        <v>51</v>
      </c>
      <c r="O1067" s="1" t="s">
        <v>19</v>
      </c>
      <c r="P1067" s="1" t="s">
        <v>18</v>
      </c>
      <c r="Q1067" s="1" t="s">
        <v>20</v>
      </c>
      <c r="R1067" s="1"/>
      <c r="S1067" s="1"/>
      <c r="T1067" s="1"/>
    </row>
    <row r="1068" spans="1:20">
      <c r="A1068" s="1" t="s">
        <v>2950</v>
      </c>
      <c r="B1068" s="1" t="str" cm="1">
        <f t="array" ref="B1068">IF(A1068="","",_xlfn.IFS(COUNTIF($U:$U,A1068)&gt;0,"All uploaded",COUNTIF($V:$V,A1068)&gt;0,"Partly uploaded",COUNTIF($W:$X,A1068)&gt;0,"Not uploaded",TRUE,"Not classified"))</f>
        <v>Not uploaded</v>
      </c>
      <c r="C1068" s="1" t="str" cm="1">
        <f t="array" ref="C1068">_xlfn.SWITCH(TRIM(I1068),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68" s="1"/>
      <c r="E1068" s="1"/>
      <c r="F1068" s="1" t="str" cm="1">
        <f t="array" ref="F1068">_xlfn.LET(
_xlpm.status,UPPER(TRIM(B1068&amp;"")),
_xlpm.risk,UPPER(TRIM(C1068&amp;"")),
_xlpm.notify,UPPER(TRIM(D1068&amp;"")),
_xlpm.form,UPPER(TRIM(E1068&amp;"")),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68" s="1" t="str">
        <f t="shared" si="16"/>
        <v>Required</v>
      </c>
      <c r="H1068" s="5"/>
      <c r="I1068" s="1" t="s">
        <v>27</v>
      </c>
      <c r="J1068" s="1"/>
      <c r="K1068" s="1" t="s">
        <v>2949</v>
      </c>
      <c r="L1068" s="1" t="s">
        <v>27</v>
      </c>
      <c r="M1068" s="1"/>
      <c r="N1068" s="1" t="s">
        <v>2951</v>
      </c>
      <c r="O1068" s="1" t="s">
        <v>19</v>
      </c>
      <c r="P1068" s="1" t="s">
        <v>18</v>
      </c>
      <c r="Q1068" s="1" t="s">
        <v>20</v>
      </c>
      <c r="R1068" s="1"/>
      <c r="S1068" s="1"/>
      <c r="T1068" s="1"/>
    </row>
    <row r="1069" spans="1:20">
      <c r="A1069" s="1" t="s">
        <v>2958</v>
      </c>
      <c r="B1069" s="1" t="str" cm="1">
        <f t="array" ref="B1069">IF(A1069="","",_xlfn.IFS(COUNTIF($U:$U,A1069)&gt;0,"All uploaded",COUNTIF($V:$V,A1069)&gt;0,"Partly uploaded",COUNTIF($W:$X,A1069)&gt;0,"Not uploaded",TRUE,"Not classified"))</f>
        <v>Not uploaded</v>
      </c>
      <c r="C1069" s="1" t="str" cm="1">
        <f t="array" ref="C1069">_xlfn.SWITCH(TRIM(I1069),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69" s="1"/>
      <c r="E1069" s="1"/>
      <c r="F1069" s="1" t="str" cm="1">
        <f t="array" ref="F1069">_xlfn.LET(
_xlpm.status,UPPER(TRIM(B1069&amp;"")),
_xlpm.risk,UPPER(TRIM(C1069&amp;"")),
_xlpm.notify,UPPER(TRIM(D1069&amp;"")),
_xlpm.form,UPPER(TRIM(E1069&amp;"")),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69" s="1" t="str">
        <f t="shared" si="16"/>
        <v>NA</v>
      </c>
      <c r="H1069" s="5"/>
      <c r="I1069" s="1" t="s">
        <v>23</v>
      </c>
      <c r="J1069" s="1"/>
      <c r="K1069" s="1" t="s">
        <v>2952</v>
      </c>
      <c r="L1069" s="1" t="s">
        <v>23</v>
      </c>
      <c r="M1069" s="1"/>
      <c r="N1069" s="1" t="s">
        <v>2959</v>
      </c>
      <c r="O1069" s="1" t="s">
        <v>19</v>
      </c>
      <c r="P1069" s="1" t="s">
        <v>18</v>
      </c>
      <c r="Q1069" s="1" t="s">
        <v>20</v>
      </c>
      <c r="R1069" s="1"/>
      <c r="S1069" s="1"/>
      <c r="T1069" s="1"/>
    </row>
    <row r="1070" spans="1:20">
      <c r="A1070" s="1" t="s">
        <v>2961</v>
      </c>
      <c r="B1070" s="1" t="str" cm="1">
        <f t="array" ref="B1070">IF(A1070="","",_xlfn.IFS(COUNTIF($U:$U,A1070)&gt;0,"All uploaded",COUNTIF($V:$V,A1070)&gt;0,"Partly uploaded",COUNTIF($W:$X,A1070)&gt;0,"Not uploaded",TRUE,"Not classified"))</f>
        <v>Not uploaded</v>
      </c>
      <c r="C1070" s="1" t="str" cm="1">
        <f t="array" ref="C1070">_xlfn.SWITCH(TRIM(I1070),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70" s="1"/>
      <c r="E1070" s="1"/>
      <c r="F1070" s="1" t="str" cm="1">
        <f t="array" ref="F1070">_xlfn.LET(
_xlpm.status,UPPER(TRIM(B1070&amp;"")),
_xlpm.risk,UPPER(TRIM(C1070&amp;"")),
_xlpm.notify,UPPER(TRIM(D1070&amp;"")),
_xlpm.form,UPPER(TRIM(E1070&amp;"")),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70" s="1" t="str">
        <f t="shared" si="16"/>
        <v>Required</v>
      </c>
      <c r="H1070" s="5"/>
      <c r="I1070" s="1" t="s">
        <v>25</v>
      </c>
      <c r="J1070" s="1"/>
      <c r="K1070" s="1" t="s">
        <v>2960</v>
      </c>
      <c r="L1070" s="1" t="s">
        <v>25</v>
      </c>
      <c r="M1070" s="1"/>
      <c r="N1070" s="1" t="s">
        <v>1960</v>
      </c>
      <c r="O1070" s="1" t="s">
        <v>19</v>
      </c>
      <c r="P1070" s="1" t="s">
        <v>18</v>
      </c>
      <c r="Q1070" s="1" t="s">
        <v>20</v>
      </c>
      <c r="R1070" s="1"/>
      <c r="S1070" s="1"/>
      <c r="T1070" s="1"/>
    </row>
    <row r="1071" spans="1:20">
      <c r="A1071" s="1" t="s">
        <v>2962</v>
      </c>
      <c r="B1071" s="1" t="str" cm="1">
        <f t="array" ref="B1071">IF(A1071="","",_xlfn.IFS(COUNTIF($U:$U,A1071)&gt;0,"All uploaded",COUNTIF($V:$V,A1071)&gt;0,"Partly uploaded",COUNTIF($W:$X,A1071)&gt;0,"Not uploaded",TRUE,"Not classified"))</f>
        <v>Not uploaded</v>
      </c>
      <c r="C1071" s="1" t="str" cm="1">
        <f t="array" ref="C1071">_xlfn.SWITCH(TRIM(I1071),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71" s="1"/>
      <c r="E1071" s="1"/>
      <c r="F1071" s="1" t="str" cm="1">
        <f t="array" ref="F1071">_xlfn.LET(
_xlpm.status,UPPER(TRIM(B1071&amp;"")),
_xlpm.risk,UPPER(TRIM(C1071&amp;"")),
_xlpm.notify,UPPER(TRIM(D1071&amp;"")),
_xlpm.form,UPPER(TRIM(E1071&amp;"")),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71" s="1" t="str">
        <f t="shared" si="16"/>
        <v>Required</v>
      </c>
      <c r="H1071" s="5"/>
      <c r="I1071" s="1" t="s">
        <v>25</v>
      </c>
      <c r="J1071" s="1"/>
      <c r="K1071" s="1" t="s">
        <v>2960</v>
      </c>
      <c r="L1071" s="1" t="s">
        <v>25</v>
      </c>
      <c r="M1071" s="1"/>
      <c r="N1071" s="1" t="s">
        <v>2963</v>
      </c>
      <c r="O1071" s="1" t="s">
        <v>19</v>
      </c>
      <c r="P1071" s="1" t="s">
        <v>18</v>
      </c>
      <c r="Q1071" s="1" t="s">
        <v>20</v>
      </c>
      <c r="R1071" s="1"/>
      <c r="S1071" s="1"/>
      <c r="T1071" s="1"/>
    </row>
    <row r="1072" spans="1:20">
      <c r="A1072" s="1" t="s">
        <v>2964</v>
      </c>
      <c r="B1072" s="1" t="str" cm="1">
        <f t="array" ref="B1072">IF(A1072="","",_xlfn.IFS(COUNTIF($U:$U,A1072)&gt;0,"All uploaded",COUNTIF($V:$V,A1072)&gt;0,"Partly uploaded",COUNTIF($W:$X,A1072)&gt;0,"Not uploaded",TRUE,"Not classified"))</f>
        <v>Not uploaded</v>
      </c>
      <c r="C1072" s="1" t="str" cm="1">
        <f t="array" ref="C1072">_xlfn.SWITCH(TRIM(I1072),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72" s="1"/>
      <c r="E1072" s="1"/>
      <c r="F1072" s="1" t="str" cm="1">
        <f t="array" ref="F1072">_xlfn.LET(
_xlpm.status,UPPER(TRIM(B1072&amp;"")),
_xlpm.risk,UPPER(TRIM(C1072&amp;"")),
_xlpm.notify,UPPER(TRIM(D1072&amp;"")),
_xlpm.form,UPPER(TRIM(E1072&amp;"")),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72" s="1" t="str">
        <f t="shared" si="16"/>
        <v>Required</v>
      </c>
      <c r="H1072" s="5"/>
      <c r="I1072" s="1" t="s">
        <v>25</v>
      </c>
      <c r="J1072" s="1"/>
      <c r="K1072" s="1" t="s">
        <v>2960</v>
      </c>
      <c r="L1072" s="1" t="s">
        <v>25</v>
      </c>
      <c r="M1072" s="1"/>
      <c r="N1072" s="1" t="s">
        <v>2965</v>
      </c>
      <c r="O1072" s="1" t="s">
        <v>19</v>
      </c>
      <c r="P1072" s="1" t="s">
        <v>18</v>
      </c>
      <c r="Q1072" s="1" t="s">
        <v>20</v>
      </c>
      <c r="R1072" s="1"/>
      <c r="S1072" s="1"/>
      <c r="T1072" s="1"/>
    </row>
    <row r="1073" spans="1:20">
      <c r="A1073" s="1" t="s">
        <v>2966</v>
      </c>
      <c r="B1073" s="1" t="str" cm="1">
        <f t="array" ref="B1073">IF(A1073="","",_xlfn.IFS(COUNTIF($U:$U,A1073)&gt;0,"All uploaded",COUNTIF($V:$V,A1073)&gt;0,"Partly uploaded",COUNTIF($W:$X,A1073)&gt;0,"Not uploaded",TRUE,"Not classified"))</f>
        <v>Partly uploaded</v>
      </c>
      <c r="C1073" s="1" t="str" cm="1">
        <f t="array" ref="C1073">_xlfn.SWITCH(TRIM(I1073),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73" s="1"/>
      <c r="E1073" s="1"/>
      <c r="F1073" s="1" t="str" cm="1">
        <f t="array" ref="F1073">_xlfn.LET(
_xlpm.status,UPPER(TRIM(B1073&amp;"")),
_xlpm.risk,UPPER(TRIM(C1073&amp;"")),
_xlpm.notify,UPPER(TRIM(D1073&amp;"")),
_xlpm.form,UPPER(TRIM(E1073&amp;"")),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73" s="1" t="str">
        <f t="shared" si="16"/>
        <v>Required</v>
      </c>
      <c r="H1073" s="5"/>
      <c r="I1073" s="1" t="s">
        <v>25</v>
      </c>
      <c r="J1073" s="1"/>
      <c r="K1073" s="1" t="s">
        <v>2960</v>
      </c>
      <c r="L1073" s="1" t="s">
        <v>25</v>
      </c>
      <c r="M1073" s="1"/>
      <c r="N1073" s="1" t="s">
        <v>2967</v>
      </c>
      <c r="O1073" s="1" t="s">
        <v>19</v>
      </c>
      <c r="P1073" s="1" t="s">
        <v>18</v>
      </c>
      <c r="Q1073" s="1" t="s">
        <v>20</v>
      </c>
      <c r="R1073" s="1"/>
      <c r="S1073" s="1"/>
      <c r="T1073" s="1"/>
    </row>
    <row r="1074" spans="1:20">
      <c r="A1074" s="1" t="s">
        <v>2982</v>
      </c>
      <c r="B1074" s="1" t="str" cm="1">
        <f t="array" ref="B1074">IF(A1074="","",_xlfn.IFS(COUNTIF($U:$U,A1074)&gt;0,"All uploaded",COUNTIF($V:$V,A1074)&gt;0,"Partly uploaded",COUNTIF($W:$X,A1074)&gt;0,"Not uploaded",TRUE,"Not classified"))</f>
        <v>Partly uploaded</v>
      </c>
      <c r="C1074" s="1" t="str" cm="1">
        <f t="array" ref="C1074">_xlfn.SWITCH(TRIM(I1074),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74" s="1"/>
      <c r="E1074" s="1"/>
      <c r="F1074" s="1" t="str" cm="1">
        <f t="array" ref="F1074">_xlfn.LET(
_xlpm.status,UPPER(TRIM(B1074&amp;"")),
_xlpm.risk,UPPER(TRIM(C1074&amp;"")),
_xlpm.notify,UPPER(TRIM(D1074&amp;"")),
_xlpm.form,UPPER(TRIM(E1074&amp;"")),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74" s="1" t="str">
        <f t="shared" si="16"/>
        <v>NA</v>
      </c>
      <c r="H1074" s="5"/>
      <c r="I1074" s="1" t="s">
        <v>48</v>
      </c>
      <c r="J1074" s="1"/>
      <c r="K1074" s="1" t="s">
        <v>2981</v>
      </c>
      <c r="L1074" s="1" t="s">
        <v>48</v>
      </c>
      <c r="M1074" s="1"/>
      <c r="N1074" s="1" t="s">
        <v>2983</v>
      </c>
      <c r="O1074" s="1" t="s">
        <v>19</v>
      </c>
      <c r="P1074" s="1" t="s">
        <v>18</v>
      </c>
      <c r="Q1074" s="1" t="s">
        <v>20</v>
      </c>
      <c r="R1074" s="1"/>
      <c r="S1074" s="1"/>
      <c r="T1074" s="1"/>
    </row>
    <row r="1075" spans="1:20">
      <c r="A1075" s="1" t="s">
        <v>3003</v>
      </c>
      <c r="B1075" s="1" t="str" cm="1">
        <f t="array" ref="B1075">IF(A1075="","",_xlfn.IFS(COUNTIF($U:$U,A1075)&gt;0,"All uploaded",COUNTIF($V:$V,A1075)&gt;0,"Partly uploaded",COUNTIF($W:$X,A1075)&gt;0,"Not uploaded",TRUE,"Not classified"))</f>
        <v>Not uploaded</v>
      </c>
      <c r="C1075" s="1" t="str" cm="1">
        <f t="array" ref="C1075">_xlfn.SWITCH(TRIM(I1075),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75" s="1"/>
      <c r="E1075" s="1"/>
      <c r="F1075" s="1" t="str" cm="1">
        <f t="array" ref="F1075">_xlfn.LET(
_xlpm.status,UPPER(TRIM(B1075&amp;"")),
_xlpm.risk,UPPER(TRIM(C1075&amp;"")),
_xlpm.notify,UPPER(TRIM(D1075&amp;"")),
_xlpm.form,UPPER(TRIM(E1075&amp;"")),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75" s="1" t="str">
        <f t="shared" si="16"/>
        <v>Required</v>
      </c>
      <c r="H1075" s="5"/>
      <c r="I1075" s="1" t="s">
        <v>27</v>
      </c>
      <c r="J1075" s="1"/>
      <c r="K1075" s="1" t="s">
        <v>2997</v>
      </c>
      <c r="L1075" s="1" t="s">
        <v>27</v>
      </c>
      <c r="M1075" s="1"/>
      <c r="N1075" s="1" t="s">
        <v>3004</v>
      </c>
      <c r="O1075" s="1" t="s">
        <v>19</v>
      </c>
      <c r="P1075" s="1" t="s">
        <v>18</v>
      </c>
      <c r="Q1075" s="1" t="s">
        <v>20</v>
      </c>
      <c r="R1075" s="1"/>
      <c r="S1075" s="1"/>
      <c r="T1075" s="1"/>
    </row>
    <row r="1076" spans="1:20">
      <c r="A1076" s="1" t="s">
        <v>2998</v>
      </c>
      <c r="B1076" s="1" t="str" cm="1">
        <f t="array" ref="B1076">IF(A1076="","",_xlfn.IFS(COUNTIF($U:$U,A1076)&gt;0,"All uploaded",COUNTIF($V:$V,A1076)&gt;0,"Partly uploaded",COUNTIF($W:$X,A1076)&gt;0,"Not uploaded",TRUE,"Not classified"))</f>
        <v>Partly uploaded</v>
      </c>
      <c r="C1076" s="1" t="str" cm="1">
        <f t="array" ref="C1076">_xlfn.SWITCH(TRIM(I1076),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76" s="1"/>
      <c r="E1076" s="1"/>
      <c r="F1076" s="1" t="str" cm="1">
        <f t="array" ref="F1076">_xlfn.LET(
_xlpm.status,UPPER(TRIM(B1076&amp;"")),
_xlpm.risk,UPPER(TRIM(C1076&amp;"")),
_xlpm.notify,UPPER(TRIM(D1076&amp;"")),
_xlpm.form,UPPER(TRIM(E1076&amp;"")),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76" s="1" t="str">
        <f t="shared" si="16"/>
        <v>Required</v>
      </c>
      <c r="H1076" s="5"/>
      <c r="I1076" s="1" t="s">
        <v>25</v>
      </c>
      <c r="J1076" s="1"/>
      <c r="K1076" s="1" t="s">
        <v>2997</v>
      </c>
      <c r="L1076" s="1" t="s">
        <v>25</v>
      </c>
      <c r="M1076" s="1"/>
      <c r="N1076" s="1" t="s">
        <v>2965</v>
      </c>
      <c r="O1076" s="1" t="s">
        <v>19</v>
      </c>
      <c r="P1076" s="1" t="s">
        <v>18</v>
      </c>
      <c r="Q1076" s="1" t="s">
        <v>20</v>
      </c>
      <c r="R1076" s="1"/>
      <c r="S1076" s="1"/>
      <c r="T1076" s="1"/>
    </row>
    <row r="1077" spans="1:20">
      <c r="A1077" s="1" t="s">
        <v>3006</v>
      </c>
      <c r="B1077" s="1" t="str" cm="1">
        <f t="array" ref="B1077">IF(A1077="","",_xlfn.IFS(COUNTIF($U:$U,A1077)&gt;0,"All uploaded",COUNTIF($V:$V,A1077)&gt;0,"Partly uploaded",COUNTIF($W:$X,A1077)&gt;0,"Not uploaded",TRUE,"Not classified"))</f>
        <v>Not uploaded</v>
      </c>
      <c r="C1077" s="1" t="str" cm="1">
        <f t="array" ref="C1077">_xlfn.SWITCH(TRIM(I1077),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77" s="1"/>
      <c r="E1077" s="1"/>
      <c r="F1077" s="1" t="str" cm="1">
        <f t="array" ref="F1077">_xlfn.LET(
_xlpm.status,UPPER(TRIM(B1077&amp;"")),
_xlpm.risk,UPPER(TRIM(C1077&amp;"")),
_xlpm.notify,UPPER(TRIM(D1077&amp;"")),
_xlpm.form,UPPER(TRIM(E1077&amp;"")),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77" s="1" t="str">
        <f t="shared" si="16"/>
        <v>Required</v>
      </c>
      <c r="H1077" s="5"/>
      <c r="I1077" s="1" t="s">
        <v>25</v>
      </c>
      <c r="J1077" s="1"/>
      <c r="K1077" s="1" t="s">
        <v>3005</v>
      </c>
      <c r="L1077" s="1" t="s">
        <v>25</v>
      </c>
      <c r="M1077" s="1"/>
      <c r="N1077" s="1" t="s">
        <v>3007</v>
      </c>
      <c r="O1077" s="1" t="s">
        <v>19</v>
      </c>
      <c r="P1077" s="1" t="s">
        <v>18</v>
      </c>
      <c r="Q1077" s="1" t="s">
        <v>20</v>
      </c>
      <c r="R1077" s="1"/>
      <c r="S1077" s="1"/>
      <c r="T1077" s="1"/>
    </row>
    <row r="1078" spans="1:20">
      <c r="A1078" s="1" t="s">
        <v>3009</v>
      </c>
      <c r="B1078" s="1" t="str" cm="1">
        <f t="array" ref="B1078">IF(A1078="","",_xlfn.IFS(COUNTIF($U:$U,A1078)&gt;0,"All uploaded",COUNTIF($V:$V,A1078)&gt;0,"Partly uploaded",COUNTIF($W:$X,A1078)&gt;0,"Not uploaded",TRUE,"Not classified"))</f>
        <v>Partly uploaded</v>
      </c>
      <c r="C1078" s="1" t="str" cm="1">
        <f t="array" ref="C1078">_xlfn.SWITCH(TRIM(I1078),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78" s="1"/>
      <c r="E1078" s="1"/>
      <c r="F1078" s="1" t="str" cm="1">
        <f t="array" ref="F1078">_xlfn.LET(
_xlpm.status,UPPER(TRIM(B1078&amp;"")),
_xlpm.risk,UPPER(TRIM(C1078&amp;"")),
_xlpm.notify,UPPER(TRIM(D1078&amp;"")),
_xlpm.form,UPPER(TRIM(E1078&amp;"")),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78" s="1" t="str">
        <f t="shared" si="16"/>
        <v>Required</v>
      </c>
      <c r="H1078" s="5"/>
      <c r="I1078" s="1" t="s">
        <v>10</v>
      </c>
      <c r="J1078" s="1"/>
      <c r="K1078" s="1" t="s">
        <v>3008</v>
      </c>
      <c r="L1078" s="1" t="s">
        <v>10</v>
      </c>
      <c r="M1078" s="1"/>
      <c r="N1078" s="1" t="s">
        <v>3010</v>
      </c>
      <c r="O1078" s="1" t="s">
        <v>19</v>
      </c>
      <c r="P1078" s="1" t="s">
        <v>18</v>
      </c>
      <c r="Q1078" s="1" t="s">
        <v>20</v>
      </c>
      <c r="R1078" s="1"/>
      <c r="S1078" s="1"/>
      <c r="T1078" s="1"/>
    </row>
    <row r="1079" spans="1:20">
      <c r="A1079" s="1" t="s">
        <v>3020</v>
      </c>
      <c r="B1079" s="1" t="str" cm="1">
        <f t="array" ref="B1079">IF(A1079="","",_xlfn.IFS(COUNTIF($U:$U,A1079)&gt;0,"All uploaded",COUNTIF($V:$V,A1079)&gt;0,"Partly uploaded",COUNTIF($W:$X,A1079)&gt;0,"Not uploaded",TRUE,"Not classified"))</f>
        <v>Partly uploaded</v>
      </c>
      <c r="C1079" s="1" t="str" cm="1">
        <f t="array" ref="C1079">_xlfn.SWITCH(TRIM(I1079),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79" s="1"/>
      <c r="E1079" s="1"/>
      <c r="F1079" s="1" t="str" cm="1">
        <f t="array" ref="F1079">_xlfn.LET(
_xlpm.status,UPPER(TRIM(B1079&amp;"")),
_xlpm.risk,UPPER(TRIM(C1079&amp;"")),
_xlpm.notify,UPPER(TRIM(D1079&amp;"")),
_xlpm.form,UPPER(TRIM(E1079&amp;"")),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79" s="1" t="str">
        <f t="shared" si="16"/>
        <v>Required</v>
      </c>
      <c r="H1079" s="5"/>
      <c r="I1079" s="1" t="s">
        <v>10</v>
      </c>
      <c r="J1079" s="1"/>
      <c r="K1079" s="1" t="s">
        <v>3019</v>
      </c>
      <c r="L1079" s="1" t="s">
        <v>10</v>
      </c>
      <c r="M1079" s="1"/>
      <c r="N1079" s="1" t="s">
        <v>72</v>
      </c>
      <c r="O1079" s="1" t="s">
        <v>19</v>
      </c>
      <c r="P1079" s="1" t="s">
        <v>18</v>
      </c>
      <c r="Q1079" s="1" t="s">
        <v>20</v>
      </c>
      <c r="R1079" s="1"/>
      <c r="S1079" s="1"/>
      <c r="T1079" s="1"/>
    </row>
    <row r="1080" spans="1:20">
      <c r="A1080" s="1" t="s">
        <v>3026</v>
      </c>
      <c r="B1080" s="1" t="str" cm="1">
        <f t="array" ref="B1080">IF(A1080="","",_xlfn.IFS(COUNTIF($U:$U,A1080)&gt;0,"All uploaded",COUNTIF($V:$V,A1080)&gt;0,"Partly uploaded",COUNTIF($W:$X,A1080)&gt;0,"Not uploaded",TRUE,"Not classified"))</f>
        <v>Partly uploaded</v>
      </c>
      <c r="C1080" s="1" t="str" cm="1">
        <f t="array" ref="C1080">_xlfn.SWITCH(TRIM(I1080),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80" s="1"/>
      <c r="E1080" s="1"/>
      <c r="F1080" s="1" t="str" cm="1">
        <f t="array" ref="F1080">_xlfn.LET(
_xlpm.status,UPPER(TRIM(B1080&amp;"")),
_xlpm.risk,UPPER(TRIM(C1080&amp;"")),
_xlpm.notify,UPPER(TRIM(D1080&amp;"")),
_xlpm.form,UPPER(TRIM(E1080&amp;"")),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80" s="1" t="str">
        <f t="shared" si="16"/>
        <v>NA</v>
      </c>
      <c r="H1080" s="5"/>
      <c r="I1080" s="1" t="s">
        <v>22</v>
      </c>
      <c r="J1080" s="1"/>
      <c r="K1080" s="1" t="s">
        <v>3025</v>
      </c>
      <c r="L1080" s="1" t="s">
        <v>22</v>
      </c>
      <c r="M1080" s="1"/>
      <c r="N1080" s="1" t="s">
        <v>3027</v>
      </c>
      <c r="O1080" s="1" t="s">
        <v>19</v>
      </c>
      <c r="P1080" s="1" t="s">
        <v>18</v>
      </c>
      <c r="Q1080" s="1" t="s">
        <v>20</v>
      </c>
      <c r="R1080" s="1"/>
      <c r="S1080" s="1"/>
      <c r="T1080" s="1"/>
    </row>
    <row r="1081" spans="1:20">
      <c r="A1081" s="1" t="s">
        <v>3038</v>
      </c>
      <c r="B1081" s="1" t="str" cm="1">
        <f t="array" ref="B1081">IF(A1081="","",_xlfn.IFS(COUNTIF($U:$U,A1081)&gt;0,"All uploaded",COUNTIF($V:$V,A1081)&gt;0,"Partly uploaded",COUNTIF($W:$X,A1081)&gt;0,"Not uploaded",TRUE,"Not classified"))</f>
        <v>Partly uploaded</v>
      </c>
      <c r="C1081" s="1" t="str" cm="1">
        <f t="array" ref="C1081">_xlfn.SWITCH(TRIM(I1081),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81" s="1"/>
      <c r="E1081" s="1"/>
      <c r="F1081" s="1" t="str" cm="1">
        <f t="array" ref="F1081">_xlfn.LET(
_xlpm.status,UPPER(TRIM(B1081&amp;"")),
_xlpm.risk,UPPER(TRIM(C1081&amp;"")),
_xlpm.notify,UPPER(TRIM(D1081&amp;"")),
_xlpm.form,UPPER(TRIM(E1081&amp;"")),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81" s="1" t="str">
        <f t="shared" si="16"/>
        <v>NA</v>
      </c>
      <c r="H1081" s="5"/>
      <c r="I1081" s="1" t="s">
        <v>22</v>
      </c>
      <c r="J1081" s="1"/>
      <c r="K1081" s="1" t="s">
        <v>3037</v>
      </c>
      <c r="L1081" s="1" t="s">
        <v>22</v>
      </c>
      <c r="M1081" s="1"/>
      <c r="N1081" s="1" t="s">
        <v>3039</v>
      </c>
      <c r="O1081" s="1" t="s">
        <v>19</v>
      </c>
      <c r="P1081" s="1" t="s">
        <v>18</v>
      </c>
      <c r="Q1081" s="1" t="s">
        <v>20</v>
      </c>
      <c r="R1081" s="1"/>
      <c r="S1081" s="1"/>
      <c r="T1081" s="1"/>
    </row>
    <row r="1082" spans="1:20">
      <c r="A1082" s="1" t="s">
        <v>2977</v>
      </c>
      <c r="B1082" s="1" t="str" cm="1">
        <f t="array" ref="B1082">IF(A1082="","",_xlfn.IFS(COUNTIF($U:$U,A1082)&gt;0,"All uploaded",COUNTIF($V:$V,A1082)&gt;0,"Partly uploaded",COUNTIF($W:$X,A1082)&gt;0,"Not uploaded",TRUE,"Not classified"))</f>
        <v>Partly uploaded</v>
      </c>
      <c r="C1082" s="1" t="str" cm="1">
        <f t="array" ref="C1082">_xlfn.SWITCH(TRIM(I1082),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82" s="1"/>
      <c r="E1082" s="1"/>
      <c r="F1082" s="1" t="str" cm="1">
        <f t="array" ref="F1082">_xlfn.LET(
_xlpm.status,UPPER(TRIM(B1082&amp;"")),
_xlpm.risk,UPPER(TRIM(C1082&amp;"")),
_xlpm.notify,UPPER(TRIM(D1082&amp;"")),
_xlpm.form,UPPER(TRIM(E1082&amp;"")),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82" s="1" t="str">
        <f t="shared" si="16"/>
        <v>NA</v>
      </c>
      <c r="H1082" s="5"/>
      <c r="I1082" s="1" t="s">
        <v>23</v>
      </c>
      <c r="J1082" s="1"/>
      <c r="K1082" s="1" t="s">
        <v>3043</v>
      </c>
      <c r="L1082" s="1" t="s">
        <v>23</v>
      </c>
      <c r="M1082" s="1"/>
      <c r="N1082" s="1" t="s">
        <v>2656</v>
      </c>
      <c r="O1082" s="1" t="s">
        <v>19</v>
      </c>
      <c r="P1082" s="1" t="s">
        <v>18</v>
      </c>
      <c r="Q1082" s="1" t="s">
        <v>20</v>
      </c>
      <c r="R1082" s="1"/>
      <c r="S1082" s="1"/>
      <c r="T1082" s="1"/>
    </row>
    <row r="1083" spans="1:20">
      <c r="A1083" s="1" t="s">
        <v>3044</v>
      </c>
      <c r="B1083" s="1" t="str" cm="1">
        <f t="array" ref="B1083">IF(A1083="","",_xlfn.IFS(COUNTIF($U:$U,A1083)&gt;0,"All uploaded",COUNTIF($V:$V,A1083)&gt;0,"Partly uploaded",COUNTIF($W:$X,A1083)&gt;0,"Not uploaded",TRUE,"Not classified"))</f>
        <v>Not uploaded</v>
      </c>
      <c r="C1083" s="1" t="str" cm="1">
        <f t="array" ref="C1083">_xlfn.SWITCH(TRIM(I1083),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83" s="1"/>
      <c r="E1083" s="1"/>
      <c r="F1083" s="1" t="str" cm="1">
        <f t="array" ref="F1083">_xlfn.LET(
_xlpm.status,UPPER(TRIM(B1083&amp;"")),
_xlpm.risk,UPPER(TRIM(C1083&amp;"")),
_xlpm.notify,UPPER(TRIM(D1083&amp;"")),
_xlpm.form,UPPER(TRIM(E1083&amp;"")),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83" s="1" t="str">
        <f t="shared" si="16"/>
        <v>Required</v>
      </c>
      <c r="H1083" s="5"/>
      <c r="I1083" s="1" t="s">
        <v>25</v>
      </c>
      <c r="J1083" s="1"/>
      <c r="K1083" s="1" t="s">
        <v>3043</v>
      </c>
      <c r="L1083" s="1" t="s">
        <v>25</v>
      </c>
      <c r="M1083" s="1"/>
      <c r="N1083" s="1" t="s">
        <v>3045</v>
      </c>
      <c r="O1083" s="1" t="s">
        <v>19</v>
      </c>
      <c r="P1083" s="1" t="s">
        <v>18</v>
      </c>
      <c r="Q1083" s="1" t="s">
        <v>20</v>
      </c>
      <c r="R1083" s="1"/>
      <c r="S1083" s="1"/>
      <c r="T1083" s="1"/>
    </row>
    <row r="1084" spans="1:20">
      <c r="A1084" s="1" t="s">
        <v>3047</v>
      </c>
      <c r="B1084" s="1" t="str" cm="1">
        <f t="array" ref="B1084">IF(A1084="","",_xlfn.IFS(COUNTIF($U:$U,A1084)&gt;0,"All uploaded",COUNTIF($V:$V,A1084)&gt;0,"Partly uploaded",COUNTIF($W:$X,A1084)&gt;0,"Not uploaded",TRUE,"Not classified"))</f>
        <v>Not uploaded</v>
      </c>
      <c r="C1084" s="1" t="str" cm="1">
        <f t="array" ref="C1084">_xlfn.SWITCH(TRIM(I1084),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84" s="1"/>
      <c r="E1084" s="1"/>
      <c r="F1084" s="1" t="str" cm="1">
        <f t="array" ref="F1084">_xlfn.LET(
_xlpm.status,UPPER(TRIM(B1084&amp;"")),
_xlpm.risk,UPPER(TRIM(C1084&amp;"")),
_xlpm.notify,UPPER(TRIM(D1084&amp;"")),
_xlpm.form,UPPER(TRIM(E1084&amp;"")),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84" s="1" t="str">
        <f t="shared" si="16"/>
        <v>NA</v>
      </c>
      <c r="H1084" s="5"/>
      <c r="I1084" s="1" t="s">
        <v>22</v>
      </c>
      <c r="J1084" s="1"/>
      <c r="K1084" s="1" t="s">
        <v>3046</v>
      </c>
      <c r="L1084" s="1" t="s">
        <v>22</v>
      </c>
      <c r="M1084" s="1"/>
      <c r="N1084" s="1" t="s">
        <v>3048</v>
      </c>
      <c r="O1084" s="1" t="s">
        <v>19</v>
      </c>
      <c r="P1084" s="1" t="s">
        <v>18</v>
      </c>
      <c r="Q1084" s="1" t="s">
        <v>20</v>
      </c>
      <c r="R1084" s="1"/>
      <c r="S1084" s="1"/>
      <c r="T1084" s="1"/>
    </row>
    <row r="1085" spans="1:20">
      <c r="A1085" s="1" t="s">
        <v>3056</v>
      </c>
      <c r="B1085" s="1" t="str" cm="1">
        <f t="array" ref="B1085">IF(A1085="","",_xlfn.IFS(COUNTIF($U:$U,A1085)&gt;0,"All uploaded",COUNTIF($V:$V,A1085)&gt;0,"Partly uploaded",COUNTIF($W:$X,A1085)&gt;0,"Not uploaded",TRUE,"Not classified"))</f>
        <v>Not uploaded</v>
      </c>
      <c r="C1085" s="1" t="str" cm="1">
        <f t="array" ref="C1085">_xlfn.SWITCH(TRIM(I1085),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85" s="1"/>
      <c r="E1085" s="1"/>
      <c r="F1085" s="1" t="str" cm="1">
        <f t="array" ref="F1085">_xlfn.LET(
_xlpm.status,UPPER(TRIM(B1085&amp;"")),
_xlpm.risk,UPPER(TRIM(C1085&amp;"")),
_xlpm.notify,UPPER(TRIM(D1085&amp;"")),
_xlpm.form,UPPER(TRIM(E1085&amp;"")),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85" s="1" t="str">
        <f t="shared" si="16"/>
        <v>Required</v>
      </c>
      <c r="H1085" s="5"/>
      <c r="I1085" s="1" t="s">
        <v>25</v>
      </c>
      <c r="J1085" s="1"/>
      <c r="K1085" s="1" t="s">
        <v>3055</v>
      </c>
      <c r="L1085" s="1" t="s">
        <v>25</v>
      </c>
      <c r="M1085" s="1"/>
      <c r="N1085" s="1" t="s">
        <v>3057</v>
      </c>
      <c r="O1085" s="1" t="s">
        <v>19</v>
      </c>
      <c r="P1085" s="1" t="s">
        <v>18</v>
      </c>
      <c r="Q1085" s="1" t="s">
        <v>20</v>
      </c>
      <c r="R1085" s="1"/>
      <c r="S1085" s="1"/>
      <c r="T1085" s="1"/>
    </row>
    <row r="1086" spans="1:20">
      <c r="A1086" s="1" t="s">
        <v>3059</v>
      </c>
      <c r="B1086" s="1" t="str" cm="1">
        <f t="array" ref="B1086">IF(A1086="","",_xlfn.IFS(COUNTIF($U:$U,A1086)&gt;0,"All uploaded",COUNTIF($V:$V,A1086)&gt;0,"Partly uploaded",COUNTIF($W:$X,A1086)&gt;0,"Not uploaded",TRUE,"Not classified"))</f>
        <v>Not uploaded</v>
      </c>
      <c r="C1086" s="1" t="str" cm="1">
        <f t="array" ref="C1086">_xlfn.SWITCH(TRIM(I1086),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86" s="1"/>
      <c r="E1086" s="1"/>
      <c r="F1086" s="1" t="str" cm="1">
        <f t="array" ref="F1086">_xlfn.LET(
_xlpm.status,UPPER(TRIM(B1086&amp;"")),
_xlpm.risk,UPPER(TRIM(C1086&amp;"")),
_xlpm.notify,UPPER(TRIM(D1086&amp;"")),
_xlpm.form,UPPER(TRIM(E1086&amp;"")),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86" s="1" t="str">
        <f t="shared" si="16"/>
        <v>Required</v>
      </c>
      <c r="H1086" s="5"/>
      <c r="I1086" s="1" t="s">
        <v>25</v>
      </c>
      <c r="J1086" s="1"/>
      <c r="K1086" s="1" t="s">
        <v>3058</v>
      </c>
      <c r="L1086" s="1" t="s">
        <v>25</v>
      </c>
      <c r="M1086" s="1"/>
      <c r="N1086" s="1" t="s">
        <v>3060</v>
      </c>
      <c r="O1086" s="1" t="s">
        <v>19</v>
      </c>
      <c r="P1086" s="1" t="s">
        <v>18</v>
      </c>
      <c r="Q1086" s="1" t="s">
        <v>20</v>
      </c>
      <c r="R1086" s="1"/>
      <c r="S1086" s="1"/>
      <c r="T1086" s="1"/>
    </row>
    <row r="1087" spans="1:20">
      <c r="A1087" s="1" t="s">
        <v>3062</v>
      </c>
      <c r="B1087" s="1" t="str" cm="1">
        <f t="array" ref="B1087">IF(A1087="","",_xlfn.IFS(COUNTIF($U:$U,A1087)&gt;0,"All uploaded",COUNTIF($V:$V,A1087)&gt;0,"Partly uploaded",COUNTIF($W:$X,A1087)&gt;0,"Not uploaded",TRUE,"Not classified"))</f>
        <v>Partly uploaded</v>
      </c>
      <c r="C1087" s="1" t="str" cm="1">
        <f t="array" ref="C1087">_xlfn.SWITCH(TRIM(I1087),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87" s="1"/>
      <c r="E1087" s="1"/>
      <c r="F1087" s="1" t="str" cm="1">
        <f t="array" ref="F1087">_xlfn.LET(
_xlpm.status,UPPER(TRIM(B1087&amp;"")),
_xlpm.risk,UPPER(TRIM(C1087&amp;"")),
_xlpm.notify,UPPER(TRIM(D1087&amp;"")),
_xlpm.form,UPPER(TRIM(E1087&amp;"")),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87" s="1" t="str">
        <f t="shared" si="16"/>
        <v>NA</v>
      </c>
      <c r="H1087" s="5"/>
      <c r="I1087" s="1" t="s">
        <v>48</v>
      </c>
      <c r="J1087" s="1"/>
      <c r="K1087" s="1" t="s">
        <v>3061</v>
      </c>
      <c r="L1087" s="1" t="s">
        <v>48</v>
      </c>
      <c r="M1087" s="1"/>
      <c r="N1087" s="1" t="s">
        <v>3063</v>
      </c>
      <c r="O1087" s="1" t="s">
        <v>19</v>
      </c>
      <c r="P1087" s="1" t="s">
        <v>18</v>
      </c>
      <c r="Q1087" s="1" t="s">
        <v>20</v>
      </c>
      <c r="R1087" s="1"/>
      <c r="S1087" s="1"/>
      <c r="T1087" s="1"/>
    </row>
    <row r="1088" spans="1:20">
      <c r="A1088" s="1" t="s">
        <v>3069</v>
      </c>
      <c r="B1088" s="1" t="str" cm="1">
        <f t="array" ref="B1088">IF(A1088="","",_xlfn.IFS(COUNTIF($U:$U,A1088)&gt;0,"All uploaded",COUNTIF($V:$V,A1088)&gt;0,"Partly uploaded",COUNTIF($W:$X,A1088)&gt;0,"Not uploaded",TRUE,"Not classified"))</f>
        <v>Partly uploaded</v>
      </c>
      <c r="C1088" s="1" t="str" cm="1">
        <f t="array" ref="C1088">_xlfn.SWITCH(TRIM(I1088),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88" s="1"/>
      <c r="E1088" s="1"/>
      <c r="F1088" s="1" t="str" cm="1">
        <f t="array" ref="F1088">_xlfn.LET(
_xlpm.status,UPPER(TRIM(B1088&amp;"")),
_xlpm.risk,UPPER(TRIM(C1088&amp;"")),
_xlpm.notify,UPPER(TRIM(D1088&amp;"")),
_xlpm.form,UPPER(TRIM(E1088&amp;"")),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88" s="1" t="str">
        <f t="shared" si="16"/>
        <v>NA</v>
      </c>
      <c r="H1088" s="5"/>
      <c r="I1088" s="1" t="s">
        <v>23</v>
      </c>
      <c r="J1088" s="1"/>
      <c r="K1088" s="1" t="s">
        <v>3068</v>
      </c>
      <c r="L1088" s="1" t="s">
        <v>23</v>
      </c>
      <c r="M1088" s="1"/>
      <c r="N1088" s="1" t="s">
        <v>2246</v>
      </c>
      <c r="O1088" s="1" t="s">
        <v>19</v>
      </c>
      <c r="P1088" s="1" t="s">
        <v>18</v>
      </c>
      <c r="Q1088" s="1" t="s">
        <v>20</v>
      </c>
      <c r="R1088" s="1"/>
      <c r="S1088" s="1"/>
      <c r="T1088" s="1"/>
    </row>
    <row r="1089" spans="1:20">
      <c r="A1089" s="1" t="s">
        <v>3081</v>
      </c>
      <c r="B1089" s="1" t="str" cm="1">
        <f t="array" ref="B1089">IF(A1089="","",_xlfn.IFS(COUNTIF($U:$U,A1089)&gt;0,"All uploaded",COUNTIF($V:$V,A1089)&gt;0,"Partly uploaded",COUNTIF($W:$X,A1089)&gt;0,"Not uploaded",TRUE,"Not classified"))</f>
        <v>Partly uploaded</v>
      </c>
      <c r="C1089" s="1" t="str" cm="1">
        <f t="array" ref="C1089">_xlfn.SWITCH(TRIM(I1089),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89" s="1"/>
      <c r="E1089" s="1"/>
      <c r="F1089" s="1" t="str" cm="1">
        <f t="array" ref="F1089">_xlfn.LET(
_xlpm.status,UPPER(TRIM(B1089&amp;"")),
_xlpm.risk,UPPER(TRIM(C1089&amp;"")),
_xlpm.notify,UPPER(TRIM(D1089&amp;"")),
_xlpm.form,UPPER(TRIM(E1089&amp;"")),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89" s="1" t="str">
        <f t="shared" ref="G1089:G1152" si="17">IF(AND(UPPER(TRIM(C1089&amp;""))="MAJOR",OR(TRIM(D1089&amp;"")="",UPPER(TRIM(E1089&amp;""))="REJECT")),"Required","NA")</f>
        <v>NA</v>
      </c>
      <c r="H1089" s="5"/>
      <c r="I1089" s="1" t="s">
        <v>23</v>
      </c>
      <c r="J1089" s="1"/>
      <c r="K1089" s="1" t="s">
        <v>3080</v>
      </c>
      <c r="L1089" s="1" t="s">
        <v>23</v>
      </c>
      <c r="M1089" s="1"/>
      <c r="N1089" s="1" t="s">
        <v>889</v>
      </c>
      <c r="O1089" s="1" t="s">
        <v>19</v>
      </c>
      <c r="P1089" s="1" t="s">
        <v>18</v>
      </c>
      <c r="Q1089" s="1" t="s">
        <v>20</v>
      </c>
      <c r="R1089" s="1"/>
      <c r="S1089" s="1"/>
      <c r="T1089" s="1"/>
    </row>
    <row r="1090" spans="1:20">
      <c r="A1090" s="1" t="s">
        <v>3085</v>
      </c>
      <c r="B1090" s="1" t="str" cm="1">
        <f t="array" ref="B1090">IF(A1090="","",_xlfn.IFS(COUNTIF($U:$U,A1090)&gt;0,"All uploaded",COUNTIF($V:$V,A1090)&gt;0,"Partly uploaded",COUNTIF($W:$X,A1090)&gt;0,"Not uploaded",TRUE,"Not classified"))</f>
        <v>Not uploaded</v>
      </c>
      <c r="C1090" s="1" t="str" cm="1">
        <f t="array" ref="C1090">_xlfn.SWITCH(TRIM(I1090),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90" s="1"/>
      <c r="E1090" s="1"/>
      <c r="F1090" s="1" t="str" cm="1">
        <f t="array" ref="F1090">_xlfn.LET(
_xlpm.status,UPPER(TRIM(B1090&amp;"")),
_xlpm.risk,UPPER(TRIM(C1090&amp;"")),
_xlpm.notify,UPPER(TRIM(D1090&amp;"")),
_xlpm.form,UPPER(TRIM(E1090&amp;"")),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90" s="1" t="str">
        <f t="shared" si="17"/>
        <v>Required</v>
      </c>
      <c r="H1090" s="5"/>
      <c r="I1090" s="1" t="s">
        <v>25</v>
      </c>
      <c r="J1090" s="1"/>
      <c r="K1090" s="1" t="s">
        <v>3080</v>
      </c>
      <c r="L1090" s="1" t="s">
        <v>25</v>
      </c>
      <c r="M1090" s="1"/>
      <c r="N1090" s="1" t="s">
        <v>3086</v>
      </c>
      <c r="O1090" s="1" t="s">
        <v>19</v>
      </c>
      <c r="P1090" s="1" t="s">
        <v>18</v>
      </c>
      <c r="Q1090" s="1" t="s">
        <v>20</v>
      </c>
      <c r="R1090" s="1"/>
      <c r="S1090" s="1"/>
      <c r="T1090" s="1"/>
    </row>
    <row r="1091" spans="1:20">
      <c r="A1091" s="1" t="s">
        <v>3088</v>
      </c>
      <c r="B1091" s="1" t="str" cm="1">
        <f t="array" ref="B1091">IF(A1091="","",_xlfn.IFS(COUNTIF($U:$U,A1091)&gt;0,"All uploaded",COUNTIF($V:$V,A1091)&gt;0,"Partly uploaded",COUNTIF($W:$X,A1091)&gt;0,"Not uploaded",TRUE,"Not classified"))</f>
        <v>Not uploaded</v>
      </c>
      <c r="C1091" s="1" t="str" cm="1">
        <f t="array" ref="C1091">_xlfn.SWITCH(TRIM(I1091),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91" s="1"/>
      <c r="E1091" s="1"/>
      <c r="F1091" s="1" t="str" cm="1">
        <f t="array" ref="F1091">_xlfn.LET(
_xlpm.status,UPPER(TRIM(B1091&amp;"")),
_xlpm.risk,UPPER(TRIM(C1091&amp;"")),
_xlpm.notify,UPPER(TRIM(D1091&amp;"")),
_xlpm.form,UPPER(TRIM(E1091&amp;"")),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91" s="1" t="str">
        <f t="shared" si="17"/>
        <v>NA</v>
      </c>
      <c r="H1091" s="5"/>
      <c r="I1091" s="1" t="s">
        <v>23</v>
      </c>
      <c r="J1091" s="1"/>
      <c r="K1091" s="1" t="s">
        <v>3087</v>
      </c>
      <c r="L1091" s="1" t="s">
        <v>23</v>
      </c>
      <c r="M1091" s="1"/>
      <c r="N1091" s="1" t="s">
        <v>3089</v>
      </c>
      <c r="O1091" s="1" t="s">
        <v>19</v>
      </c>
      <c r="P1091" s="1" t="s">
        <v>18</v>
      </c>
      <c r="Q1091" s="1" t="s">
        <v>20</v>
      </c>
      <c r="R1091" s="1"/>
      <c r="S1091" s="1"/>
      <c r="T1091" s="1"/>
    </row>
    <row r="1092" spans="1:20">
      <c r="A1092" s="1" t="s">
        <v>3098</v>
      </c>
      <c r="B1092" s="1" t="str" cm="1">
        <f t="array" ref="B1092">IF(A1092="","",_xlfn.IFS(COUNTIF($U:$U,A1092)&gt;0,"All uploaded",COUNTIF($V:$V,A1092)&gt;0,"Partly uploaded",COUNTIF($W:$X,A1092)&gt;0,"Not uploaded",TRUE,"Not classified"))</f>
        <v>Not uploaded</v>
      </c>
      <c r="C1092" s="1" t="str" cm="1">
        <f t="array" ref="C1092">_xlfn.SWITCH(TRIM(I1092),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92" s="1"/>
      <c r="E1092" s="1"/>
      <c r="F1092" s="1" t="str" cm="1">
        <f t="array" ref="F1092">_xlfn.LET(
_xlpm.status,UPPER(TRIM(B1092&amp;"")),
_xlpm.risk,UPPER(TRIM(C1092&amp;"")),
_xlpm.notify,UPPER(TRIM(D1092&amp;"")),
_xlpm.form,UPPER(TRIM(E1092&amp;"")),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92" s="1" t="str">
        <f t="shared" si="17"/>
        <v>NA</v>
      </c>
      <c r="H1092" s="5"/>
      <c r="I1092" s="1" t="s">
        <v>23</v>
      </c>
      <c r="J1092" s="1"/>
      <c r="K1092" s="1" t="s">
        <v>3097</v>
      </c>
      <c r="L1092" s="1" t="s">
        <v>23</v>
      </c>
      <c r="M1092" s="1"/>
      <c r="N1092" s="1" t="s">
        <v>3099</v>
      </c>
      <c r="O1092" s="1" t="s">
        <v>19</v>
      </c>
      <c r="P1092" s="1" t="s">
        <v>18</v>
      </c>
      <c r="Q1092" s="1" t="s">
        <v>20</v>
      </c>
      <c r="R1092" s="1"/>
      <c r="S1092" s="1"/>
      <c r="T1092" s="1"/>
    </row>
    <row r="1093" spans="1:20">
      <c r="A1093" s="1" t="s">
        <v>3101</v>
      </c>
      <c r="B1093" s="1" t="str" cm="1">
        <f t="array" ref="B1093">IF(A1093="","",_xlfn.IFS(COUNTIF($U:$U,A1093)&gt;0,"All uploaded",COUNTIF($V:$V,A1093)&gt;0,"Partly uploaded",COUNTIF($W:$X,A1093)&gt;0,"Not uploaded",TRUE,"Not classified"))</f>
        <v>Not uploaded</v>
      </c>
      <c r="C1093" s="1" t="str" cm="1">
        <f t="array" ref="C1093">_xlfn.SWITCH(TRIM(I1093),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93" s="1"/>
      <c r="E1093" s="1"/>
      <c r="F1093" s="1" t="str" cm="1">
        <f t="array" ref="F1093">_xlfn.LET(
_xlpm.status,UPPER(TRIM(B1093&amp;"")),
_xlpm.risk,UPPER(TRIM(C1093&amp;"")),
_xlpm.notify,UPPER(TRIM(D1093&amp;"")),
_xlpm.form,UPPER(TRIM(E1093&amp;"")),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93" s="1" t="str">
        <f t="shared" si="17"/>
        <v>Required</v>
      </c>
      <c r="H1093" s="5"/>
      <c r="I1093" s="1" t="s">
        <v>25</v>
      </c>
      <c r="J1093" s="1"/>
      <c r="K1093" s="1" t="s">
        <v>3100</v>
      </c>
      <c r="L1093" s="1" t="s">
        <v>25</v>
      </c>
      <c r="M1093" s="1"/>
      <c r="N1093" s="1" t="s">
        <v>3102</v>
      </c>
      <c r="O1093" s="1" t="s">
        <v>19</v>
      </c>
      <c r="P1093" s="1" t="s">
        <v>18</v>
      </c>
      <c r="Q1093" s="1" t="s">
        <v>20</v>
      </c>
      <c r="R1093" s="1"/>
      <c r="S1093" s="1"/>
      <c r="T1093" s="1"/>
    </row>
    <row r="1094" spans="1:20">
      <c r="A1094" s="1" t="s">
        <v>3118</v>
      </c>
      <c r="B1094" s="1" t="str" cm="1">
        <f t="array" ref="B1094">IF(A1094="","",_xlfn.IFS(COUNTIF($U:$U,A1094)&gt;0,"All uploaded",COUNTIF($V:$V,A1094)&gt;0,"Partly uploaded",COUNTIF($W:$X,A1094)&gt;0,"Not uploaded",TRUE,"Not classified"))</f>
        <v>Partly uploaded</v>
      </c>
      <c r="C1094" s="1" t="str" cm="1">
        <f t="array" ref="C1094">_xlfn.SWITCH(TRIM(I1094),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94" s="1"/>
      <c r="E1094" s="1"/>
      <c r="F1094" s="1" t="str" cm="1">
        <f t="array" ref="F1094">_xlfn.LET(
_xlpm.status,UPPER(TRIM(B1094&amp;"")),
_xlpm.risk,UPPER(TRIM(C1094&amp;"")),
_xlpm.notify,UPPER(TRIM(D1094&amp;"")),
_xlpm.form,UPPER(TRIM(E1094&amp;"")),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94" s="1" t="str">
        <f t="shared" si="17"/>
        <v>Required</v>
      </c>
      <c r="H1094" s="5"/>
      <c r="I1094" s="1" t="s">
        <v>10</v>
      </c>
      <c r="J1094" s="1"/>
      <c r="K1094" s="1" t="s">
        <v>3117</v>
      </c>
      <c r="L1094" s="1" t="s">
        <v>10</v>
      </c>
      <c r="M1094" s="1"/>
      <c r="N1094" s="1" t="s">
        <v>1733</v>
      </c>
      <c r="O1094" s="1" t="s">
        <v>19</v>
      </c>
      <c r="P1094" s="1" t="s">
        <v>18</v>
      </c>
      <c r="Q1094" s="1" t="s">
        <v>20</v>
      </c>
      <c r="R1094" s="1"/>
      <c r="S1094" s="1"/>
      <c r="T1094" s="1"/>
    </row>
    <row r="1095" spans="1:20">
      <c r="A1095" s="1" t="s">
        <v>3123</v>
      </c>
      <c r="B1095" s="1" t="str" cm="1">
        <f t="array" ref="B1095">IF(A1095="","",_xlfn.IFS(COUNTIF($U:$U,A1095)&gt;0,"All uploaded",COUNTIF($V:$V,A1095)&gt;0,"Partly uploaded",COUNTIF($W:$X,A1095)&gt;0,"Not uploaded",TRUE,"Not classified"))</f>
        <v>Not uploaded</v>
      </c>
      <c r="C1095" s="1" t="str" cm="1">
        <f t="array" ref="C1095">_xlfn.SWITCH(TRIM(I1095),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95" s="1"/>
      <c r="E1095" s="1"/>
      <c r="F1095" s="1" t="str" cm="1">
        <f t="array" ref="F1095">_xlfn.LET(
_xlpm.status,UPPER(TRIM(B1095&amp;"")),
_xlpm.risk,UPPER(TRIM(C1095&amp;"")),
_xlpm.notify,UPPER(TRIM(D1095&amp;"")),
_xlpm.form,UPPER(TRIM(E1095&amp;"")),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95" s="1" t="str">
        <f t="shared" si="17"/>
        <v>NA</v>
      </c>
      <c r="H1095" s="5"/>
      <c r="I1095" s="1" t="s">
        <v>23</v>
      </c>
      <c r="J1095" s="1"/>
      <c r="K1095" s="1" t="s">
        <v>3117</v>
      </c>
      <c r="L1095" s="1" t="s">
        <v>23</v>
      </c>
      <c r="M1095" s="1"/>
      <c r="N1095" s="1" t="s">
        <v>2825</v>
      </c>
      <c r="O1095" s="1" t="s">
        <v>19</v>
      </c>
      <c r="P1095" s="1" t="s">
        <v>18</v>
      </c>
      <c r="Q1095" s="1" t="s">
        <v>20</v>
      </c>
      <c r="R1095" s="1"/>
      <c r="S1095" s="1"/>
      <c r="T1095" s="1"/>
    </row>
    <row r="1096" spans="1:20">
      <c r="A1096" s="1" t="s">
        <v>3125</v>
      </c>
      <c r="B1096" s="1" t="str" cm="1">
        <f t="array" ref="B1096">IF(A1096="","",_xlfn.IFS(COUNTIF($U:$U,A1096)&gt;0,"All uploaded",COUNTIF($V:$V,A1096)&gt;0,"Partly uploaded",COUNTIF($W:$X,A1096)&gt;0,"Not uploaded",TRUE,"Not classified"))</f>
        <v>Partly uploaded</v>
      </c>
      <c r="C1096" s="1" t="str" cm="1">
        <f t="array" ref="C1096">_xlfn.SWITCH(TRIM(I1096),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96" s="1"/>
      <c r="E1096" s="1"/>
      <c r="F1096" s="1" t="str" cm="1">
        <f t="array" ref="F1096">_xlfn.LET(
_xlpm.status,UPPER(TRIM(B1096&amp;"")),
_xlpm.risk,UPPER(TRIM(C1096&amp;"")),
_xlpm.notify,UPPER(TRIM(D1096&amp;"")),
_xlpm.form,UPPER(TRIM(E1096&amp;"")),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96" s="1" t="str">
        <f t="shared" si="17"/>
        <v>NA</v>
      </c>
      <c r="H1096" s="5"/>
      <c r="I1096" s="1" t="s">
        <v>23</v>
      </c>
      <c r="J1096" s="1"/>
      <c r="K1096" s="1" t="s">
        <v>3124</v>
      </c>
      <c r="L1096" s="1" t="s">
        <v>23</v>
      </c>
      <c r="M1096" s="1"/>
      <c r="N1096" s="1" t="s">
        <v>3126</v>
      </c>
      <c r="O1096" s="1" t="s">
        <v>19</v>
      </c>
      <c r="P1096" s="1" t="s">
        <v>18</v>
      </c>
      <c r="Q1096" s="1" t="s">
        <v>20</v>
      </c>
      <c r="R1096" s="1"/>
      <c r="S1096" s="1"/>
      <c r="T1096" s="1"/>
    </row>
    <row r="1097" spans="1:20">
      <c r="A1097" s="1" t="s">
        <v>3141</v>
      </c>
      <c r="B1097" s="1" t="str" cm="1">
        <f t="array" ref="B1097">IF(A1097="","",_xlfn.IFS(COUNTIF($U:$U,A1097)&gt;0,"All uploaded",COUNTIF($V:$V,A1097)&gt;0,"Partly uploaded",COUNTIF($W:$X,A1097)&gt;0,"Not uploaded",TRUE,"Not classified"))</f>
        <v>Partly uploaded</v>
      </c>
      <c r="C1097" s="1" t="str" cm="1">
        <f t="array" ref="C1097">_xlfn.SWITCH(TRIM(I1097),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97" s="1"/>
      <c r="E1097" s="1"/>
      <c r="F1097" s="1" t="str" cm="1">
        <f t="array" ref="F1097">_xlfn.LET(
_xlpm.status,UPPER(TRIM(B1097&amp;"")),
_xlpm.risk,UPPER(TRIM(C1097&amp;"")),
_xlpm.notify,UPPER(TRIM(D1097&amp;"")),
_xlpm.form,UPPER(TRIM(E1097&amp;"")),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97" s="1" t="str">
        <f t="shared" si="17"/>
        <v>NA</v>
      </c>
      <c r="H1097" s="5"/>
      <c r="I1097" s="1" t="s">
        <v>23</v>
      </c>
      <c r="J1097" s="1"/>
      <c r="K1097" s="1" t="s">
        <v>3124</v>
      </c>
      <c r="L1097" s="1" t="s">
        <v>23</v>
      </c>
      <c r="M1097" s="1"/>
      <c r="N1097" s="1" t="s">
        <v>3142</v>
      </c>
      <c r="O1097" s="1" t="s">
        <v>19</v>
      </c>
      <c r="P1097" s="1" t="s">
        <v>18</v>
      </c>
      <c r="Q1097" s="1" t="s">
        <v>20</v>
      </c>
      <c r="R1097" s="1"/>
      <c r="S1097" s="1"/>
      <c r="T1097" s="1"/>
    </row>
    <row r="1098" spans="1:20">
      <c r="A1098" s="1" t="s">
        <v>3133</v>
      </c>
      <c r="B1098" s="1" t="str" cm="1">
        <f t="array" ref="B1098">IF(A1098="","",_xlfn.IFS(COUNTIF($U:$U,A1098)&gt;0,"All uploaded",COUNTIF($V:$V,A1098)&gt;0,"Partly uploaded",COUNTIF($W:$X,A1098)&gt;0,"Not uploaded",TRUE,"Not classified"))</f>
        <v>Partly uploaded</v>
      </c>
      <c r="C1098" s="1" t="str" cm="1">
        <f t="array" ref="C1098">_xlfn.SWITCH(TRIM(I1098),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098" s="1"/>
      <c r="E1098" s="1"/>
      <c r="F1098" s="1" t="str" cm="1">
        <f t="array" ref="F1098">_xlfn.LET(
_xlpm.status,UPPER(TRIM(B1098&amp;"")),
_xlpm.risk,UPPER(TRIM(C1098&amp;"")),
_xlpm.notify,UPPER(TRIM(D1098&amp;"")),
_xlpm.form,UPPER(TRIM(E1098&amp;"")),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98" s="1" t="str">
        <f t="shared" si="17"/>
        <v>Required</v>
      </c>
      <c r="H1098" s="5"/>
      <c r="I1098" s="1" t="s">
        <v>25</v>
      </c>
      <c r="J1098" s="1"/>
      <c r="K1098" s="1" t="s">
        <v>3124</v>
      </c>
      <c r="L1098" s="1" t="s">
        <v>25</v>
      </c>
      <c r="M1098" s="1"/>
      <c r="N1098" s="1" t="s">
        <v>3134</v>
      </c>
      <c r="O1098" s="1" t="s">
        <v>19</v>
      </c>
      <c r="P1098" s="1" t="s">
        <v>18</v>
      </c>
      <c r="Q1098" s="1" t="s">
        <v>20</v>
      </c>
      <c r="R1098" s="1"/>
      <c r="S1098" s="1"/>
      <c r="T1098" s="1"/>
    </row>
    <row r="1099" spans="1:20">
      <c r="A1099" s="1" t="s">
        <v>3148</v>
      </c>
      <c r="B1099" s="1" t="str" cm="1">
        <f t="array" ref="B1099">IF(A1099="","",_xlfn.IFS(COUNTIF($U:$U,A1099)&gt;0,"All uploaded",COUNTIF($V:$V,A1099)&gt;0,"Partly uploaded",COUNTIF($W:$X,A1099)&gt;0,"Not uploaded",TRUE,"Not classified"))</f>
        <v>Partly uploaded</v>
      </c>
      <c r="C1099" s="1" t="str" cm="1">
        <f t="array" ref="C1099">_xlfn.SWITCH(TRIM(I1099),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099" s="1"/>
      <c r="E1099" s="1"/>
      <c r="F1099" s="1" t="str" cm="1">
        <f t="array" ref="F1099">_xlfn.LET(
_xlpm.status,UPPER(TRIM(B1099&amp;"")),
_xlpm.risk,UPPER(TRIM(C1099&amp;"")),
_xlpm.notify,UPPER(TRIM(D1099&amp;"")),
_xlpm.form,UPPER(TRIM(E1099&amp;"")),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099" s="1" t="str">
        <f t="shared" si="17"/>
        <v>NA</v>
      </c>
      <c r="H1099" s="5"/>
      <c r="I1099" s="1" t="s">
        <v>22</v>
      </c>
      <c r="J1099" s="1"/>
      <c r="K1099" s="1" t="s">
        <v>3147</v>
      </c>
      <c r="L1099" s="1" t="s">
        <v>22</v>
      </c>
      <c r="M1099" s="1"/>
      <c r="N1099" s="1" t="s">
        <v>3149</v>
      </c>
      <c r="O1099" s="1" t="s">
        <v>19</v>
      </c>
      <c r="P1099" s="1" t="s">
        <v>18</v>
      </c>
      <c r="Q1099" s="1" t="s">
        <v>20</v>
      </c>
      <c r="R1099" s="1"/>
      <c r="S1099" s="1"/>
      <c r="T1099" s="1"/>
    </row>
    <row r="1100" spans="1:20">
      <c r="A1100" s="1" t="s">
        <v>3150</v>
      </c>
      <c r="B1100" s="1" t="str" cm="1">
        <f t="array" ref="B1100">IF(A1100="","",_xlfn.IFS(COUNTIF($U:$U,A1100)&gt;0,"All uploaded",COUNTIF($V:$V,A1100)&gt;0,"Partly uploaded",COUNTIF($W:$X,A1100)&gt;0,"Not uploaded",TRUE,"Not classified"))</f>
        <v>Not uploaded</v>
      </c>
      <c r="C1100" s="1" t="str" cm="1">
        <f t="array" ref="C1100">_xlfn.SWITCH(TRIM(I1100),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00" s="1"/>
      <c r="E1100" s="1"/>
      <c r="F1100" s="1" t="str" cm="1">
        <f t="array" ref="F1100">_xlfn.LET(
_xlpm.status,UPPER(TRIM(B1100&amp;"")),
_xlpm.risk,UPPER(TRIM(C1100&amp;"")),
_xlpm.notify,UPPER(TRIM(D1100&amp;"")),
_xlpm.form,UPPER(TRIM(E1100&amp;"")),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00" s="1" t="str">
        <f t="shared" si="17"/>
        <v>Required</v>
      </c>
      <c r="H1100" s="5"/>
      <c r="I1100" s="1" t="s">
        <v>25</v>
      </c>
      <c r="J1100" s="1"/>
      <c r="K1100" s="1" t="s">
        <v>3147</v>
      </c>
      <c r="L1100" s="1" t="s">
        <v>25</v>
      </c>
      <c r="M1100" s="1"/>
      <c r="N1100" s="1" t="s">
        <v>3060</v>
      </c>
      <c r="O1100" s="1" t="s">
        <v>19</v>
      </c>
      <c r="P1100" s="1" t="s">
        <v>18</v>
      </c>
      <c r="Q1100" s="1" t="s">
        <v>20</v>
      </c>
      <c r="R1100" s="1"/>
      <c r="S1100" s="1"/>
      <c r="T1100" s="1"/>
    </row>
    <row r="1101" spans="1:20">
      <c r="A1101" s="1" t="s">
        <v>3151</v>
      </c>
      <c r="B1101" s="1" t="str" cm="1">
        <f t="array" ref="B1101">IF(A1101="","",_xlfn.IFS(COUNTIF($U:$U,A1101)&gt;0,"All uploaded",COUNTIF($V:$V,A1101)&gt;0,"Partly uploaded",COUNTIF($W:$X,A1101)&gt;0,"Not uploaded",TRUE,"Not classified"))</f>
        <v>Not uploaded</v>
      </c>
      <c r="C1101" s="1" t="str" cm="1">
        <f t="array" ref="C1101">_xlfn.SWITCH(TRIM(I1101),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01" s="1"/>
      <c r="E1101" s="1"/>
      <c r="F1101" s="1" t="str" cm="1">
        <f t="array" ref="F1101">_xlfn.LET(
_xlpm.status,UPPER(TRIM(B1101&amp;"")),
_xlpm.risk,UPPER(TRIM(C1101&amp;"")),
_xlpm.notify,UPPER(TRIM(D1101&amp;"")),
_xlpm.form,UPPER(TRIM(E1101&amp;"")),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01" s="1" t="str">
        <f t="shared" si="17"/>
        <v>Required</v>
      </c>
      <c r="H1101" s="5"/>
      <c r="I1101" s="1" t="s">
        <v>25</v>
      </c>
      <c r="J1101" s="1"/>
      <c r="K1101" s="1" t="s">
        <v>3147</v>
      </c>
      <c r="L1101" s="1" t="s">
        <v>25</v>
      </c>
      <c r="M1101" s="1"/>
      <c r="N1101" s="1" t="s">
        <v>3060</v>
      </c>
      <c r="O1101" s="1" t="s">
        <v>19</v>
      </c>
      <c r="P1101" s="1" t="s">
        <v>18</v>
      </c>
      <c r="Q1101" s="1" t="s">
        <v>20</v>
      </c>
      <c r="R1101" s="1"/>
      <c r="S1101" s="1"/>
      <c r="T1101" s="1"/>
    </row>
    <row r="1102" spans="1:20">
      <c r="A1102" s="1" t="s">
        <v>3163</v>
      </c>
      <c r="B1102" s="1" t="str" cm="1">
        <f t="array" ref="B1102">IF(A1102="","",_xlfn.IFS(COUNTIF($U:$U,A1102)&gt;0,"All uploaded",COUNTIF($V:$V,A1102)&gt;0,"Partly uploaded",COUNTIF($W:$X,A1102)&gt;0,"Not uploaded",TRUE,"Not classified"))</f>
        <v>Partly uploaded</v>
      </c>
      <c r="C1102" s="1" t="str" cm="1">
        <f t="array" ref="C1102">_xlfn.SWITCH(TRIM(I1102),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02" s="1"/>
      <c r="E1102" s="1"/>
      <c r="F1102" s="1" t="str" cm="1">
        <f t="array" ref="F1102">_xlfn.LET(
_xlpm.status,UPPER(TRIM(B1102&amp;"")),
_xlpm.risk,UPPER(TRIM(C1102&amp;"")),
_xlpm.notify,UPPER(TRIM(D1102&amp;"")),
_xlpm.form,UPPER(TRIM(E1102&amp;"")),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02" s="1" t="str">
        <f t="shared" si="17"/>
        <v>NA</v>
      </c>
      <c r="H1102" s="5"/>
      <c r="I1102" s="1" t="s">
        <v>22</v>
      </c>
      <c r="J1102" s="1"/>
      <c r="K1102" s="1" t="s">
        <v>3162</v>
      </c>
      <c r="L1102" s="1" t="s">
        <v>22</v>
      </c>
      <c r="M1102" s="1"/>
      <c r="N1102" s="1" t="s">
        <v>3039</v>
      </c>
      <c r="O1102" s="1" t="s">
        <v>19</v>
      </c>
      <c r="P1102" s="1" t="s">
        <v>18</v>
      </c>
      <c r="Q1102" s="1" t="s">
        <v>20</v>
      </c>
      <c r="R1102" s="1"/>
      <c r="S1102" s="1"/>
      <c r="T1102" s="1"/>
    </row>
    <row r="1103" spans="1:20">
      <c r="A1103" s="1" t="s">
        <v>3169</v>
      </c>
      <c r="B1103" s="1" t="str" cm="1">
        <f t="array" ref="B1103">IF(A1103="","",_xlfn.IFS(COUNTIF($U:$U,A1103)&gt;0,"All uploaded",COUNTIF($V:$V,A1103)&gt;0,"Partly uploaded",COUNTIF($W:$X,A1103)&gt;0,"Not uploaded",TRUE,"Not classified"))</f>
        <v>Partly uploaded</v>
      </c>
      <c r="C1103" s="1" t="str" cm="1">
        <f t="array" ref="C1103">_xlfn.SWITCH(TRIM(I1103),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03" s="1"/>
      <c r="E1103" s="1"/>
      <c r="F1103" s="1" t="str" cm="1">
        <f t="array" ref="F1103">_xlfn.LET(
_xlpm.status,UPPER(TRIM(B1103&amp;"")),
_xlpm.risk,UPPER(TRIM(C1103&amp;"")),
_xlpm.notify,UPPER(TRIM(D1103&amp;"")),
_xlpm.form,UPPER(TRIM(E1103&amp;"")),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03" s="1" t="str">
        <f t="shared" si="17"/>
        <v>NA</v>
      </c>
      <c r="H1103" s="5"/>
      <c r="I1103" s="1" t="s">
        <v>22</v>
      </c>
      <c r="J1103" s="1"/>
      <c r="K1103" s="1" t="s">
        <v>3168</v>
      </c>
      <c r="L1103" s="1" t="s">
        <v>22</v>
      </c>
      <c r="M1103" s="1"/>
      <c r="N1103" s="1" t="s">
        <v>3170</v>
      </c>
      <c r="O1103" s="1" t="s">
        <v>19</v>
      </c>
      <c r="P1103" s="1" t="s">
        <v>18</v>
      </c>
      <c r="Q1103" s="1" t="s">
        <v>20</v>
      </c>
      <c r="R1103" s="1"/>
      <c r="S1103" s="1"/>
      <c r="T1103" s="1"/>
    </row>
    <row r="1104" spans="1:20">
      <c r="A1104" s="1" t="s">
        <v>3174</v>
      </c>
      <c r="B1104" s="1" t="str" cm="1">
        <f t="array" ref="B1104">IF(A1104="","",_xlfn.IFS(COUNTIF($U:$U,A1104)&gt;0,"All uploaded",COUNTIF($V:$V,A1104)&gt;0,"Partly uploaded",COUNTIF($W:$X,A1104)&gt;0,"Not uploaded",TRUE,"Not classified"))</f>
        <v>Not uploaded</v>
      </c>
      <c r="C1104" s="1" t="str" cm="1">
        <f t="array" ref="C1104">_xlfn.SWITCH(TRIM(I1104),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04" s="1"/>
      <c r="E1104" s="1"/>
      <c r="F1104" s="1" t="str" cm="1">
        <f t="array" ref="F1104">_xlfn.LET(
_xlpm.status,UPPER(TRIM(B1104&amp;"")),
_xlpm.risk,UPPER(TRIM(C1104&amp;"")),
_xlpm.notify,UPPER(TRIM(D1104&amp;"")),
_xlpm.form,UPPER(TRIM(E1104&amp;"")),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04" s="1" t="str">
        <f t="shared" si="17"/>
        <v>NA</v>
      </c>
      <c r="H1104" s="5"/>
      <c r="I1104" s="1" t="s">
        <v>23</v>
      </c>
      <c r="J1104" s="1"/>
      <c r="K1104" s="1" t="s">
        <v>3168</v>
      </c>
      <c r="L1104" s="1" t="s">
        <v>23</v>
      </c>
      <c r="M1104" s="1"/>
      <c r="N1104" s="1" t="s">
        <v>139</v>
      </c>
      <c r="O1104" s="1" t="s">
        <v>19</v>
      </c>
      <c r="P1104" s="1" t="s">
        <v>18</v>
      </c>
      <c r="Q1104" s="1" t="s">
        <v>20</v>
      </c>
      <c r="R1104" s="1"/>
      <c r="S1104" s="1"/>
      <c r="T1104" s="1"/>
    </row>
    <row r="1105" spans="1:20">
      <c r="A1105" s="1" t="s">
        <v>3182</v>
      </c>
      <c r="B1105" s="1" t="str" cm="1">
        <f t="array" ref="B1105">IF(A1105="","",_xlfn.IFS(COUNTIF($U:$U,A1105)&gt;0,"All uploaded",COUNTIF($V:$V,A1105)&gt;0,"Partly uploaded",COUNTIF($W:$X,A1105)&gt;0,"Not uploaded",TRUE,"Not classified"))</f>
        <v>Not uploaded</v>
      </c>
      <c r="C1105" s="1" t="str" cm="1">
        <f t="array" ref="C1105">_xlfn.SWITCH(TRIM(I1105),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05" s="1"/>
      <c r="E1105" s="1"/>
      <c r="F1105" s="1" t="str" cm="1">
        <f t="array" ref="F1105">_xlfn.LET(
_xlpm.status,UPPER(TRIM(B1105&amp;"")),
_xlpm.risk,UPPER(TRIM(C1105&amp;"")),
_xlpm.notify,UPPER(TRIM(D1105&amp;"")),
_xlpm.form,UPPER(TRIM(E1105&amp;"")),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05" s="1" t="str">
        <f t="shared" si="17"/>
        <v>NA</v>
      </c>
      <c r="H1105" s="5"/>
      <c r="I1105" s="1" t="s">
        <v>22</v>
      </c>
      <c r="J1105" s="1"/>
      <c r="K1105" s="1" t="s">
        <v>3175</v>
      </c>
      <c r="L1105" s="1" t="s">
        <v>22</v>
      </c>
      <c r="M1105" s="1"/>
      <c r="N1105" s="1" t="s">
        <v>3183</v>
      </c>
      <c r="O1105" s="1" t="s">
        <v>19</v>
      </c>
      <c r="P1105" s="1" t="s">
        <v>18</v>
      </c>
      <c r="Q1105" s="1" t="s">
        <v>20</v>
      </c>
      <c r="R1105" s="1"/>
      <c r="S1105" s="1"/>
      <c r="T1105" s="1"/>
    </row>
    <row r="1106" spans="1:20">
      <c r="A1106" s="1" t="s">
        <v>3191</v>
      </c>
      <c r="B1106" s="1" t="str" cm="1">
        <f t="array" ref="B1106">IF(A1106="","",_xlfn.IFS(COUNTIF($U:$U,A1106)&gt;0,"All uploaded",COUNTIF($V:$V,A1106)&gt;0,"Partly uploaded",COUNTIF($W:$X,A1106)&gt;0,"Not uploaded",TRUE,"Not classified"))</f>
        <v>Not uploaded</v>
      </c>
      <c r="C1106" s="1" t="str" cm="1">
        <f t="array" ref="C1106">_xlfn.SWITCH(TRIM(I1106),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06" s="1"/>
      <c r="E1106" s="1"/>
      <c r="F1106" s="1" t="str" cm="1">
        <f t="array" ref="F1106">_xlfn.LET(
_xlpm.status,UPPER(TRIM(B1106&amp;"")),
_xlpm.risk,UPPER(TRIM(C1106&amp;"")),
_xlpm.notify,UPPER(TRIM(D1106&amp;"")),
_xlpm.form,UPPER(TRIM(E1106&amp;"")),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06" s="1" t="str">
        <f t="shared" si="17"/>
        <v>NA</v>
      </c>
      <c r="H1106" s="5"/>
      <c r="I1106" s="1" t="s">
        <v>23</v>
      </c>
      <c r="J1106" s="1"/>
      <c r="K1106" s="1" t="s">
        <v>3190</v>
      </c>
      <c r="L1106" s="1" t="s">
        <v>23</v>
      </c>
      <c r="M1106" s="1"/>
      <c r="N1106" s="1" t="s">
        <v>3192</v>
      </c>
      <c r="O1106" s="1" t="s">
        <v>19</v>
      </c>
      <c r="P1106" s="1" t="s">
        <v>18</v>
      </c>
      <c r="Q1106" s="1" t="s">
        <v>20</v>
      </c>
      <c r="R1106" s="1"/>
      <c r="S1106" s="1"/>
      <c r="T1106" s="1"/>
    </row>
    <row r="1107" spans="1:20">
      <c r="A1107" s="1" t="s">
        <v>3193</v>
      </c>
      <c r="B1107" s="1" t="str" cm="1">
        <f t="array" ref="B1107">IF(A1107="","",_xlfn.IFS(COUNTIF($U:$U,A1107)&gt;0,"All uploaded",COUNTIF($V:$V,A1107)&gt;0,"Partly uploaded",COUNTIF($W:$X,A1107)&gt;0,"Not uploaded",TRUE,"Not classified"))</f>
        <v>Partly uploaded</v>
      </c>
      <c r="C1107" s="1" t="str" cm="1">
        <f t="array" ref="C1107">_xlfn.SWITCH(TRIM(I1107),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07" s="1"/>
      <c r="E1107" s="1"/>
      <c r="F1107" s="1" t="str" cm="1">
        <f t="array" ref="F1107">_xlfn.LET(
_xlpm.status,UPPER(TRIM(B1107&amp;"")),
_xlpm.risk,UPPER(TRIM(C1107&amp;"")),
_xlpm.notify,UPPER(TRIM(D1107&amp;"")),
_xlpm.form,UPPER(TRIM(E1107&amp;"")),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07" s="1" t="str">
        <f t="shared" si="17"/>
        <v>NA</v>
      </c>
      <c r="H1107" s="5"/>
      <c r="I1107" s="1" t="s">
        <v>22</v>
      </c>
      <c r="J1107" s="1"/>
      <c r="K1107" s="1" t="s">
        <v>3190</v>
      </c>
      <c r="L1107" s="1" t="s">
        <v>22</v>
      </c>
      <c r="M1107" s="1"/>
      <c r="N1107" s="1" t="s">
        <v>51</v>
      </c>
      <c r="O1107" s="1" t="s">
        <v>19</v>
      </c>
      <c r="P1107" s="1" t="s">
        <v>18</v>
      </c>
      <c r="Q1107" s="1" t="s">
        <v>20</v>
      </c>
      <c r="R1107" s="1"/>
      <c r="S1107" s="1"/>
      <c r="T1107" s="1"/>
    </row>
    <row r="1108" spans="1:20">
      <c r="A1108" s="1" t="s">
        <v>3199</v>
      </c>
      <c r="B1108" s="1" t="str" cm="1">
        <f t="array" ref="B1108">IF(A1108="","",_xlfn.IFS(COUNTIF($U:$U,A1108)&gt;0,"All uploaded",COUNTIF($V:$V,A1108)&gt;0,"Partly uploaded",COUNTIF($W:$X,A1108)&gt;0,"Not uploaded",TRUE,"Not classified"))</f>
        <v>Not uploaded</v>
      </c>
      <c r="C1108" s="1" t="str" cm="1">
        <f t="array" ref="C1108">_xlfn.SWITCH(TRIM(I1108),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08" s="1"/>
      <c r="E1108" s="1"/>
      <c r="F1108" s="1" t="str" cm="1">
        <f t="array" ref="F1108">_xlfn.LET(
_xlpm.status,UPPER(TRIM(B1108&amp;"")),
_xlpm.risk,UPPER(TRIM(C1108&amp;"")),
_xlpm.notify,UPPER(TRIM(D1108&amp;"")),
_xlpm.form,UPPER(TRIM(E1108&amp;"")),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08" s="1" t="str">
        <f t="shared" si="17"/>
        <v>Required</v>
      </c>
      <c r="H1108" s="5"/>
      <c r="I1108" s="1" t="s">
        <v>27</v>
      </c>
      <c r="J1108" s="1"/>
      <c r="K1108" s="1" t="s">
        <v>3198</v>
      </c>
      <c r="L1108" s="1" t="s">
        <v>27</v>
      </c>
      <c r="M1108" s="1"/>
      <c r="N1108" s="1" t="s">
        <v>3200</v>
      </c>
      <c r="O1108" s="1" t="s">
        <v>19</v>
      </c>
      <c r="P1108" s="1" t="s">
        <v>18</v>
      </c>
      <c r="Q1108" s="1" t="s">
        <v>20</v>
      </c>
      <c r="R1108" s="1"/>
      <c r="S1108" s="1"/>
      <c r="T1108" s="1"/>
    </row>
    <row r="1109" spans="1:20">
      <c r="A1109" s="1" t="s">
        <v>3201</v>
      </c>
      <c r="B1109" s="1" t="str" cm="1">
        <f t="array" ref="B1109">IF(A1109="","",_xlfn.IFS(COUNTIF($U:$U,A1109)&gt;0,"All uploaded",COUNTIF($V:$V,A1109)&gt;0,"Partly uploaded",COUNTIF($W:$X,A1109)&gt;0,"Not uploaded",TRUE,"Not classified"))</f>
        <v>Partly uploaded</v>
      </c>
      <c r="C1109" s="1" t="str" cm="1">
        <f t="array" ref="C1109">_xlfn.SWITCH(TRIM(I1109),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09" s="1"/>
      <c r="E1109" s="1"/>
      <c r="F1109" s="1" t="str" cm="1">
        <f t="array" ref="F1109">_xlfn.LET(
_xlpm.status,UPPER(TRIM(B1109&amp;"")),
_xlpm.risk,UPPER(TRIM(C1109&amp;"")),
_xlpm.notify,UPPER(TRIM(D1109&amp;"")),
_xlpm.form,UPPER(TRIM(E1109&amp;"")),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09" s="1" t="str">
        <f t="shared" si="17"/>
        <v>NA</v>
      </c>
      <c r="H1109" s="5"/>
      <c r="I1109" s="1" t="s">
        <v>23</v>
      </c>
      <c r="J1109" s="1"/>
      <c r="K1109" s="1" t="s">
        <v>3198</v>
      </c>
      <c r="L1109" s="1" t="s">
        <v>23</v>
      </c>
      <c r="M1109" s="1"/>
      <c r="N1109" s="1" t="s">
        <v>3146</v>
      </c>
      <c r="O1109" s="1" t="s">
        <v>19</v>
      </c>
      <c r="P1109" s="1" t="s">
        <v>18</v>
      </c>
      <c r="Q1109" s="1" t="s">
        <v>20</v>
      </c>
      <c r="R1109" s="1"/>
      <c r="S1109" s="1"/>
      <c r="T1109" s="1"/>
    </row>
    <row r="1110" spans="1:20">
      <c r="A1110" s="1" t="s">
        <v>3212</v>
      </c>
      <c r="B1110" s="1" t="str" cm="1">
        <f t="array" ref="B1110">IF(A1110="","",_xlfn.IFS(COUNTIF($U:$U,A1110)&gt;0,"All uploaded",COUNTIF($V:$V,A1110)&gt;0,"Partly uploaded",COUNTIF($W:$X,A1110)&gt;0,"Not uploaded",TRUE,"Not classified"))</f>
        <v>Not uploaded</v>
      </c>
      <c r="C1110" s="1" t="str" cm="1">
        <f t="array" ref="C1110">_xlfn.SWITCH(TRIM(I1110),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10" s="1"/>
      <c r="E1110" s="1"/>
      <c r="F1110" s="1" t="str" cm="1">
        <f t="array" ref="F1110">_xlfn.LET(
_xlpm.status,UPPER(TRIM(B1110&amp;"")),
_xlpm.risk,UPPER(TRIM(C1110&amp;"")),
_xlpm.notify,UPPER(TRIM(D1110&amp;"")),
_xlpm.form,UPPER(TRIM(E1110&amp;"")),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10" s="1" t="str">
        <f t="shared" si="17"/>
        <v>Required</v>
      </c>
      <c r="H1110" s="5"/>
      <c r="I1110" s="1" t="s">
        <v>25</v>
      </c>
      <c r="J1110" s="1"/>
      <c r="K1110" s="1" t="s">
        <v>3211</v>
      </c>
      <c r="L1110" s="1" t="s">
        <v>25</v>
      </c>
      <c r="M1110" s="1"/>
      <c r="N1110" s="1" t="s">
        <v>3213</v>
      </c>
      <c r="O1110" s="1" t="s">
        <v>19</v>
      </c>
      <c r="P1110" s="1" t="s">
        <v>18</v>
      </c>
      <c r="Q1110" s="1" t="s">
        <v>20</v>
      </c>
      <c r="R1110" s="1"/>
      <c r="S1110" s="1"/>
      <c r="T1110" s="1"/>
    </row>
    <row r="1111" spans="1:20">
      <c r="A1111" s="1" t="s">
        <v>3220</v>
      </c>
      <c r="B1111" s="1" t="str" cm="1">
        <f t="array" ref="B1111">IF(A1111="","",_xlfn.IFS(COUNTIF($U:$U,A1111)&gt;0,"All uploaded",COUNTIF($V:$V,A1111)&gt;0,"Partly uploaded",COUNTIF($W:$X,A1111)&gt;0,"Not uploaded",TRUE,"Not classified"))</f>
        <v>Partly uploaded</v>
      </c>
      <c r="C1111" s="1" t="str" cm="1">
        <f t="array" ref="C1111">_xlfn.SWITCH(TRIM(I1111),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11" s="1"/>
      <c r="E1111" s="1"/>
      <c r="F1111" s="1" t="str" cm="1">
        <f t="array" ref="F1111">_xlfn.LET(
_xlpm.status,UPPER(TRIM(B1111&amp;"")),
_xlpm.risk,UPPER(TRIM(C1111&amp;"")),
_xlpm.notify,UPPER(TRIM(D1111&amp;"")),
_xlpm.form,UPPER(TRIM(E1111&amp;"")),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11" s="1" t="str">
        <f t="shared" si="17"/>
        <v>Required</v>
      </c>
      <c r="H1111" s="5"/>
      <c r="I1111" s="1" t="s">
        <v>25</v>
      </c>
      <c r="J1111" s="1"/>
      <c r="K1111" s="1" t="s">
        <v>3214</v>
      </c>
      <c r="L1111" s="1" t="s">
        <v>25</v>
      </c>
      <c r="M1111" s="1"/>
      <c r="N1111" s="1" t="s">
        <v>2820</v>
      </c>
      <c r="O1111" s="1" t="s">
        <v>19</v>
      </c>
      <c r="P1111" s="1" t="s">
        <v>18</v>
      </c>
      <c r="Q1111" s="1" t="s">
        <v>20</v>
      </c>
      <c r="R1111" s="1"/>
      <c r="S1111" s="1"/>
      <c r="T1111" s="1"/>
    </row>
    <row r="1112" spans="1:20">
      <c r="A1112" s="1" t="s">
        <v>3225</v>
      </c>
      <c r="B1112" s="1" t="str" cm="1">
        <f t="array" ref="B1112">IF(A1112="","",_xlfn.IFS(COUNTIF($U:$U,A1112)&gt;0,"All uploaded",COUNTIF($V:$V,A1112)&gt;0,"Partly uploaded",COUNTIF($W:$X,A1112)&gt;0,"Not uploaded",TRUE,"Not classified"))</f>
        <v>Not uploaded</v>
      </c>
      <c r="C1112" s="1" t="str" cm="1">
        <f t="array" ref="C1112">_xlfn.SWITCH(TRIM(I1112),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12" s="1"/>
      <c r="E1112" s="1"/>
      <c r="F1112" s="1" t="str" cm="1">
        <f t="array" ref="F1112">_xlfn.LET(
_xlpm.status,UPPER(TRIM(B1112&amp;"")),
_xlpm.risk,UPPER(TRIM(C1112&amp;"")),
_xlpm.notify,UPPER(TRIM(D1112&amp;"")),
_xlpm.form,UPPER(TRIM(E1112&amp;"")),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12" s="1" t="str">
        <f t="shared" si="17"/>
        <v>Required</v>
      </c>
      <c r="H1112" s="5"/>
      <c r="I1112" s="1" t="s">
        <v>27</v>
      </c>
      <c r="J1112" s="1"/>
      <c r="K1112" s="1" t="s">
        <v>3224</v>
      </c>
      <c r="L1112" s="1" t="s">
        <v>27</v>
      </c>
      <c r="M1112" s="1"/>
      <c r="N1112" s="1" t="s">
        <v>1960</v>
      </c>
      <c r="O1112" s="1" t="s">
        <v>19</v>
      </c>
      <c r="P1112" s="1" t="s">
        <v>18</v>
      </c>
      <c r="Q1112" s="1" t="s">
        <v>20</v>
      </c>
      <c r="R1112" s="1"/>
      <c r="S1112" s="1"/>
      <c r="T1112" s="1"/>
    </row>
    <row r="1113" spans="1:20">
      <c r="A1113" s="1" t="s">
        <v>3227</v>
      </c>
      <c r="B1113" s="1" t="str" cm="1">
        <f t="array" ref="B1113">IF(A1113="","",_xlfn.IFS(COUNTIF($U:$U,A1113)&gt;0,"All uploaded",COUNTIF($V:$V,A1113)&gt;0,"Partly uploaded",COUNTIF($W:$X,A1113)&gt;0,"Not uploaded",TRUE,"Not classified"))</f>
        <v>Not uploaded</v>
      </c>
      <c r="C1113" s="1" t="str" cm="1">
        <f t="array" ref="C1113">_xlfn.SWITCH(TRIM(I1113),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13" s="1"/>
      <c r="E1113" s="1"/>
      <c r="F1113" s="1" t="str" cm="1">
        <f t="array" ref="F1113">_xlfn.LET(
_xlpm.status,UPPER(TRIM(B1113&amp;"")),
_xlpm.risk,UPPER(TRIM(C1113&amp;"")),
_xlpm.notify,UPPER(TRIM(D1113&amp;"")),
_xlpm.form,UPPER(TRIM(E1113&amp;"")),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13" s="1" t="str">
        <f t="shared" si="17"/>
        <v>Required</v>
      </c>
      <c r="H1113" s="5"/>
      <c r="I1113" s="1" t="s">
        <v>25</v>
      </c>
      <c r="J1113" s="1"/>
      <c r="K1113" s="1" t="s">
        <v>3226</v>
      </c>
      <c r="L1113" s="1" t="s">
        <v>25</v>
      </c>
      <c r="M1113" s="1"/>
      <c r="N1113" s="1" t="s">
        <v>3228</v>
      </c>
      <c r="O1113" s="1" t="s">
        <v>19</v>
      </c>
      <c r="P1113" s="1" t="s">
        <v>18</v>
      </c>
      <c r="Q1113" s="1" t="s">
        <v>20</v>
      </c>
      <c r="R1113" s="1"/>
      <c r="S1113" s="1"/>
      <c r="T1113" s="1"/>
    </row>
    <row r="1114" spans="1:20">
      <c r="A1114" s="1" t="s">
        <v>3235</v>
      </c>
      <c r="B1114" s="1" t="str" cm="1">
        <f t="array" ref="B1114">IF(A1114="","",_xlfn.IFS(COUNTIF($U:$U,A1114)&gt;0,"All uploaded",COUNTIF($V:$V,A1114)&gt;0,"Partly uploaded",COUNTIF($W:$X,A1114)&gt;0,"Not uploaded",TRUE,"Not classified"))</f>
        <v>Not uploaded</v>
      </c>
      <c r="C1114" s="1" t="str" cm="1">
        <f t="array" ref="C1114">_xlfn.SWITCH(TRIM(I1114),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14" s="1"/>
      <c r="E1114" s="1"/>
      <c r="F1114" s="1" t="str" cm="1">
        <f t="array" ref="F1114">_xlfn.LET(
_xlpm.status,UPPER(TRIM(B1114&amp;"")),
_xlpm.risk,UPPER(TRIM(C1114&amp;"")),
_xlpm.notify,UPPER(TRIM(D1114&amp;"")),
_xlpm.form,UPPER(TRIM(E1114&amp;"")),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14" s="1" t="str">
        <f t="shared" si="17"/>
        <v>NA</v>
      </c>
      <c r="H1114" s="5"/>
      <c r="I1114" s="1" t="s">
        <v>23</v>
      </c>
      <c r="J1114" s="1"/>
      <c r="K1114" s="1" t="s">
        <v>3226</v>
      </c>
      <c r="L1114" s="1" t="s">
        <v>23</v>
      </c>
      <c r="M1114" s="1"/>
      <c r="N1114" s="1" t="s">
        <v>3236</v>
      </c>
      <c r="O1114" s="1" t="s">
        <v>19</v>
      </c>
      <c r="P1114" s="1" t="s">
        <v>18</v>
      </c>
      <c r="Q1114" s="1" t="s">
        <v>20</v>
      </c>
      <c r="R1114" s="1"/>
      <c r="S1114" s="1"/>
      <c r="T1114" s="1"/>
    </row>
    <row r="1115" spans="1:20">
      <c r="A1115" s="1" t="s">
        <v>3229</v>
      </c>
      <c r="B1115" s="1" t="str" cm="1">
        <f t="array" ref="B1115">IF(A1115="","",_xlfn.IFS(COUNTIF($U:$U,A1115)&gt;0,"All uploaded",COUNTIF($V:$V,A1115)&gt;0,"Partly uploaded",COUNTIF($W:$X,A1115)&gt;0,"Not uploaded",TRUE,"Not classified"))</f>
        <v>Partly uploaded</v>
      </c>
      <c r="C1115" s="1" t="str" cm="1">
        <f t="array" ref="C1115">_xlfn.SWITCH(TRIM(I1115),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15" s="1"/>
      <c r="E1115" s="1"/>
      <c r="F1115" s="1" t="str" cm="1">
        <f t="array" ref="F1115">_xlfn.LET(
_xlpm.status,UPPER(TRIM(B1115&amp;"")),
_xlpm.risk,UPPER(TRIM(C1115&amp;"")),
_xlpm.notify,UPPER(TRIM(D1115&amp;"")),
_xlpm.form,UPPER(TRIM(E1115&amp;"")),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15" s="1" t="str">
        <f t="shared" si="17"/>
        <v>NA</v>
      </c>
      <c r="H1115" s="5"/>
      <c r="I1115" s="1" t="s">
        <v>23</v>
      </c>
      <c r="J1115" s="1"/>
      <c r="K1115" s="1" t="s">
        <v>3226</v>
      </c>
      <c r="L1115" s="1" t="s">
        <v>23</v>
      </c>
      <c r="M1115" s="1"/>
      <c r="N1115" s="1" t="s">
        <v>3230</v>
      </c>
      <c r="O1115" s="1" t="s">
        <v>19</v>
      </c>
      <c r="P1115" s="1" t="s">
        <v>18</v>
      </c>
      <c r="Q1115" s="1" t="s">
        <v>20</v>
      </c>
      <c r="R1115" s="1"/>
      <c r="S1115" s="1"/>
      <c r="T1115" s="1"/>
    </row>
    <row r="1116" spans="1:20">
      <c r="A1116" s="1" t="s">
        <v>3238</v>
      </c>
      <c r="B1116" s="1" t="str" cm="1">
        <f t="array" ref="B1116">IF(A1116="","",_xlfn.IFS(COUNTIF($U:$U,A1116)&gt;0,"All uploaded",COUNTIF($V:$V,A1116)&gt;0,"Partly uploaded",COUNTIF($W:$X,A1116)&gt;0,"Not uploaded",TRUE,"Not classified"))</f>
        <v>Not uploaded</v>
      </c>
      <c r="C1116" s="1" t="str" cm="1">
        <f t="array" ref="C1116">_xlfn.SWITCH(TRIM(I1116),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16" s="1"/>
      <c r="E1116" s="1"/>
      <c r="F1116" s="1" t="str" cm="1">
        <f t="array" ref="F1116">_xlfn.LET(
_xlpm.status,UPPER(TRIM(B1116&amp;"")),
_xlpm.risk,UPPER(TRIM(C1116&amp;"")),
_xlpm.notify,UPPER(TRIM(D1116&amp;"")),
_xlpm.form,UPPER(TRIM(E1116&amp;"")),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16" s="1" t="str">
        <f t="shared" si="17"/>
        <v>NA</v>
      </c>
      <c r="H1116" s="5"/>
      <c r="I1116" s="1" t="s">
        <v>22</v>
      </c>
      <c r="J1116" s="1"/>
      <c r="K1116" s="1" t="s">
        <v>3237</v>
      </c>
      <c r="L1116" s="1" t="s">
        <v>22</v>
      </c>
      <c r="M1116" s="1"/>
      <c r="N1116" s="1" t="s">
        <v>3239</v>
      </c>
      <c r="O1116" s="1" t="s">
        <v>19</v>
      </c>
      <c r="P1116" s="1" t="s">
        <v>18</v>
      </c>
      <c r="Q1116" s="1" t="s">
        <v>20</v>
      </c>
      <c r="R1116" s="1"/>
      <c r="S1116" s="1"/>
      <c r="T1116" s="1"/>
    </row>
    <row r="1117" spans="1:20">
      <c r="A1117" s="1" t="s">
        <v>3240</v>
      </c>
      <c r="B1117" s="1" t="str" cm="1">
        <f t="array" ref="B1117">IF(A1117="","",_xlfn.IFS(COUNTIF($U:$U,A1117)&gt;0,"All uploaded",COUNTIF($V:$V,A1117)&gt;0,"Partly uploaded",COUNTIF($W:$X,A1117)&gt;0,"Not uploaded",TRUE,"Not classified"))</f>
        <v>Not uploaded</v>
      </c>
      <c r="C1117" s="1" t="str" cm="1">
        <f t="array" ref="C1117">_xlfn.SWITCH(TRIM(I1117),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17" s="1"/>
      <c r="E1117" s="1"/>
      <c r="F1117" s="1" t="str" cm="1">
        <f t="array" ref="F1117">_xlfn.LET(
_xlpm.status,UPPER(TRIM(B1117&amp;"")),
_xlpm.risk,UPPER(TRIM(C1117&amp;"")),
_xlpm.notify,UPPER(TRIM(D1117&amp;"")),
_xlpm.form,UPPER(TRIM(E1117&amp;"")),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17" s="1" t="str">
        <f t="shared" si="17"/>
        <v>NA</v>
      </c>
      <c r="H1117" s="5"/>
      <c r="I1117" s="1" t="s">
        <v>23</v>
      </c>
      <c r="J1117" s="1"/>
      <c r="K1117" s="1" t="s">
        <v>3237</v>
      </c>
      <c r="L1117" s="1" t="s">
        <v>23</v>
      </c>
      <c r="M1117" s="1"/>
      <c r="N1117" s="1" t="s">
        <v>2314</v>
      </c>
      <c r="O1117" s="1" t="s">
        <v>19</v>
      </c>
      <c r="P1117" s="1" t="s">
        <v>18</v>
      </c>
      <c r="Q1117" s="1" t="s">
        <v>20</v>
      </c>
      <c r="R1117" s="1"/>
      <c r="S1117" s="1"/>
      <c r="T1117" s="1"/>
    </row>
    <row r="1118" spans="1:20">
      <c r="A1118" s="1" t="s">
        <v>3242</v>
      </c>
      <c r="B1118" s="1" t="str" cm="1">
        <f t="array" ref="B1118">IF(A1118="","",_xlfn.IFS(COUNTIF($U:$U,A1118)&gt;0,"All uploaded",COUNTIF($V:$V,A1118)&gt;0,"Partly uploaded",COUNTIF($W:$X,A1118)&gt;0,"Not uploaded",TRUE,"Not classified"))</f>
        <v>Not uploaded</v>
      </c>
      <c r="C1118" s="1" t="str" cm="1">
        <f t="array" ref="C1118">_xlfn.SWITCH(TRIM(I1118),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18" s="1"/>
      <c r="E1118" s="1"/>
      <c r="F1118" s="1" t="str" cm="1">
        <f t="array" ref="F1118">_xlfn.LET(
_xlpm.status,UPPER(TRIM(B1118&amp;"")),
_xlpm.risk,UPPER(TRIM(C1118&amp;"")),
_xlpm.notify,UPPER(TRIM(D1118&amp;"")),
_xlpm.form,UPPER(TRIM(E1118&amp;"")),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18" s="1" t="str">
        <f t="shared" si="17"/>
        <v>NA</v>
      </c>
      <c r="H1118" s="5"/>
      <c r="I1118" s="1" t="s">
        <v>23</v>
      </c>
      <c r="J1118" s="1"/>
      <c r="K1118" s="1" t="s">
        <v>3241</v>
      </c>
      <c r="L1118" s="1" t="s">
        <v>23</v>
      </c>
      <c r="M1118" s="1"/>
      <c r="N1118" s="1" t="s">
        <v>3243</v>
      </c>
      <c r="O1118" s="1" t="s">
        <v>19</v>
      </c>
      <c r="P1118" s="1" t="s">
        <v>18</v>
      </c>
      <c r="Q1118" s="1" t="s">
        <v>20</v>
      </c>
      <c r="R1118" s="1"/>
      <c r="S1118" s="1"/>
      <c r="T1118" s="1"/>
    </row>
    <row r="1119" spans="1:20">
      <c r="A1119" s="1" t="s">
        <v>3244</v>
      </c>
      <c r="B1119" s="1" t="str" cm="1">
        <f t="array" ref="B1119">IF(A1119="","",_xlfn.IFS(COUNTIF($U:$U,A1119)&gt;0,"All uploaded",COUNTIF($V:$V,A1119)&gt;0,"Partly uploaded",COUNTIF($W:$X,A1119)&gt;0,"Not uploaded",TRUE,"Not classified"))</f>
        <v>Not uploaded</v>
      </c>
      <c r="C1119" s="1" t="str" cm="1">
        <f t="array" ref="C1119">_xlfn.SWITCH(TRIM(I1119),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19" s="1"/>
      <c r="E1119" s="1"/>
      <c r="F1119" s="1" t="str" cm="1">
        <f t="array" ref="F1119">_xlfn.LET(
_xlpm.status,UPPER(TRIM(B1119&amp;"")),
_xlpm.risk,UPPER(TRIM(C1119&amp;"")),
_xlpm.notify,UPPER(TRIM(D1119&amp;"")),
_xlpm.form,UPPER(TRIM(E1119&amp;"")),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19" s="1" t="str">
        <f t="shared" si="17"/>
        <v>NA</v>
      </c>
      <c r="H1119" s="5"/>
      <c r="I1119" s="1" t="s">
        <v>23</v>
      </c>
      <c r="J1119" s="1"/>
      <c r="K1119" s="1" t="s">
        <v>3241</v>
      </c>
      <c r="L1119" s="1" t="s">
        <v>23</v>
      </c>
      <c r="M1119" s="1"/>
      <c r="N1119" s="1" t="s">
        <v>3245</v>
      </c>
      <c r="O1119" s="1" t="s">
        <v>19</v>
      </c>
      <c r="P1119" s="1" t="s">
        <v>18</v>
      </c>
      <c r="Q1119" s="1" t="s">
        <v>20</v>
      </c>
      <c r="R1119" s="1"/>
      <c r="S1119" s="1"/>
      <c r="T1119" s="1"/>
    </row>
    <row r="1120" spans="1:20">
      <c r="A1120" s="1" t="s">
        <v>3254</v>
      </c>
      <c r="B1120" s="1" t="str" cm="1">
        <f t="array" ref="B1120">IF(A1120="","",_xlfn.IFS(COUNTIF($U:$U,A1120)&gt;0,"All uploaded",COUNTIF($V:$V,A1120)&gt;0,"Partly uploaded",COUNTIF($W:$X,A1120)&gt;0,"Not uploaded",TRUE,"Not classified"))</f>
        <v>Partly uploaded</v>
      </c>
      <c r="C1120" s="1" t="str" cm="1">
        <f t="array" ref="C1120">_xlfn.SWITCH(TRIM(I1120),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20" s="1"/>
      <c r="E1120" s="1"/>
      <c r="F1120" s="1" t="str" cm="1">
        <f t="array" ref="F1120">_xlfn.LET(
_xlpm.status,UPPER(TRIM(B1120&amp;"")),
_xlpm.risk,UPPER(TRIM(C1120&amp;"")),
_xlpm.notify,UPPER(TRIM(D1120&amp;"")),
_xlpm.form,UPPER(TRIM(E1120&amp;"")),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20" s="1" t="str">
        <f t="shared" si="17"/>
        <v>NA</v>
      </c>
      <c r="H1120" s="5"/>
      <c r="I1120" s="1" t="s">
        <v>23</v>
      </c>
      <c r="J1120" s="1"/>
      <c r="K1120" s="1" t="s">
        <v>3253</v>
      </c>
      <c r="L1120" s="1" t="s">
        <v>23</v>
      </c>
      <c r="M1120" s="1"/>
      <c r="N1120" s="1" t="s">
        <v>3255</v>
      </c>
      <c r="O1120" s="1" t="s">
        <v>19</v>
      </c>
      <c r="P1120" s="1" t="s">
        <v>18</v>
      </c>
      <c r="Q1120" s="1" t="s">
        <v>20</v>
      </c>
      <c r="R1120" s="1"/>
      <c r="S1120" s="1"/>
      <c r="T1120" s="1"/>
    </row>
    <row r="1121" spans="1:20">
      <c r="A1121" s="1" t="s">
        <v>3266</v>
      </c>
      <c r="B1121" s="1" t="str" cm="1">
        <f t="array" ref="B1121">IF(A1121="","",_xlfn.IFS(COUNTIF($U:$U,A1121)&gt;0,"All uploaded",COUNTIF($V:$V,A1121)&gt;0,"Partly uploaded",COUNTIF($W:$X,A1121)&gt;0,"Not uploaded",TRUE,"Not classified"))</f>
        <v>Not uploaded</v>
      </c>
      <c r="C1121" s="1" t="str" cm="1">
        <f t="array" ref="C1121">_xlfn.SWITCH(TRIM(I1121),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21" s="1"/>
      <c r="E1121" s="1"/>
      <c r="F1121" s="1" t="str" cm="1">
        <f t="array" ref="F1121">_xlfn.LET(
_xlpm.status,UPPER(TRIM(B1121&amp;"")),
_xlpm.risk,UPPER(TRIM(C1121&amp;"")),
_xlpm.notify,UPPER(TRIM(D1121&amp;"")),
_xlpm.form,UPPER(TRIM(E1121&amp;"")),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21" s="1" t="str">
        <f t="shared" si="17"/>
        <v>Required</v>
      </c>
      <c r="H1121" s="5"/>
      <c r="I1121" s="1" t="s">
        <v>25</v>
      </c>
      <c r="J1121" s="1"/>
      <c r="K1121" s="1" t="s">
        <v>3262</v>
      </c>
      <c r="L1121" s="1" t="s">
        <v>25</v>
      </c>
      <c r="M1121" s="1"/>
      <c r="N1121" s="1" t="s">
        <v>57</v>
      </c>
      <c r="O1121" s="1" t="s">
        <v>19</v>
      </c>
      <c r="P1121" s="1" t="s">
        <v>18</v>
      </c>
      <c r="Q1121" s="1" t="s">
        <v>20</v>
      </c>
      <c r="R1121" s="1"/>
      <c r="S1121" s="1"/>
      <c r="T1121" s="1"/>
    </row>
    <row r="1122" spans="1:20">
      <c r="A1122" s="1" t="s">
        <v>3280</v>
      </c>
      <c r="B1122" s="1" t="str" cm="1">
        <f t="array" ref="B1122">IF(A1122="","",_xlfn.IFS(COUNTIF($U:$U,A1122)&gt;0,"All uploaded",COUNTIF($V:$V,A1122)&gt;0,"Partly uploaded",COUNTIF($W:$X,A1122)&gt;0,"Not uploaded",TRUE,"Not classified"))</f>
        <v>Partly uploaded</v>
      </c>
      <c r="C1122" s="1" t="str" cm="1">
        <f t="array" ref="C1122">_xlfn.SWITCH(TRIM(I1122),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22" s="1"/>
      <c r="E1122" s="1"/>
      <c r="F1122" s="1" t="str" cm="1">
        <f t="array" ref="F1122">_xlfn.LET(
_xlpm.status,UPPER(TRIM(B1122&amp;"")),
_xlpm.risk,UPPER(TRIM(C1122&amp;"")),
_xlpm.notify,UPPER(TRIM(D1122&amp;"")),
_xlpm.form,UPPER(TRIM(E1122&amp;"")),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22" s="1" t="str">
        <f t="shared" si="17"/>
        <v>Required</v>
      </c>
      <c r="H1122" s="5"/>
      <c r="I1122" s="1" t="s">
        <v>33</v>
      </c>
      <c r="J1122" s="1"/>
      <c r="K1122" s="1" t="s">
        <v>3279</v>
      </c>
      <c r="L1122" s="1" t="s">
        <v>33</v>
      </c>
      <c r="M1122" s="1"/>
      <c r="N1122" s="1" t="s">
        <v>3281</v>
      </c>
      <c r="O1122" s="1" t="s">
        <v>19</v>
      </c>
      <c r="P1122" s="1" t="s">
        <v>18</v>
      </c>
      <c r="Q1122" s="1" t="s">
        <v>20</v>
      </c>
      <c r="R1122" s="1"/>
      <c r="S1122" s="1"/>
      <c r="T1122" s="1"/>
    </row>
    <row r="1123" spans="1:20">
      <c r="A1123" s="1" t="s">
        <v>3286</v>
      </c>
      <c r="B1123" s="1" t="str" cm="1">
        <f t="array" ref="B1123">IF(A1123="","",_xlfn.IFS(COUNTIF($U:$U,A1123)&gt;0,"All uploaded",COUNTIF($V:$V,A1123)&gt;0,"Partly uploaded",COUNTIF($W:$X,A1123)&gt;0,"Not uploaded",TRUE,"Not classified"))</f>
        <v>Not uploaded</v>
      </c>
      <c r="C1123" s="1" t="str" cm="1">
        <f t="array" ref="C1123">_xlfn.SWITCH(TRIM(I1123),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23" s="1"/>
      <c r="E1123" s="1"/>
      <c r="F1123" s="1" t="str" cm="1">
        <f t="array" ref="F1123">_xlfn.LET(
_xlpm.status,UPPER(TRIM(B1123&amp;"")),
_xlpm.risk,UPPER(TRIM(C1123&amp;"")),
_xlpm.notify,UPPER(TRIM(D1123&amp;"")),
_xlpm.form,UPPER(TRIM(E1123&amp;"")),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23" s="1" t="str">
        <f t="shared" si="17"/>
        <v>Required</v>
      </c>
      <c r="H1123" s="5"/>
      <c r="I1123" s="1" t="s">
        <v>27</v>
      </c>
      <c r="J1123" s="1"/>
      <c r="K1123" s="1" t="s">
        <v>3285</v>
      </c>
      <c r="L1123" s="1" t="s">
        <v>27</v>
      </c>
      <c r="M1123" s="1"/>
      <c r="N1123" s="1" t="s">
        <v>3287</v>
      </c>
      <c r="O1123" s="1" t="s">
        <v>19</v>
      </c>
      <c r="P1123" s="1" t="s">
        <v>18</v>
      </c>
      <c r="Q1123" s="1" t="s">
        <v>20</v>
      </c>
      <c r="R1123" s="1"/>
      <c r="S1123" s="1"/>
      <c r="T1123" s="1"/>
    </row>
    <row r="1124" spans="1:20">
      <c r="A1124" s="1" t="s">
        <v>3289</v>
      </c>
      <c r="B1124" s="1" t="str" cm="1">
        <f t="array" ref="B1124">IF(A1124="","",_xlfn.IFS(COUNTIF($U:$U,A1124)&gt;0,"All uploaded",COUNTIF($V:$V,A1124)&gt;0,"Partly uploaded",COUNTIF($W:$X,A1124)&gt;0,"Not uploaded",TRUE,"Not classified"))</f>
        <v>Not uploaded</v>
      </c>
      <c r="C1124" s="1" t="str" cm="1">
        <f t="array" ref="C1124">_xlfn.SWITCH(TRIM(I1124),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24" s="1"/>
      <c r="E1124" s="1"/>
      <c r="F1124" s="1" t="str" cm="1">
        <f t="array" ref="F1124">_xlfn.LET(
_xlpm.status,UPPER(TRIM(B1124&amp;"")),
_xlpm.risk,UPPER(TRIM(C1124&amp;"")),
_xlpm.notify,UPPER(TRIM(D1124&amp;"")),
_xlpm.form,UPPER(TRIM(E1124&amp;"")),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24" s="1" t="str">
        <f t="shared" si="17"/>
        <v>Required</v>
      </c>
      <c r="H1124" s="5"/>
      <c r="I1124" s="1" t="s">
        <v>27</v>
      </c>
      <c r="J1124" s="1"/>
      <c r="K1124" s="1" t="s">
        <v>3288</v>
      </c>
      <c r="L1124" s="1" t="s">
        <v>27</v>
      </c>
      <c r="M1124" s="1"/>
      <c r="N1124" s="1" t="s">
        <v>3290</v>
      </c>
      <c r="O1124" s="1" t="s">
        <v>19</v>
      </c>
      <c r="P1124" s="1" t="s">
        <v>18</v>
      </c>
      <c r="Q1124" s="1" t="s">
        <v>20</v>
      </c>
      <c r="R1124" s="1"/>
      <c r="S1124" s="1"/>
      <c r="T1124" s="1"/>
    </row>
    <row r="1125" spans="1:20">
      <c r="A1125" s="1" t="s">
        <v>3292</v>
      </c>
      <c r="B1125" s="1" t="str" cm="1">
        <f t="array" ref="B1125">IF(A1125="","",_xlfn.IFS(COUNTIF($U:$U,A1125)&gt;0,"All uploaded",COUNTIF($V:$V,A1125)&gt;0,"Partly uploaded",COUNTIF($W:$X,A1125)&gt;0,"Not uploaded",TRUE,"Not classified"))</f>
        <v>Not uploaded</v>
      </c>
      <c r="C1125" s="1" t="str" cm="1">
        <f t="array" ref="C1125">_xlfn.SWITCH(TRIM(I1125),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25" s="1"/>
      <c r="E1125" s="1"/>
      <c r="F1125" s="1" t="str" cm="1">
        <f t="array" ref="F1125">_xlfn.LET(
_xlpm.status,UPPER(TRIM(B1125&amp;"")),
_xlpm.risk,UPPER(TRIM(C1125&amp;"")),
_xlpm.notify,UPPER(TRIM(D1125&amp;"")),
_xlpm.form,UPPER(TRIM(E1125&amp;"")),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25" s="1" t="str">
        <f t="shared" si="17"/>
        <v>Required</v>
      </c>
      <c r="H1125" s="5"/>
      <c r="I1125" s="1" t="s">
        <v>27</v>
      </c>
      <c r="J1125" s="1"/>
      <c r="K1125" s="1" t="s">
        <v>3291</v>
      </c>
      <c r="L1125" s="1" t="s">
        <v>27</v>
      </c>
      <c r="M1125" s="1"/>
      <c r="N1125" s="1" t="s">
        <v>3293</v>
      </c>
      <c r="O1125" s="1" t="s">
        <v>19</v>
      </c>
      <c r="P1125" s="1" t="s">
        <v>18</v>
      </c>
      <c r="Q1125" s="1" t="s">
        <v>20</v>
      </c>
      <c r="R1125" s="1"/>
      <c r="S1125" s="1"/>
      <c r="T1125" s="1"/>
    </row>
    <row r="1126" spans="1:20">
      <c r="A1126" s="1" t="s">
        <v>3295</v>
      </c>
      <c r="B1126" s="1" t="str" cm="1">
        <f t="array" ref="B1126">IF(A1126="","",_xlfn.IFS(COUNTIF($U:$U,A1126)&gt;0,"All uploaded",COUNTIF($V:$V,A1126)&gt;0,"Partly uploaded",COUNTIF($W:$X,A1126)&gt;0,"Not uploaded",TRUE,"Not classified"))</f>
        <v>Not uploaded</v>
      </c>
      <c r="C1126" s="1" t="str" cm="1">
        <f t="array" ref="C1126">_xlfn.SWITCH(TRIM(I1126),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26" s="1"/>
      <c r="E1126" s="1"/>
      <c r="F1126" s="1" t="str" cm="1">
        <f t="array" ref="F1126">_xlfn.LET(
_xlpm.status,UPPER(TRIM(B1126&amp;"")),
_xlpm.risk,UPPER(TRIM(C1126&amp;"")),
_xlpm.notify,UPPER(TRIM(D1126&amp;"")),
_xlpm.form,UPPER(TRIM(E1126&amp;"")),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26" s="1" t="str">
        <f t="shared" si="17"/>
        <v>Required</v>
      </c>
      <c r="H1126" s="5"/>
      <c r="I1126" s="1" t="s">
        <v>25</v>
      </c>
      <c r="J1126" s="1"/>
      <c r="K1126" s="1" t="s">
        <v>3294</v>
      </c>
      <c r="L1126" s="1" t="s">
        <v>25</v>
      </c>
      <c r="M1126" s="1"/>
      <c r="N1126" s="1" t="s">
        <v>3296</v>
      </c>
      <c r="O1126" s="1" t="s">
        <v>19</v>
      </c>
      <c r="P1126" s="1" t="s">
        <v>18</v>
      </c>
      <c r="Q1126" s="1" t="s">
        <v>20</v>
      </c>
      <c r="R1126" s="1"/>
      <c r="S1126" s="1"/>
      <c r="T1126" s="1"/>
    </row>
    <row r="1127" spans="1:20">
      <c r="A1127" s="1" t="s">
        <v>3297</v>
      </c>
      <c r="B1127" s="1" t="str" cm="1">
        <f t="array" ref="B1127">IF(A1127="","",_xlfn.IFS(COUNTIF($U:$U,A1127)&gt;0,"All uploaded",COUNTIF($V:$V,A1127)&gt;0,"Partly uploaded",COUNTIF($W:$X,A1127)&gt;0,"Not uploaded",TRUE,"Not classified"))</f>
        <v>Not uploaded</v>
      </c>
      <c r="C1127" s="1" t="str" cm="1">
        <f t="array" ref="C1127">_xlfn.SWITCH(TRIM(I1127),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27" s="1"/>
      <c r="E1127" s="1"/>
      <c r="F1127" s="1" t="str" cm="1">
        <f t="array" ref="F1127">_xlfn.LET(
_xlpm.status,UPPER(TRIM(B1127&amp;"")),
_xlpm.risk,UPPER(TRIM(C1127&amp;"")),
_xlpm.notify,UPPER(TRIM(D1127&amp;"")),
_xlpm.form,UPPER(TRIM(E1127&amp;"")),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27" s="1" t="str">
        <f t="shared" si="17"/>
        <v>NA</v>
      </c>
      <c r="H1127" s="5"/>
      <c r="I1127" s="1" t="s">
        <v>22</v>
      </c>
      <c r="J1127" s="1"/>
      <c r="K1127" s="1" t="s">
        <v>3294</v>
      </c>
      <c r="L1127" s="1" t="s">
        <v>22</v>
      </c>
      <c r="M1127" s="1"/>
      <c r="N1127" s="1" t="s">
        <v>3298</v>
      </c>
      <c r="O1127" s="1" t="s">
        <v>19</v>
      </c>
      <c r="P1127" s="1" t="s">
        <v>18</v>
      </c>
      <c r="Q1127" s="1" t="s">
        <v>20</v>
      </c>
      <c r="R1127" s="1"/>
      <c r="S1127" s="1"/>
      <c r="T1127" s="1"/>
    </row>
    <row r="1128" spans="1:20">
      <c r="A1128" s="1" t="s">
        <v>3300</v>
      </c>
      <c r="B1128" s="1" t="str" cm="1">
        <f t="array" ref="B1128">IF(A1128="","",_xlfn.IFS(COUNTIF($U:$U,A1128)&gt;0,"All uploaded",COUNTIF($V:$V,A1128)&gt;0,"Partly uploaded",COUNTIF($W:$X,A1128)&gt;0,"Not uploaded",TRUE,"Not classified"))</f>
        <v>Not uploaded</v>
      </c>
      <c r="C1128" s="1" t="str" cm="1">
        <f t="array" ref="C1128">_xlfn.SWITCH(TRIM(I1128),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128" s="1"/>
      <c r="E1128" s="1"/>
      <c r="F1128" s="1" t="str" cm="1">
        <f t="array" ref="F1128">_xlfn.LET(
_xlpm.status,UPPER(TRIM(B1128&amp;"")),
_xlpm.risk,UPPER(TRIM(C1128&amp;"")),
_xlpm.notify,UPPER(TRIM(D1128&amp;"")),
_xlpm.form,UPPER(TRIM(E1128&amp;"")),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128" s="1" t="str">
        <f t="shared" si="17"/>
        <v>NA</v>
      </c>
      <c r="H1128" s="5"/>
      <c r="I1128" s="1" t="s">
        <v>21</v>
      </c>
      <c r="J1128" s="1"/>
      <c r="K1128" s="1" t="s">
        <v>3299</v>
      </c>
      <c r="L1128" s="1" t="s">
        <v>21</v>
      </c>
      <c r="M1128" s="1"/>
      <c r="N1128" s="1" t="s">
        <v>83</v>
      </c>
      <c r="O1128" s="1" t="s">
        <v>19</v>
      </c>
      <c r="P1128" s="1" t="s">
        <v>18</v>
      </c>
      <c r="Q1128" s="1" t="s">
        <v>20</v>
      </c>
      <c r="R1128" s="1"/>
      <c r="S1128" s="1"/>
      <c r="T1128" s="1"/>
    </row>
    <row r="1129" spans="1:20">
      <c r="A1129" s="1" t="s">
        <v>3301</v>
      </c>
      <c r="B1129" s="1" t="str" cm="1">
        <f t="array" ref="B1129">IF(A1129="","",_xlfn.IFS(COUNTIF($U:$U,A1129)&gt;0,"All uploaded",COUNTIF($V:$V,A1129)&gt;0,"Partly uploaded",COUNTIF($W:$X,A1129)&gt;0,"Not uploaded",TRUE,"Not classified"))</f>
        <v>Not uploaded</v>
      </c>
      <c r="C1129" s="1" t="str" cm="1">
        <f t="array" ref="C1129">_xlfn.SWITCH(TRIM(I1129),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129" s="1"/>
      <c r="E1129" s="1"/>
      <c r="F1129" s="1" t="str" cm="1">
        <f t="array" ref="F1129">_xlfn.LET(
_xlpm.status,UPPER(TRIM(B1129&amp;"")),
_xlpm.risk,UPPER(TRIM(C1129&amp;"")),
_xlpm.notify,UPPER(TRIM(D1129&amp;"")),
_xlpm.form,UPPER(TRIM(E1129&amp;"")),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129" s="1" t="str">
        <f t="shared" si="17"/>
        <v>NA</v>
      </c>
      <c r="H1129" s="5"/>
      <c r="I1129" s="1" t="s">
        <v>21</v>
      </c>
      <c r="J1129" s="1"/>
      <c r="K1129" s="1" t="s">
        <v>3299</v>
      </c>
      <c r="L1129" s="1" t="s">
        <v>21</v>
      </c>
      <c r="M1129" s="1"/>
      <c r="N1129" s="1" t="s">
        <v>83</v>
      </c>
      <c r="O1129" s="1" t="s">
        <v>19</v>
      </c>
      <c r="P1129" s="1" t="s">
        <v>18</v>
      </c>
      <c r="Q1129" s="1" t="s">
        <v>20</v>
      </c>
      <c r="R1129" s="1"/>
      <c r="S1129" s="1"/>
      <c r="T1129" s="1"/>
    </row>
    <row r="1130" spans="1:20">
      <c r="A1130" s="1" t="s">
        <v>3303</v>
      </c>
      <c r="B1130" s="1" t="str" cm="1">
        <f t="array" ref="B1130">IF(A1130="","",_xlfn.IFS(COUNTIF($U:$U,A1130)&gt;0,"All uploaded",COUNTIF($V:$V,A1130)&gt;0,"Partly uploaded",COUNTIF($W:$X,A1130)&gt;0,"Not uploaded",TRUE,"Not classified"))</f>
        <v>Not uploaded</v>
      </c>
      <c r="C1130" s="1" t="str" cm="1">
        <f t="array" ref="C1130">_xlfn.SWITCH(TRIM(I1130),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30" s="1"/>
      <c r="E1130" s="1"/>
      <c r="F1130" s="1" t="str" cm="1">
        <f t="array" ref="F1130">_xlfn.LET(
_xlpm.status,UPPER(TRIM(B1130&amp;"")),
_xlpm.risk,UPPER(TRIM(C1130&amp;"")),
_xlpm.notify,UPPER(TRIM(D1130&amp;"")),
_xlpm.form,UPPER(TRIM(E1130&amp;"")),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30" s="1" t="str">
        <f t="shared" si="17"/>
        <v>NA</v>
      </c>
      <c r="H1130" s="5"/>
      <c r="I1130" s="1" t="s">
        <v>48</v>
      </c>
      <c r="J1130" s="1"/>
      <c r="K1130" s="1" t="s">
        <v>3302</v>
      </c>
      <c r="L1130" s="1" t="s">
        <v>48</v>
      </c>
      <c r="M1130" s="1"/>
      <c r="N1130" s="1" t="s">
        <v>3304</v>
      </c>
      <c r="O1130" s="1" t="s">
        <v>19</v>
      </c>
      <c r="P1130" s="1" t="s">
        <v>18</v>
      </c>
      <c r="Q1130" s="1" t="s">
        <v>20</v>
      </c>
      <c r="R1130" s="1"/>
      <c r="S1130" s="1"/>
      <c r="T1130" s="1"/>
    </row>
    <row r="1131" spans="1:20">
      <c r="A1131" s="1" t="s">
        <v>3306</v>
      </c>
      <c r="B1131" s="1" t="str" cm="1">
        <f t="array" ref="B1131">IF(A1131="","",_xlfn.IFS(COUNTIF($U:$U,A1131)&gt;0,"All uploaded",COUNTIF($V:$V,A1131)&gt;0,"Partly uploaded",COUNTIF($W:$X,A1131)&gt;0,"Not uploaded",TRUE,"Not classified"))</f>
        <v>Partly uploaded</v>
      </c>
      <c r="C1131" s="1" t="str" cm="1">
        <f t="array" ref="C1131">_xlfn.SWITCH(TRIM(I1131),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31" s="1"/>
      <c r="E1131" s="1"/>
      <c r="F1131" s="1" t="str" cm="1">
        <f t="array" ref="F1131">_xlfn.LET(
_xlpm.status,UPPER(TRIM(B1131&amp;"")),
_xlpm.risk,UPPER(TRIM(C1131&amp;"")),
_xlpm.notify,UPPER(TRIM(D1131&amp;"")),
_xlpm.form,UPPER(TRIM(E1131&amp;"")),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31" s="1" t="str">
        <f t="shared" si="17"/>
        <v>NA</v>
      </c>
      <c r="H1131" s="5"/>
      <c r="I1131" s="1" t="s">
        <v>22</v>
      </c>
      <c r="J1131" s="1"/>
      <c r="K1131" s="1" t="s">
        <v>3305</v>
      </c>
      <c r="L1131" s="1" t="s">
        <v>22</v>
      </c>
      <c r="M1131" s="1"/>
      <c r="N1131" s="1" t="s">
        <v>3307</v>
      </c>
      <c r="O1131" s="1" t="s">
        <v>19</v>
      </c>
      <c r="P1131" s="1" t="s">
        <v>18</v>
      </c>
      <c r="Q1131" s="1" t="s">
        <v>20</v>
      </c>
      <c r="R1131" s="1"/>
      <c r="S1131" s="1"/>
      <c r="T1131" s="1"/>
    </row>
    <row r="1132" spans="1:20">
      <c r="A1132" s="1" t="s">
        <v>3308</v>
      </c>
      <c r="B1132" s="1" t="str" cm="1">
        <f t="array" ref="B1132">IF(A1132="","",_xlfn.IFS(COUNTIF($U:$U,A1132)&gt;0,"All uploaded",COUNTIF($V:$V,A1132)&gt;0,"Partly uploaded",COUNTIF($W:$X,A1132)&gt;0,"Not uploaded",TRUE,"Not classified"))</f>
        <v>Not uploaded</v>
      </c>
      <c r="C1132" s="1" t="str" cm="1">
        <f t="array" ref="C1132">_xlfn.SWITCH(TRIM(I1132),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32" s="1"/>
      <c r="E1132" s="1"/>
      <c r="F1132" s="1" t="str" cm="1">
        <f t="array" ref="F1132">_xlfn.LET(
_xlpm.status,UPPER(TRIM(B1132&amp;"")),
_xlpm.risk,UPPER(TRIM(C1132&amp;"")),
_xlpm.notify,UPPER(TRIM(D1132&amp;"")),
_xlpm.form,UPPER(TRIM(E1132&amp;"")),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32" s="1" t="str">
        <f t="shared" si="17"/>
        <v>Required</v>
      </c>
      <c r="H1132" s="5"/>
      <c r="I1132" s="1" t="s">
        <v>25</v>
      </c>
      <c r="J1132" s="1"/>
      <c r="K1132" s="1" t="s">
        <v>3305</v>
      </c>
      <c r="L1132" s="1" t="s">
        <v>25</v>
      </c>
      <c r="M1132" s="1"/>
      <c r="N1132" s="1" t="s">
        <v>3309</v>
      </c>
      <c r="O1132" s="1" t="s">
        <v>19</v>
      </c>
      <c r="P1132" s="1" t="s">
        <v>18</v>
      </c>
      <c r="Q1132" s="1" t="s">
        <v>20</v>
      </c>
      <c r="R1132" s="1"/>
      <c r="S1132" s="1"/>
      <c r="T1132" s="1"/>
    </row>
    <row r="1133" spans="1:20">
      <c r="A1133" s="1" t="s">
        <v>3310</v>
      </c>
      <c r="B1133" s="1" t="str" cm="1">
        <f t="array" ref="B1133">IF(A1133="","",_xlfn.IFS(COUNTIF($U:$U,A1133)&gt;0,"All uploaded",COUNTIF($V:$V,A1133)&gt;0,"Partly uploaded",COUNTIF($W:$X,A1133)&gt;0,"Not uploaded",TRUE,"Not classified"))</f>
        <v>Partly uploaded</v>
      </c>
      <c r="C1133" s="1" t="str" cm="1">
        <f t="array" ref="C1133">_xlfn.SWITCH(TRIM(I1133),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33" s="1"/>
      <c r="E1133" s="1"/>
      <c r="F1133" s="1" t="str" cm="1">
        <f t="array" ref="F1133">_xlfn.LET(
_xlpm.status,UPPER(TRIM(B1133&amp;"")),
_xlpm.risk,UPPER(TRIM(C1133&amp;"")),
_xlpm.notify,UPPER(TRIM(D1133&amp;"")),
_xlpm.form,UPPER(TRIM(E1133&amp;"")),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33" s="1" t="str">
        <f t="shared" si="17"/>
        <v>NA</v>
      </c>
      <c r="H1133" s="5"/>
      <c r="I1133" s="1" t="s">
        <v>23</v>
      </c>
      <c r="J1133" s="1"/>
      <c r="K1133" s="1" t="s">
        <v>3305</v>
      </c>
      <c r="L1133" s="1" t="s">
        <v>23</v>
      </c>
      <c r="M1133" s="1"/>
      <c r="N1133" s="1" t="s">
        <v>3311</v>
      </c>
      <c r="O1133" s="1" t="s">
        <v>19</v>
      </c>
      <c r="P1133" s="1" t="s">
        <v>18</v>
      </c>
      <c r="Q1133" s="1" t="s">
        <v>20</v>
      </c>
      <c r="R1133" s="1"/>
      <c r="S1133" s="1"/>
      <c r="T1133" s="1"/>
    </row>
    <row r="1134" spans="1:20">
      <c r="A1134" s="1" t="s">
        <v>3320</v>
      </c>
      <c r="B1134" s="1" t="str" cm="1">
        <f t="array" ref="B1134">IF(A1134="","",_xlfn.IFS(COUNTIF($U:$U,A1134)&gt;0,"All uploaded",COUNTIF($V:$V,A1134)&gt;0,"Partly uploaded",COUNTIF($W:$X,A1134)&gt;0,"Not uploaded",TRUE,"Not classified"))</f>
        <v>Not uploaded</v>
      </c>
      <c r="C1134" s="1" t="str" cm="1">
        <f t="array" ref="C1134">_xlfn.SWITCH(TRIM(I1134),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34" s="1"/>
      <c r="E1134" s="1"/>
      <c r="F1134" s="1" t="str" cm="1">
        <f t="array" ref="F1134">_xlfn.LET(
_xlpm.status,UPPER(TRIM(B1134&amp;"")),
_xlpm.risk,UPPER(TRIM(C1134&amp;"")),
_xlpm.notify,UPPER(TRIM(D1134&amp;"")),
_xlpm.form,UPPER(TRIM(E1134&amp;"")),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34" s="1" t="str">
        <f t="shared" si="17"/>
        <v>Required</v>
      </c>
      <c r="H1134" s="5"/>
      <c r="I1134" s="1" t="s">
        <v>25</v>
      </c>
      <c r="J1134" s="1"/>
      <c r="K1134" s="1" t="s">
        <v>3319</v>
      </c>
      <c r="L1134" s="1" t="s">
        <v>25</v>
      </c>
      <c r="M1134" s="1"/>
      <c r="N1134" s="1" t="s">
        <v>3060</v>
      </c>
      <c r="O1134" s="1" t="s">
        <v>19</v>
      </c>
      <c r="P1134" s="1" t="s">
        <v>18</v>
      </c>
      <c r="Q1134" s="1" t="s">
        <v>20</v>
      </c>
      <c r="R1134" s="1"/>
      <c r="S1134" s="1"/>
      <c r="T1134" s="1"/>
    </row>
    <row r="1135" spans="1:20">
      <c r="A1135" s="1" t="s">
        <v>3321</v>
      </c>
      <c r="B1135" s="1" t="str" cm="1">
        <f t="array" ref="B1135">IF(A1135="","",_xlfn.IFS(COUNTIF($U:$U,A1135)&gt;0,"All uploaded",COUNTIF($V:$V,A1135)&gt;0,"Partly uploaded",COUNTIF($W:$X,A1135)&gt;0,"Not uploaded",TRUE,"Not classified"))</f>
        <v>Not uploaded</v>
      </c>
      <c r="C1135" s="1" t="str" cm="1">
        <f t="array" ref="C1135">_xlfn.SWITCH(TRIM(I1135),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135" s="1"/>
      <c r="E1135" s="1"/>
      <c r="F1135" s="1" t="str" cm="1">
        <f t="array" ref="F1135">_xlfn.LET(
_xlpm.status,UPPER(TRIM(B1135&amp;"")),
_xlpm.risk,UPPER(TRIM(C1135&amp;"")),
_xlpm.notify,UPPER(TRIM(D1135&amp;"")),
_xlpm.form,UPPER(TRIM(E1135&amp;"")),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135" s="1" t="str">
        <f t="shared" si="17"/>
        <v>NA</v>
      </c>
      <c r="H1135" s="5"/>
      <c r="I1135" s="1" t="s">
        <v>21</v>
      </c>
      <c r="J1135" s="1"/>
      <c r="K1135" s="1" t="s">
        <v>3319</v>
      </c>
      <c r="L1135" s="1" t="s">
        <v>21</v>
      </c>
      <c r="M1135" s="1"/>
      <c r="N1135" s="1" t="s">
        <v>83</v>
      </c>
      <c r="O1135" s="1" t="s">
        <v>19</v>
      </c>
      <c r="P1135" s="1" t="s">
        <v>18</v>
      </c>
      <c r="Q1135" s="1" t="s">
        <v>20</v>
      </c>
      <c r="R1135" s="1"/>
      <c r="S1135" s="1"/>
      <c r="T1135" s="1"/>
    </row>
    <row r="1136" spans="1:20">
      <c r="A1136" s="1" t="s">
        <v>3323</v>
      </c>
      <c r="B1136" s="1" t="str" cm="1">
        <f t="array" ref="B1136">IF(A1136="","",_xlfn.IFS(COUNTIF($U:$U,A1136)&gt;0,"All uploaded",COUNTIF($V:$V,A1136)&gt;0,"Partly uploaded",COUNTIF($W:$X,A1136)&gt;0,"Not uploaded",TRUE,"Not classified"))</f>
        <v>Not uploaded</v>
      </c>
      <c r="C1136" s="1" t="str" cm="1">
        <f t="array" ref="C1136">_xlfn.SWITCH(TRIM(I1136),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36" s="1"/>
      <c r="E1136" s="1"/>
      <c r="F1136" s="1" t="str" cm="1">
        <f t="array" ref="F1136">_xlfn.LET(
_xlpm.status,UPPER(TRIM(B1136&amp;"")),
_xlpm.risk,UPPER(TRIM(C1136&amp;"")),
_xlpm.notify,UPPER(TRIM(D1136&amp;"")),
_xlpm.form,UPPER(TRIM(E1136&amp;"")),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36" s="1" t="str">
        <f t="shared" si="17"/>
        <v>NA</v>
      </c>
      <c r="H1136" s="5"/>
      <c r="I1136" s="1" t="s">
        <v>48</v>
      </c>
      <c r="J1136" s="1"/>
      <c r="K1136" s="1" t="s">
        <v>3322</v>
      </c>
      <c r="L1136" s="1" t="s">
        <v>48</v>
      </c>
      <c r="M1136" s="1"/>
      <c r="N1136" s="1" t="s">
        <v>3304</v>
      </c>
      <c r="O1136" s="1" t="s">
        <v>19</v>
      </c>
      <c r="P1136" s="1" t="s">
        <v>18</v>
      </c>
      <c r="Q1136" s="1" t="s">
        <v>20</v>
      </c>
      <c r="R1136" s="1"/>
      <c r="S1136" s="1"/>
      <c r="T1136" s="1"/>
    </row>
    <row r="1137" spans="1:20">
      <c r="A1137" s="1" t="s">
        <v>3325</v>
      </c>
      <c r="B1137" s="1" t="str" cm="1">
        <f t="array" ref="B1137">IF(A1137="","",_xlfn.IFS(COUNTIF($U:$U,A1137)&gt;0,"All uploaded",COUNTIF($V:$V,A1137)&gt;0,"Partly uploaded",COUNTIF($W:$X,A1137)&gt;0,"Not uploaded",TRUE,"Not classified"))</f>
        <v>Partly uploaded</v>
      </c>
      <c r="C1137" s="1" t="str" cm="1">
        <f t="array" ref="C1137">_xlfn.SWITCH(TRIM(I1137),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37" s="1"/>
      <c r="E1137" s="1"/>
      <c r="F1137" s="1" t="str" cm="1">
        <f t="array" ref="F1137">_xlfn.LET(
_xlpm.status,UPPER(TRIM(B1137&amp;"")),
_xlpm.risk,UPPER(TRIM(C1137&amp;"")),
_xlpm.notify,UPPER(TRIM(D1137&amp;"")),
_xlpm.form,UPPER(TRIM(E1137&amp;"")),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37" s="1" t="str">
        <f t="shared" si="17"/>
        <v>NA</v>
      </c>
      <c r="H1137" s="5"/>
      <c r="I1137" s="1" t="s">
        <v>22</v>
      </c>
      <c r="J1137" s="1"/>
      <c r="K1137" s="1" t="s">
        <v>3324</v>
      </c>
      <c r="L1137" s="1" t="s">
        <v>22</v>
      </c>
      <c r="M1137" s="1"/>
      <c r="N1137" s="1" t="s">
        <v>3326</v>
      </c>
      <c r="O1137" s="1" t="s">
        <v>19</v>
      </c>
      <c r="P1137" s="1" t="s">
        <v>18</v>
      </c>
      <c r="Q1137" s="1" t="s">
        <v>20</v>
      </c>
      <c r="R1137" s="1"/>
      <c r="S1137" s="1"/>
      <c r="T1137" s="1"/>
    </row>
    <row r="1138" spans="1:20">
      <c r="A1138" s="1" t="s">
        <v>3334</v>
      </c>
      <c r="B1138" s="1" t="str" cm="1">
        <f t="array" ref="B1138">IF(A1138="","",_xlfn.IFS(COUNTIF($U:$U,A1138)&gt;0,"All uploaded",COUNTIF($V:$V,A1138)&gt;0,"Partly uploaded",COUNTIF($W:$X,A1138)&gt;0,"Not uploaded",TRUE,"Not classified"))</f>
        <v>Partly uploaded</v>
      </c>
      <c r="C1138" s="1" t="str" cm="1">
        <f t="array" ref="C1138">_xlfn.SWITCH(TRIM(I1138),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38" s="1"/>
      <c r="E1138" s="1"/>
      <c r="F1138" s="1" t="str" cm="1">
        <f t="array" ref="F1138">_xlfn.LET(
_xlpm.status,UPPER(TRIM(B1138&amp;"")),
_xlpm.risk,UPPER(TRIM(C1138&amp;"")),
_xlpm.notify,UPPER(TRIM(D1138&amp;"")),
_xlpm.form,UPPER(TRIM(E1138&amp;"")),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38" s="1" t="str">
        <f t="shared" si="17"/>
        <v>Required</v>
      </c>
      <c r="H1138" s="5"/>
      <c r="I1138" s="1" t="s">
        <v>27</v>
      </c>
      <c r="J1138" s="1"/>
      <c r="K1138" s="1" t="s">
        <v>3333</v>
      </c>
      <c r="L1138" s="1" t="s">
        <v>27</v>
      </c>
      <c r="M1138" s="1"/>
      <c r="N1138" s="1" t="s">
        <v>3335</v>
      </c>
      <c r="O1138" s="1" t="s">
        <v>19</v>
      </c>
      <c r="P1138" s="1" t="s">
        <v>18</v>
      </c>
      <c r="Q1138" s="1" t="s">
        <v>20</v>
      </c>
      <c r="R1138" s="1"/>
      <c r="S1138" s="1"/>
      <c r="T1138" s="1"/>
    </row>
    <row r="1139" spans="1:20">
      <c r="A1139" s="1" t="s">
        <v>3340</v>
      </c>
      <c r="B1139" s="1" t="str" cm="1">
        <f t="array" ref="B1139">IF(A1139="","",_xlfn.IFS(COUNTIF($U:$U,A1139)&gt;0,"All uploaded",COUNTIF($V:$V,A1139)&gt;0,"Partly uploaded",COUNTIF($W:$X,A1139)&gt;0,"Not uploaded",TRUE,"Not classified"))</f>
        <v>Not uploaded</v>
      </c>
      <c r="C1139" s="1" t="str" cm="1">
        <f t="array" ref="C1139">_xlfn.SWITCH(TRIM(I1139),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39" s="1"/>
      <c r="E1139" s="1"/>
      <c r="F1139" s="1" t="str" cm="1">
        <f t="array" ref="F1139">_xlfn.LET(
_xlpm.status,UPPER(TRIM(B1139&amp;"")),
_xlpm.risk,UPPER(TRIM(C1139&amp;"")),
_xlpm.notify,UPPER(TRIM(D1139&amp;"")),
_xlpm.form,UPPER(TRIM(E1139&amp;"")),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39" s="1" t="str">
        <f t="shared" si="17"/>
        <v>NA</v>
      </c>
      <c r="H1139" s="5"/>
      <c r="I1139" s="1" t="s">
        <v>23</v>
      </c>
      <c r="J1139" s="1"/>
      <c r="K1139" s="1" t="s">
        <v>3333</v>
      </c>
      <c r="L1139" s="1" t="s">
        <v>23</v>
      </c>
      <c r="M1139" s="1"/>
      <c r="N1139" s="1" t="s">
        <v>3146</v>
      </c>
      <c r="O1139" s="1" t="s">
        <v>19</v>
      </c>
      <c r="P1139" s="1" t="s">
        <v>18</v>
      </c>
      <c r="Q1139" s="1" t="s">
        <v>20</v>
      </c>
      <c r="R1139" s="1"/>
      <c r="S1139" s="1"/>
      <c r="T1139" s="1"/>
    </row>
    <row r="1140" spans="1:20">
      <c r="A1140" s="1" t="s">
        <v>3342</v>
      </c>
      <c r="B1140" s="1" t="str" cm="1">
        <f t="array" ref="B1140">IF(A1140="","",_xlfn.IFS(COUNTIF($U:$U,A1140)&gt;0,"All uploaded",COUNTIF($V:$V,A1140)&gt;0,"Partly uploaded",COUNTIF($W:$X,A1140)&gt;0,"Not uploaded",TRUE,"Not classified"))</f>
        <v>Not uploaded</v>
      </c>
      <c r="C1140" s="1" t="str" cm="1">
        <f t="array" ref="C1140">_xlfn.SWITCH(TRIM(I1140),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140" s="1"/>
      <c r="E1140" s="1"/>
      <c r="F1140" s="1" t="str" cm="1">
        <f t="array" ref="F1140">_xlfn.LET(
_xlpm.status,UPPER(TRIM(B1140&amp;"")),
_xlpm.risk,UPPER(TRIM(C1140&amp;"")),
_xlpm.notify,UPPER(TRIM(D1140&amp;"")),
_xlpm.form,UPPER(TRIM(E1140&amp;"")),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140" s="1" t="str">
        <f t="shared" si="17"/>
        <v>NA</v>
      </c>
      <c r="H1140" s="5"/>
      <c r="I1140" s="1" t="s">
        <v>21</v>
      </c>
      <c r="J1140" s="1"/>
      <c r="K1140" s="1" t="s">
        <v>3341</v>
      </c>
      <c r="L1140" s="1" t="s">
        <v>21</v>
      </c>
      <c r="M1140" s="1"/>
      <c r="N1140" s="1" t="s">
        <v>83</v>
      </c>
      <c r="O1140" s="1" t="s">
        <v>19</v>
      </c>
      <c r="P1140" s="1" t="s">
        <v>18</v>
      </c>
      <c r="Q1140" s="1" t="s">
        <v>20</v>
      </c>
      <c r="R1140" s="1"/>
      <c r="S1140" s="1"/>
      <c r="T1140" s="1"/>
    </row>
    <row r="1141" spans="1:20">
      <c r="A1141" s="1" t="s">
        <v>3343</v>
      </c>
      <c r="B1141" s="1" t="str" cm="1">
        <f t="array" ref="B1141">IF(A1141="","",_xlfn.IFS(COUNTIF($U:$U,A1141)&gt;0,"All uploaded",COUNTIF($V:$V,A1141)&gt;0,"Partly uploaded",COUNTIF($W:$X,A1141)&gt;0,"Not uploaded",TRUE,"Not classified"))</f>
        <v>Not uploaded</v>
      </c>
      <c r="C1141" s="1" t="str" cm="1">
        <f t="array" ref="C1141">_xlfn.SWITCH(TRIM(I1141),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41" s="1"/>
      <c r="E1141" s="1"/>
      <c r="F1141" s="1" t="str" cm="1">
        <f t="array" ref="F1141">_xlfn.LET(
_xlpm.status,UPPER(TRIM(B1141&amp;"")),
_xlpm.risk,UPPER(TRIM(C1141&amp;"")),
_xlpm.notify,UPPER(TRIM(D1141&amp;"")),
_xlpm.form,UPPER(TRIM(E1141&amp;"")),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41" s="1" t="str">
        <f t="shared" si="17"/>
        <v>Required</v>
      </c>
      <c r="H1141" s="5"/>
      <c r="I1141" s="1" t="s">
        <v>25</v>
      </c>
      <c r="J1141" s="1"/>
      <c r="K1141" s="1" t="s">
        <v>3341</v>
      </c>
      <c r="L1141" s="1" t="s">
        <v>25</v>
      </c>
      <c r="M1141" s="1"/>
      <c r="N1141" s="1" t="s">
        <v>3344</v>
      </c>
      <c r="O1141" s="1" t="s">
        <v>19</v>
      </c>
      <c r="P1141" s="1" t="s">
        <v>18</v>
      </c>
      <c r="Q1141" s="1" t="s">
        <v>20</v>
      </c>
      <c r="R1141" s="1"/>
      <c r="S1141" s="1"/>
      <c r="T1141" s="1"/>
    </row>
    <row r="1142" spans="1:20">
      <c r="A1142" s="1" t="s">
        <v>3345</v>
      </c>
      <c r="B1142" s="1" t="str" cm="1">
        <f t="array" ref="B1142">IF(A1142="","",_xlfn.IFS(COUNTIF($U:$U,A1142)&gt;0,"All uploaded",COUNTIF($V:$V,A1142)&gt;0,"Partly uploaded",COUNTIF($W:$X,A1142)&gt;0,"Not uploaded",TRUE,"Not classified"))</f>
        <v>Not uploaded</v>
      </c>
      <c r="C1142" s="1" t="str" cm="1">
        <f t="array" ref="C1142">_xlfn.SWITCH(TRIM(I1142),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142" s="1"/>
      <c r="E1142" s="1"/>
      <c r="F1142" s="1" t="str" cm="1">
        <f t="array" ref="F1142">_xlfn.LET(
_xlpm.status,UPPER(TRIM(B1142&amp;"")),
_xlpm.risk,UPPER(TRIM(C1142&amp;"")),
_xlpm.notify,UPPER(TRIM(D1142&amp;"")),
_xlpm.form,UPPER(TRIM(E1142&amp;"")),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142" s="1" t="str">
        <f t="shared" si="17"/>
        <v>NA</v>
      </c>
      <c r="H1142" s="5"/>
      <c r="I1142" s="1" t="s">
        <v>21</v>
      </c>
      <c r="J1142" s="1"/>
      <c r="K1142" s="1" t="s">
        <v>3341</v>
      </c>
      <c r="L1142" s="1" t="s">
        <v>21</v>
      </c>
      <c r="M1142" s="1"/>
      <c r="N1142" s="1" t="s">
        <v>83</v>
      </c>
      <c r="O1142" s="1" t="s">
        <v>19</v>
      </c>
      <c r="P1142" s="1" t="s">
        <v>18</v>
      </c>
      <c r="Q1142" s="1" t="s">
        <v>20</v>
      </c>
      <c r="R1142" s="1"/>
      <c r="S1142" s="1"/>
      <c r="T1142" s="1"/>
    </row>
    <row r="1143" spans="1:20">
      <c r="A1143" s="1" t="s">
        <v>3347</v>
      </c>
      <c r="B1143" s="1" t="str" cm="1">
        <f t="array" ref="B1143">IF(A1143="","",_xlfn.IFS(COUNTIF($U:$U,A1143)&gt;0,"All uploaded",COUNTIF($V:$V,A1143)&gt;0,"Partly uploaded",COUNTIF($W:$X,A1143)&gt;0,"Not uploaded",TRUE,"Not classified"))</f>
        <v>Partly uploaded</v>
      </c>
      <c r="C1143" s="1" t="str" cm="1">
        <f t="array" ref="C1143">_xlfn.SWITCH(TRIM(I1143),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43" s="1"/>
      <c r="E1143" s="1"/>
      <c r="F1143" s="1" t="str" cm="1">
        <f t="array" ref="F1143">_xlfn.LET(
_xlpm.status,UPPER(TRIM(B1143&amp;"")),
_xlpm.risk,UPPER(TRIM(C1143&amp;"")),
_xlpm.notify,UPPER(TRIM(D1143&amp;"")),
_xlpm.form,UPPER(TRIM(E1143&amp;"")),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43" s="1" t="str">
        <f t="shared" si="17"/>
        <v>NA</v>
      </c>
      <c r="H1143" s="5"/>
      <c r="I1143" s="1" t="s">
        <v>22</v>
      </c>
      <c r="J1143" s="1"/>
      <c r="K1143" s="1" t="s">
        <v>3346</v>
      </c>
      <c r="L1143" s="1" t="s">
        <v>22</v>
      </c>
      <c r="M1143" s="1"/>
      <c r="N1143" s="1" t="s">
        <v>2330</v>
      </c>
      <c r="O1143" s="1" t="s">
        <v>19</v>
      </c>
      <c r="P1143" s="1" t="s">
        <v>18</v>
      </c>
      <c r="Q1143" s="1" t="s">
        <v>20</v>
      </c>
      <c r="R1143" s="1"/>
      <c r="S1143" s="1"/>
      <c r="T1143" s="1"/>
    </row>
    <row r="1144" spans="1:20">
      <c r="A1144" s="1" t="s">
        <v>3353</v>
      </c>
      <c r="B1144" s="1" t="str" cm="1">
        <f t="array" ref="B1144">IF(A1144="","",_xlfn.IFS(COUNTIF($U:$U,A1144)&gt;0,"All uploaded",COUNTIF($V:$V,A1144)&gt;0,"Partly uploaded",COUNTIF($W:$X,A1144)&gt;0,"Not uploaded",TRUE,"Not classified"))</f>
        <v>Not uploaded</v>
      </c>
      <c r="C1144" s="1" t="str" cm="1">
        <f t="array" ref="C1144">_xlfn.SWITCH(TRIM(I1144),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44" s="1"/>
      <c r="E1144" s="1"/>
      <c r="F1144" s="1" t="str" cm="1">
        <f t="array" ref="F1144">_xlfn.LET(
_xlpm.status,UPPER(TRIM(B1144&amp;"")),
_xlpm.risk,UPPER(TRIM(C1144&amp;"")),
_xlpm.notify,UPPER(TRIM(D1144&amp;"")),
_xlpm.form,UPPER(TRIM(E1144&amp;"")),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44" s="1" t="str">
        <f t="shared" si="17"/>
        <v>NA</v>
      </c>
      <c r="H1144" s="5"/>
      <c r="I1144" s="1" t="s">
        <v>22</v>
      </c>
      <c r="J1144" s="1"/>
      <c r="K1144" s="1" t="s">
        <v>3352</v>
      </c>
      <c r="L1144" s="1" t="s">
        <v>22</v>
      </c>
      <c r="M1144" s="1"/>
      <c r="N1144" s="1" t="s">
        <v>3354</v>
      </c>
      <c r="O1144" s="1" t="s">
        <v>19</v>
      </c>
      <c r="P1144" s="1" t="s">
        <v>18</v>
      </c>
      <c r="Q1144" s="1" t="s">
        <v>20</v>
      </c>
      <c r="R1144" s="1"/>
      <c r="S1144" s="1"/>
      <c r="T1144" s="1"/>
    </row>
    <row r="1145" spans="1:20">
      <c r="A1145" s="1" t="s">
        <v>3361</v>
      </c>
      <c r="B1145" s="1" t="str" cm="1">
        <f t="array" ref="B1145">IF(A1145="","",_xlfn.IFS(COUNTIF($U:$U,A1145)&gt;0,"All uploaded",COUNTIF($V:$V,A1145)&gt;0,"Partly uploaded",COUNTIF($W:$X,A1145)&gt;0,"Not uploaded",TRUE,"Not classified"))</f>
        <v>Not uploaded</v>
      </c>
      <c r="C1145" s="1" t="str" cm="1">
        <f t="array" ref="C1145">_xlfn.SWITCH(TRIM(I1145),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45" s="1"/>
      <c r="E1145" s="1"/>
      <c r="F1145" s="1" t="str" cm="1">
        <f t="array" ref="F1145">_xlfn.LET(
_xlpm.status,UPPER(TRIM(B1145&amp;"")),
_xlpm.risk,UPPER(TRIM(C1145&amp;"")),
_xlpm.notify,UPPER(TRIM(D1145&amp;"")),
_xlpm.form,UPPER(TRIM(E1145&amp;"")),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45" s="1" t="str">
        <f t="shared" si="17"/>
        <v>NA</v>
      </c>
      <c r="H1145" s="5"/>
      <c r="I1145" s="1" t="s">
        <v>22</v>
      </c>
      <c r="J1145" s="1"/>
      <c r="K1145" s="1" t="s">
        <v>3360</v>
      </c>
      <c r="L1145" s="1" t="s">
        <v>22</v>
      </c>
      <c r="M1145" s="1"/>
      <c r="N1145" s="1" t="s">
        <v>3362</v>
      </c>
      <c r="O1145" s="1" t="s">
        <v>19</v>
      </c>
      <c r="P1145" s="1" t="s">
        <v>18</v>
      </c>
      <c r="Q1145" s="1" t="s">
        <v>20</v>
      </c>
      <c r="R1145" s="1"/>
      <c r="S1145" s="1"/>
      <c r="T1145" s="1"/>
    </row>
    <row r="1146" spans="1:20">
      <c r="A1146" s="1" t="s">
        <v>3364</v>
      </c>
      <c r="B1146" s="1" t="str" cm="1">
        <f t="array" ref="B1146">IF(A1146="","",_xlfn.IFS(COUNTIF($U:$U,A1146)&gt;0,"All uploaded",COUNTIF($V:$V,A1146)&gt;0,"Partly uploaded",COUNTIF($W:$X,A1146)&gt;0,"Not uploaded",TRUE,"Not classified"))</f>
        <v>Not uploaded</v>
      </c>
      <c r="C1146" s="1" t="str" cm="1">
        <f t="array" ref="C1146">_xlfn.SWITCH(TRIM(I1146),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46" s="1"/>
      <c r="E1146" s="1"/>
      <c r="F1146" s="1" t="str" cm="1">
        <f t="array" ref="F1146">_xlfn.LET(
_xlpm.status,UPPER(TRIM(B1146&amp;"")),
_xlpm.risk,UPPER(TRIM(C1146&amp;"")),
_xlpm.notify,UPPER(TRIM(D1146&amp;"")),
_xlpm.form,UPPER(TRIM(E1146&amp;"")),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46" s="1" t="str">
        <f t="shared" si="17"/>
        <v>NA</v>
      </c>
      <c r="H1146" s="5"/>
      <c r="I1146" s="1" t="s">
        <v>22</v>
      </c>
      <c r="J1146" s="1"/>
      <c r="K1146" s="1" t="s">
        <v>3363</v>
      </c>
      <c r="L1146" s="1" t="s">
        <v>22</v>
      </c>
      <c r="M1146" s="1"/>
      <c r="N1146" s="1" t="s">
        <v>3365</v>
      </c>
      <c r="O1146" s="1" t="s">
        <v>19</v>
      </c>
      <c r="P1146" s="1" t="s">
        <v>18</v>
      </c>
      <c r="Q1146" s="1" t="s">
        <v>20</v>
      </c>
      <c r="R1146" s="1"/>
      <c r="S1146" s="1"/>
      <c r="T1146" s="1"/>
    </row>
    <row r="1147" spans="1:20">
      <c r="A1147" s="1" t="s">
        <v>3366</v>
      </c>
      <c r="B1147" s="1" t="str" cm="1">
        <f t="array" ref="B1147">IF(A1147="","",_xlfn.IFS(COUNTIF($U:$U,A1147)&gt;0,"All uploaded",COUNTIF($V:$V,A1147)&gt;0,"Partly uploaded",COUNTIF($W:$X,A1147)&gt;0,"Not uploaded",TRUE,"Not classified"))</f>
        <v>Not uploaded</v>
      </c>
      <c r="C1147" s="1" t="str" cm="1">
        <f t="array" ref="C1147">_xlfn.SWITCH(TRIM(I1147),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47" s="1"/>
      <c r="E1147" s="1"/>
      <c r="F1147" s="1" t="str" cm="1">
        <f t="array" ref="F1147">_xlfn.LET(
_xlpm.status,UPPER(TRIM(B1147&amp;"")),
_xlpm.risk,UPPER(TRIM(C1147&amp;"")),
_xlpm.notify,UPPER(TRIM(D1147&amp;"")),
_xlpm.form,UPPER(TRIM(E1147&amp;"")),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47" s="1" t="str">
        <f t="shared" si="17"/>
        <v>NA</v>
      </c>
      <c r="H1147" s="5"/>
      <c r="I1147" s="1" t="s">
        <v>22</v>
      </c>
      <c r="J1147" s="1"/>
      <c r="K1147" s="1" t="s">
        <v>3363</v>
      </c>
      <c r="L1147" s="1" t="s">
        <v>22</v>
      </c>
      <c r="M1147" s="1"/>
      <c r="N1147" s="1" t="s">
        <v>3367</v>
      </c>
      <c r="O1147" s="1" t="s">
        <v>19</v>
      </c>
      <c r="P1147" s="1" t="s">
        <v>18</v>
      </c>
      <c r="Q1147" s="1" t="s">
        <v>20</v>
      </c>
      <c r="R1147" s="1"/>
      <c r="S1147" s="1"/>
      <c r="T1147" s="1"/>
    </row>
    <row r="1148" spans="1:20">
      <c r="A1148" s="1" t="s">
        <v>3369</v>
      </c>
      <c r="B1148" s="1" t="str" cm="1">
        <f t="array" ref="B1148">IF(A1148="","",_xlfn.IFS(COUNTIF($U:$U,A1148)&gt;0,"All uploaded",COUNTIF($V:$V,A1148)&gt;0,"Partly uploaded",COUNTIF($W:$X,A1148)&gt;0,"Not uploaded",TRUE,"Not classified"))</f>
        <v>Not uploaded</v>
      </c>
      <c r="C1148" s="1" t="str" cm="1">
        <f t="array" ref="C1148">_xlfn.SWITCH(TRIM(I1148),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48" s="1"/>
      <c r="E1148" s="1"/>
      <c r="F1148" s="1" t="str" cm="1">
        <f t="array" ref="F1148">_xlfn.LET(
_xlpm.status,UPPER(TRIM(B1148&amp;"")),
_xlpm.risk,UPPER(TRIM(C1148&amp;"")),
_xlpm.notify,UPPER(TRIM(D1148&amp;"")),
_xlpm.form,UPPER(TRIM(E1148&amp;"")),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48" s="1" t="str">
        <f t="shared" si="17"/>
        <v>Required</v>
      </c>
      <c r="H1148" s="5"/>
      <c r="I1148" s="1" t="s">
        <v>25</v>
      </c>
      <c r="J1148" s="1"/>
      <c r="K1148" s="1" t="s">
        <v>3368</v>
      </c>
      <c r="L1148" s="1" t="s">
        <v>25</v>
      </c>
      <c r="M1148" s="1"/>
      <c r="N1148" s="1" t="s">
        <v>3370</v>
      </c>
      <c r="O1148" s="1" t="s">
        <v>19</v>
      </c>
      <c r="P1148" s="1" t="s">
        <v>18</v>
      </c>
      <c r="Q1148" s="1" t="s">
        <v>20</v>
      </c>
      <c r="R1148" s="1"/>
      <c r="S1148" s="1"/>
      <c r="T1148" s="1"/>
    </row>
    <row r="1149" spans="1:20">
      <c r="A1149" s="1" t="s">
        <v>3377</v>
      </c>
      <c r="B1149" s="1" t="str" cm="1">
        <f t="array" ref="B1149">IF(A1149="","",_xlfn.IFS(COUNTIF($U:$U,A1149)&gt;0,"All uploaded",COUNTIF($V:$V,A1149)&gt;0,"Partly uploaded",COUNTIF($W:$X,A1149)&gt;0,"Not uploaded",TRUE,"Not classified"))</f>
        <v>Not uploaded</v>
      </c>
      <c r="C1149" s="1" t="str" cm="1">
        <f t="array" ref="C1149">_xlfn.SWITCH(TRIM(I1149),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49" s="1"/>
      <c r="E1149" s="1"/>
      <c r="F1149" s="1" t="str" cm="1">
        <f t="array" ref="F1149">_xlfn.LET(
_xlpm.status,UPPER(TRIM(B1149&amp;"")),
_xlpm.risk,UPPER(TRIM(C1149&amp;"")),
_xlpm.notify,UPPER(TRIM(D1149&amp;"")),
_xlpm.form,UPPER(TRIM(E1149&amp;"")),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49" s="1" t="str">
        <f t="shared" si="17"/>
        <v>NA</v>
      </c>
      <c r="H1149" s="5"/>
      <c r="I1149" s="1" t="s">
        <v>50</v>
      </c>
      <c r="J1149" s="1"/>
      <c r="K1149" s="1" t="s">
        <v>3368</v>
      </c>
      <c r="L1149" s="1" t="s">
        <v>50</v>
      </c>
      <c r="M1149" s="1"/>
      <c r="N1149" s="1" t="s">
        <v>3378</v>
      </c>
      <c r="O1149" s="1" t="s">
        <v>19</v>
      </c>
      <c r="P1149" s="1" t="s">
        <v>18</v>
      </c>
      <c r="Q1149" s="1" t="s">
        <v>20</v>
      </c>
      <c r="R1149" s="1"/>
      <c r="S1149" s="1"/>
      <c r="T1149" s="1"/>
    </row>
    <row r="1150" spans="1:20">
      <c r="A1150" s="1" t="s">
        <v>3380</v>
      </c>
      <c r="B1150" s="1" t="str" cm="1">
        <f t="array" ref="B1150">IF(A1150="","",_xlfn.IFS(COUNTIF($U:$U,A1150)&gt;0,"All uploaded",COUNTIF($V:$V,A1150)&gt;0,"Partly uploaded",COUNTIF($W:$X,A1150)&gt;0,"Not uploaded",TRUE,"Not classified"))</f>
        <v>Partly uploaded</v>
      </c>
      <c r="C1150" s="1" t="str" cm="1">
        <f t="array" ref="C1150">_xlfn.SWITCH(TRIM(I1150),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50" s="1"/>
      <c r="E1150" s="1"/>
      <c r="F1150" s="1" t="str" cm="1">
        <f t="array" ref="F1150">_xlfn.LET(
_xlpm.status,UPPER(TRIM(B1150&amp;"")),
_xlpm.risk,UPPER(TRIM(C1150&amp;"")),
_xlpm.notify,UPPER(TRIM(D1150&amp;"")),
_xlpm.form,UPPER(TRIM(E1150&amp;"")),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50" s="1" t="str">
        <f t="shared" si="17"/>
        <v>NA</v>
      </c>
      <c r="H1150" s="5"/>
      <c r="I1150" s="1" t="s">
        <v>48</v>
      </c>
      <c r="J1150" s="1"/>
      <c r="K1150" s="1" t="s">
        <v>3379</v>
      </c>
      <c r="L1150" s="1" t="s">
        <v>48</v>
      </c>
      <c r="M1150" s="1"/>
      <c r="N1150" s="1" t="s">
        <v>3381</v>
      </c>
      <c r="O1150" s="1" t="s">
        <v>19</v>
      </c>
      <c r="P1150" s="1" t="s">
        <v>18</v>
      </c>
      <c r="Q1150" s="1" t="s">
        <v>20</v>
      </c>
      <c r="R1150" s="1"/>
      <c r="S1150" s="1"/>
      <c r="T1150" s="1"/>
    </row>
    <row r="1151" spans="1:20">
      <c r="A1151" s="1" t="s">
        <v>3386</v>
      </c>
      <c r="B1151" s="1" t="str" cm="1">
        <f t="array" ref="B1151">IF(A1151="","",_xlfn.IFS(COUNTIF($U:$U,A1151)&gt;0,"All uploaded",COUNTIF($V:$V,A1151)&gt;0,"Partly uploaded",COUNTIF($W:$X,A1151)&gt;0,"Not uploaded",TRUE,"Not classified"))</f>
        <v>Not uploaded</v>
      </c>
      <c r="C1151" s="1" t="str" cm="1">
        <f t="array" ref="C1151">_xlfn.SWITCH(TRIM(I1151),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151" s="1"/>
      <c r="E1151" s="1"/>
      <c r="F1151" s="1" t="str" cm="1">
        <f t="array" ref="F1151">_xlfn.LET(
_xlpm.status,UPPER(TRIM(B1151&amp;"")),
_xlpm.risk,UPPER(TRIM(C1151&amp;"")),
_xlpm.notify,UPPER(TRIM(D1151&amp;"")),
_xlpm.form,UPPER(TRIM(E1151&amp;"")),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151" s="1" t="str">
        <f t="shared" si="17"/>
        <v>NA</v>
      </c>
      <c r="H1151" s="5"/>
      <c r="I1151" s="1" t="s">
        <v>21</v>
      </c>
      <c r="J1151" s="1"/>
      <c r="K1151" s="1" t="s">
        <v>3385</v>
      </c>
      <c r="L1151" s="1" t="s">
        <v>21</v>
      </c>
      <c r="M1151" s="1"/>
      <c r="N1151" s="1" t="s">
        <v>83</v>
      </c>
      <c r="O1151" s="1" t="s">
        <v>19</v>
      </c>
      <c r="P1151" s="1" t="s">
        <v>18</v>
      </c>
      <c r="Q1151" s="1" t="s">
        <v>20</v>
      </c>
      <c r="R1151" s="1"/>
      <c r="S1151" s="1"/>
      <c r="T1151" s="1"/>
    </row>
    <row r="1152" spans="1:20">
      <c r="A1152" s="1" t="s">
        <v>3388</v>
      </c>
      <c r="B1152" s="1" t="str" cm="1">
        <f t="array" ref="B1152">IF(A1152="","",_xlfn.IFS(COUNTIF($U:$U,A1152)&gt;0,"All uploaded",COUNTIF($V:$V,A1152)&gt;0,"Partly uploaded",COUNTIF($W:$X,A1152)&gt;0,"Not uploaded",TRUE,"Not classified"))</f>
        <v>Partly uploaded</v>
      </c>
      <c r="C1152" s="1" t="str" cm="1">
        <f t="array" ref="C1152">_xlfn.SWITCH(TRIM(I1152),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52" s="1"/>
      <c r="E1152" s="1"/>
      <c r="F1152" s="1" t="str" cm="1">
        <f t="array" ref="F1152">_xlfn.LET(
_xlpm.status,UPPER(TRIM(B1152&amp;"")),
_xlpm.risk,UPPER(TRIM(C1152&amp;"")),
_xlpm.notify,UPPER(TRIM(D1152&amp;"")),
_xlpm.form,UPPER(TRIM(E1152&amp;"")),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52" s="1" t="str">
        <f t="shared" si="17"/>
        <v>NA</v>
      </c>
      <c r="H1152" s="5"/>
      <c r="I1152" s="1" t="s">
        <v>23</v>
      </c>
      <c r="J1152" s="1"/>
      <c r="K1152" s="1" t="s">
        <v>3387</v>
      </c>
      <c r="L1152" s="1" t="s">
        <v>23</v>
      </c>
      <c r="M1152" s="1"/>
      <c r="N1152" s="1" t="s">
        <v>3389</v>
      </c>
      <c r="O1152" s="1" t="s">
        <v>19</v>
      </c>
      <c r="P1152" s="1" t="s">
        <v>18</v>
      </c>
      <c r="Q1152" s="1" t="s">
        <v>20</v>
      </c>
      <c r="R1152" s="1"/>
      <c r="S1152" s="1"/>
      <c r="T1152" s="1"/>
    </row>
    <row r="1153" spans="1:20">
      <c r="A1153" s="1" t="s">
        <v>3394</v>
      </c>
      <c r="B1153" s="1" t="str" cm="1">
        <f t="array" ref="B1153">IF(A1153="","",_xlfn.IFS(COUNTIF($U:$U,A1153)&gt;0,"All uploaded",COUNTIF($V:$V,A1153)&gt;0,"Partly uploaded",COUNTIF($W:$X,A1153)&gt;0,"Not uploaded",TRUE,"Not classified"))</f>
        <v>Partly uploaded</v>
      </c>
      <c r="C1153" s="1" t="str" cm="1">
        <f t="array" ref="C1153">_xlfn.SWITCH(TRIM(I1153),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53" s="1"/>
      <c r="E1153" s="1"/>
      <c r="F1153" s="1" t="str" cm="1">
        <f t="array" ref="F1153">_xlfn.LET(
_xlpm.status,UPPER(TRIM(B1153&amp;"")),
_xlpm.risk,UPPER(TRIM(C1153&amp;"")),
_xlpm.notify,UPPER(TRIM(D1153&amp;"")),
_xlpm.form,UPPER(TRIM(E1153&amp;"")),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53" s="1" t="str">
        <f t="shared" ref="G1153:G1216" si="18">IF(AND(UPPER(TRIM(C1153&amp;""))="MAJOR",OR(TRIM(D1153&amp;"")="",UPPER(TRIM(E1153&amp;""))="REJECT")),"Required","NA")</f>
        <v>NA</v>
      </c>
      <c r="H1153" s="5"/>
      <c r="I1153" s="1" t="s">
        <v>23</v>
      </c>
      <c r="J1153" s="1"/>
      <c r="K1153" s="1" t="s">
        <v>3393</v>
      </c>
      <c r="L1153" s="1" t="s">
        <v>23</v>
      </c>
      <c r="M1153" s="1"/>
      <c r="N1153" s="1" t="s">
        <v>2305</v>
      </c>
      <c r="O1153" s="1" t="s">
        <v>19</v>
      </c>
      <c r="P1153" s="1" t="s">
        <v>18</v>
      </c>
      <c r="Q1153" s="1" t="s">
        <v>20</v>
      </c>
      <c r="R1153" s="1"/>
      <c r="S1153" s="1"/>
      <c r="T1153" s="1"/>
    </row>
    <row r="1154" spans="1:20">
      <c r="A1154" s="1" t="s">
        <v>3399</v>
      </c>
      <c r="B1154" s="1" t="str" cm="1">
        <f t="array" ref="B1154">IF(A1154="","",_xlfn.IFS(COUNTIF($U:$U,A1154)&gt;0,"All uploaded",COUNTIF($V:$V,A1154)&gt;0,"Partly uploaded",COUNTIF($W:$X,A1154)&gt;0,"Not uploaded",TRUE,"Not classified"))</f>
        <v>Not uploaded</v>
      </c>
      <c r="C1154" s="1" t="str" cm="1">
        <f t="array" ref="C1154">_xlfn.SWITCH(TRIM(I1154),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54" s="1"/>
      <c r="E1154" s="1"/>
      <c r="F1154" s="1" t="str" cm="1">
        <f t="array" ref="F1154">_xlfn.LET(
_xlpm.status,UPPER(TRIM(B1154&amp;"")),
_xlpm.risk,UPPER(TRIM(C1154&amp;"")),
_xlpm.notify,UPPER(TRIM(D1154&amp;"")),
_xlpm.form,UPPER(TRIM(E1154&amp;"")),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54" s="1" t="str">
        <f t="shared" si="18"/>
        <v>Required</v>
      </c>
      <c r="H1154" s="5"/>
      <c r="I1154" s="1" t="s">
        <v>25</v>
      </c>
      <c r="J1154" s="1"/>
      <c r="K1154" s="1" t="s">
        <v>3398</v>
      </c>
      <c r="L1154" s="1" t="s">
        <v>25</v>
      </c>
      <c r="M1154" s="1"/>
      <c r="N1154" s="1" t="s">
        <v>3400</v>
      </c>
      <c r="O1154" s="1" t="s">
        <v>19</v>
      </c>
      <c r="P1154" s="1" t="s">
        <v>18</v>
      </c>
      <c r="Q1154" s="1" t="s">
        <v>20</v>
      </c>
      <c r="R1154" s="1"/>
      <c r="S1154" s="1"/>
      <c r="T1154" s="1"/>
    </row>
    <row r="1155" spans="1:20">
      <c r="A1155" s="1" t="s">
        <v>3406</v>
      </c>
      <c r="B1155" s="1" t="str" cm="1">
        <f t="array" ref="B1155">IF(A1155="","",_xlfn.IFS(COUNTIF($U:$U,A1155)&gt;0,"All uploaded",COUNTIF($V:$V,A1155)&gt;0,"Partly uploaded",COUNTIF($W:$X,A1155)&gt;0,"Not uploaded",TRUE,"Not classified"))</f>
        <v>Not uploaded</v>
      </c>
      <c r="C1155" s="1" t="str" cm="1">
        <f t="array" ref="C1155">_xlfn.SWITCH(TRIM(I1155),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55" s="1"/>
      <c r="E1155" s="1"/>
      <c r="F1155" s="1" t="str" cm="1">
        <f t="array" ref="F1155">_xlfn.LET(
_xlpm.status,UPPER(TRIM(B1155&amp;"")),
_xlpm.risk,UPPER(TRIM(C1155&amp;"")),
_xlpm.notify,UPPER(TRIM(D1155&amp;"")),
_xlpm.form,UPPER(TRIM(E1155&amp;"")),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55" s="1" t="str">
        <f t="shared" si="18"/>
        <v>NA</v>
      </c>
      <c r="H1155" s="5"/>
      <c r="I1155" s="1" t="s">
        <v>22</v>
      </c>
      <c r="J1155" s="1"/>
      <c r="K1155" s="1" t="s">
        <v>3401</v>
      </c>
      <c r="L1155" s="1" t="s">
        <v>22</v>
      </c>
      <c r="M1155" s="1"/>
      <c r="N1155" s="1" t="s">
        <v>3407</v>
      </c>
      <c r="O1155" s="1" t="s">
        <v>19</v>
      </c>
      <c r="P1155" s="1" t="s">
        <v>18</v>
      </c>
      <c r="Q1155" s="1" t="s">
        <v>20</v>
      </c>
      <c r="R1155" s="1"/>
      <c r="S1155" s="1"/>
      <c r="T1155" s="1"/>
    </row>
    <row r="1156" spans="1:20">
      <c r="A1156" s="1" t="s">
        <v>3402</v>
      </c>
      <c r="B1156" s="1" t="str" cm="1">
        <f t="array" ref="B1156">IF(A1156="","",_xlfn.IFS(COUNTIF($U:$U,A1156)&gt;0,"All uploaded",COUNTIF($V:$V,A1156)&gt;0,"Partly uploaded",COUNTIF($W:$X,A1156)&gt;0,"Not uploaded",TRUE,"Not classified"))</f>
        <v>Partly uploaded</v>
      </c>
      <c r="C1156" s="1" t="str" cm="1">
        <f t="array" ref="C1156">_xlfn.SWITCH(TRIM(I1156),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56" s="1"/>
      <c r="E1156" s="1"/>
      <c r="F1156" s="1" t="str" cm="1">
        <f t="array" ref="F1156">_xlfn.LET(
_xlpm.status,UPPER(TRIM(B1156&amp;"")),
_xlpm.risk,UPPER(TRIM(C1156&amp;"")),
_xlpm.notify,UPPER(TRIM(D1156&amp;"")),
_xlpm.form,UPPER(TRIM(E1156&amp;"")),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56" s="1" t="str">
        <f t="shared" si="18"/>
        <v>Required</v>
      </c>
      <c r="H1156" s="5"/>
      <c r="I1156" s="1" t="s">
        <v>10</v>
      </c>
      <c r="J1156" s="1"/>
      <c r="K1156" s="1" t="s">
        <v>3401</v>
      </c>
      <c r="L1156" s="1" t="s">
        <v>10</v>
      </c>
      <c r="M1156" s="1"/>
      <c r="N1156" s="1" t="s">
        <v>51</v>
      </c>
      <c r="O1156" s="1" t="s">
        <v>19</v>
      </c>
      <c r="P1156" s="1" t="s">
        <v>18</v>
      </c>
      <c r="Q1156" s="1" t="s">
        <v>20</v>
      </c>
      <c r="R1156" s="1"/>
      <c r="S1156" s="1"/>
      <c r="T1156" s="1"/>
    </row>
    <row r="1157" spans="1:20">
      <c r="A1157" s="1" t="s">
        <v>3409</v>
      </c>
      <c r="B1157" s="1" t="str" cm="1">
        <f t="array" ref="B1157">IF(A1157="","",_xlfn.IFS(COUNTIF($U:$U,A1157)&gt;0,"All uploaded",COUNTIF($V:$V,A1157)&gt;0,"Partly uploaded",COUNTIF($W:$X,A1157)&gt;0,"Not uploaded",TRUE,"Not classified"))</f>
        <v>Not uploaded</v>
      </c>
      <c r="C1157" s="1" t="str" cm="1">
        <f t="array" ref="C1157">_xlfn.SWITCH(TRIM(I1157),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57" s="1"/>
      <c r="E1157" s="1"/>
      <c r="F1157" s="1" t="str" cm="1">
        <f t="array" ref="F1157">_xlfn.LET(
_xlpm.status,UPPER(TRIM(B1157&amp;"")),
_xlpm.risk,UPPER(TRIM(C1157&amp;"")),
_xlpm.notify,UPPER(TRIM(D1157&amp;"")),
_xlpm.form,UPPER(TRIM(E1157&amp;"")),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57" s="1" t="str">
        <f t="shared" si="18"/>
        <v>Required</v>
      </c>
      <c r="H1157" s="5"/>
      <c r="I1157" s="1" t="s">
        <v>25</v>
      </c>
      <c r="J1157" s="1"/>
      <c r="K1157" s="1" t="s">
        <v>3408</v>
      </c>
      <c r="L1157" s="1" t="s">
        <v>25</v>
      </c>
      <c r="M1157" s="1"/>
      <c r="N1157" s="1" t="s">
        <v>3410</v>
      </c>
      <c r="O1157" s="1" t="s">
        <v>19</v>
      </c>
      <c r="P1157" s="1" t="s">
        <v>18</v>
      </c>
      <c r="Q1157" s="1" t="s">
        <v>20</v>
      </c>
      <c r="R1157" s="1"/>
      <c r="S1157" s="1"/>
      <c r="T1157" s="1"/>
    </row>
    <row r="1158" spans="1:20">
      <c r="A1158" s="1" t="s">
        <v>3412</v>
      </c>
      <c r="B1158" s="1" t="str" cm="1">
        <f t="array" ref="B1158">IF(A1158="","",_xlfn.IFS(COUNTIF($U:$U,A1158)&gt;0,"All uploaded",COUNTIF($V:$V,A1158)&gt;0,"Partly uploaded",COUNTIF($W:$X,A1158)&gt;0,"Not uploaded",TRUE,"Not classified"))</f>
        <v>Not uploaded</v>
      </c>
      <c r="C1158" s="1" t="str" cm="1">
        <f t="array" ref="C1158">_xlfn.SWITCH(TRIM(I1158),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58" s="1"/>
      <c r="E1158" s="1"/>
      <c r="F1158" s="1" t="str" cm="1">
        <f t="array" ref="F1158">_xlfn.LET(
_xlpm.status,UPPER(TRIM(B1158&amp;"")),
_xlpm.risk,UPPER(TRIM(C1158&amp;"")),
_xlpm.notify,UPPER(TRIM(D1158&amp;"")),
_xlpm.form,UPPER(TRIM(E1158&amp;"")),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58" s="1" t="str">
        <f t="shared" si="18"/>
        <v>NA</v>
      </c>
      <c r="H1158" s="5"/>
      <c r="I1158" s="1" t="s">
        <v>22</v>
      </c>
      <c r="J1158" s="1"/>
      <c r="K1158" s="1" t="s">
        <v>3411</v>
      </c>
      <c r="L1158" s="1" t="s">
        <v>22</v>
      </c>
      <c r="M1158" s="1"/>
      <c r="N1158" s="1" t="s">
        <v>3413</v>
      </c>
      <c r="O1158" s="1" t="s">
        <v>19</v>
      </c>
      <c r="P1158" s="1" t="s">
        <v>18</v>
      </c>
      <c r="Q1158" s="1" t="s">
        <v>20</v>
      </c>
      <c r="R1158" s="1"/>
      <c r="S1158" s="1"/>
      <c r="T1158" s="1"/>
    </row>
    <row r="1159" spans="1:20">
      <c r="A1159" s="1" t="s">
        <v>3415</v>
      </c>
      <c r="B1159" s="1" t="str" cm="1">
        <f t="array" ref="B1159">IF(A1159="","",_xlfn.IFS(COUNTIF($U:$U,A1159)&gt;0,"All uploaded",COUNTIF($V:$V,A1159)&gt;0,"Partly uploaded",COUNTIF($W:$X,A1159)&gt;0,"Not uploaded",TRUE,"Not classified"))</f>
        <v>Not uploaded</v>
      </c>
      <c r="C1159" s="1" t="str" cm="1">
        <f t="array" ref="C1159">_xlfn.SWITCH(TRIM(I1159),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59" s="1"/>
      <c r="E1159" s="1"/>
      <c r="F1159" s="1" t="str" cm="1">
        <f t="array" ref="F1159">_xlfn.LET(
_xlpm.status,UPPER(TRIM(B1159&amp;"")),
_xlpm.risk,UPPER(TRIM(C1159&amp;"")),
_xlpm.notify,UPPER(TRIM(D1159&amp;"")),
_xlpm.form,UPPER(TRIM(E1159&amp;"")),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59" s="1" t="str">
        <f t="shared" si="18"/>
        <v>NA</v>
      </c>
      <c r="H1159" s="5"/>
      <c r="I1159" s="1" t="s">
        <v>22</v>
      </c>
      <c r="J1159" s="1"/>
      <c r="K1159" s="1" t="s">
        <v>3414</v>
      </c>
      <c r="L1159" s="1" t="s">
        <v>22</v>
      </c>
      <c r="M1159" s="1"/>
      <c r="N1159" s="1" t="s">
        <v>3416</v>
      </c>
      <c r="O1159" s="1" t="s">
        <v>19</v>
      </c>
      <c r="P1159" s="1" t="s">
        <v>18</v>
      </c>
      <c r="Q1159" s="1" t="s">
        <v>20</v>
      </c>
      <c r="R1159" s="1"/>
      <c r="S1159" s="1"/>
      <c r="T1159" s="1"/>
    </row>
    <row r="1160" spans="1:20">
      <c r="A1160" s="1" t="s">
        <v>3418</v>
      </c>
      <c r="B1160" s="1" t="str" cm="1">
        <f t="array" ref="B1160">IF(A1160="","",_xlfn.IFS(COUNTIF($U:$U,A1160)&gt;0,"All uploaded",COUNTIF($V:$V,A1160)&gt;0,"Partly uploaded",COUNTIF($W:$X,A1160)&gt;0,"Not uploaded",TRUE,"Not classified"))</f>
        <v>Not uploaded</v>
      </c>
      <c r="C1160" s="1" t="str" cm="1">
        <f t="array" ref="C1160">_xlfn.SWITCH(TRIM(I1160),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60" s="1"/>
      <c r="E1160" s="1"/>
      <c r="F1160" s="1" t="str" cm="1">
        <f t="array" ref="F1160">_xlfn.LET(
_xlpm.status,UPPER(TRIM(B1160&amp;"")),
_xlpm.risk,UPPER(TRIM(C1160&amp;"")),
_xlpm.notify,UPPER(TRIM(D1160&amp;"")),
_xlpm.form,UPPER(TRIM(E1160&amp;"")),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60" s="1" t="str">
        <f t="shared" si="18"/>
        <v>Required</v>
      </c>
      <c r="H1160" s="5"/>
      <c r="I1160" s="1" t="s">
        <v>25</v>
      </c>
      <c r="J1160" s="1"/>
      <c r="K1160" s="1" t="s">
        <v>3417</v>
      </c>
      <c r="L1160" s="1" t="s">
        <v>25</v>
      </c>
      <c r="M1160" s="1"/>
      <c r="N1160" s="1" t="s">
        <v>3419</v>
      </c>
      <c r="O1160" s="1" t="s">
        <v>19</v>
      </c>
      <c r="P1160" s="1" t="s">
        <v>18</v>
      </c>
      <c r="Q1160" s="1" t="s">
        <v>20</v>
      </c>
      <c r="R1160" s="1"/>
      <c r="S1160" s="1"/>
      <c r="T1160" s="1"/>
    </row>
    <row r="1161" spans="1:20">
      <c r="A1161" s="1" t="s">
        <v>3420</v>
      </c>
      <c r="B1161" s="1" t="str" cm="1">
        <f t="array" ref="B1161">IF(A1161="","",_xlfn.IFS(COUNTIF($U:$U,A1161)&gt;0,"All uploaded",COUNTIF($V:$V,A1161)&gt;0,"Partly uploaded",COUNTIF($W:$X,A1161)&gt;0,"Not uploaded",TRUE,"Not classified"))</f>
        <v>Not uploaded</v>
      </c>
      <c r="C1161" s="1" t="str" cm="1">
        <f t="array" ref="C1161">_xlfn.SWITCH(TRIM(I1161),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61" s="1"/>
      <c r="E1161" s="1"/>
      <c r="F1161" s="1" t="str" cm="1">
        <f t="array" ref="F1161">_xlfn.LET(
_xlpm.status,UPPER(TRIM(B1161&amp;"")),
_xlpm.risk,UPPER(TRIM(C1161&amp;"")),
_xlpm.notify,UPPER(TRIM(D1161&amp;"")),
_xlpm.form,UPPER(TRIM(E1161&amp;"")),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61" s="1" t="str">
        <f t="shared" si="18"/>
        <v>NA</v>
      </c>
      <c r="H1161" s="5"/>
      <c r="I1161" s="1" t="s">
        <v>22</v>
      </c>
      <c r="J1161" s="1"/>
      <c r="K1161" s="1" t="s">
        <v>3417</v>
      </c>
      <c r="L1161" s="1" t="s">
        <v>22</v>
      </c>
      <c r="M1161" s="1"/>
      <c r="N1161" s="1" t="s">
        <v>3421</v>
      </c>
      <c r="O1161" s="1" t="s">
        <v>19</v>
      </c>
      <c r="P1161" s="1" t="s">
        <v>18</v>
      </c>
      <c r="Q1161" s="1" t="s">
        <v>20</v>
      </c>
      <c r="R1161" s="1"/>
      <c r="S1161" s="1"/>
      <c r="T1161" s="1"/>
    </row>
    <row r="1162" spans="1:20">
      <c r="A1162" s="1" t="s">
        <v>3422</v>
      </c>
      <c r="B1162" s="1" t="str" cm="1">
        <f t="array" ref="B1162">IF(A1162="","",_xlfn.IFS(COUNTIF($U:$U,A1162)&gt;0,"All uploaded",COUNTIF($V:$V,A1162)&gt;0,"Partly uploaded",COUNTIF($W:$X,A1162)&gt;0,"Not uploaded",TRUE,"Not classified"))</f>
        <v>Not uploaded</v>
      </c>
      <c r="C1162" s="1" t="str" cm="1">
        <f t="array" ref="C1162">_xlfn.SWITCH(TRIM(I1162),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162" s="1"/>
      <c r="E1162" s="1"/>
      <c r="F1162" s="1" t="str" cm="1">
        <f t="array" ref="F1162">_xlfn.LET(
_xlpm.status,UPPER(TRIM(B1162&amp;"")),
_xlpm.risk,UPPER(TRIM(C1162&amp;"")),
_xlpm.notify,UPPER(TRIM(D1162&amp;"")),
_xlpm.form,UPPER(TRIM(E1162&amp;"")),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162" s="1" t="str">
        <f t="shared" si="18"/>
        <v>NA</v>
      </c>
      <c r="H1162" s="5"/>
      <c r="I1162" s="1" t="s">
        <v>21</v>
      </c>
      <c r="J1162" s="1"/>
      <c r="K1162" s="1" t="s">
        <v>3417</v>
      </c>
      <c r="L1162" s="1" t="s">
        <v>21</v>
      </c>
      <c r="M1162" s="1"/>
      <c r="N1162" s="1" t="s">
        <v>83</v>
      </c>
      <c r="O1162" s="1" t="s">
        <v>19</v>
      </c>
      <c r="P1162" s="1" t="s">
        <v>18</v>
      </c>
      <c r="Q1162" s="1" t="s">
        <v>20</v>
      </c>
      <c r="R1162" s="1"/>
      <c r="S1162" s="1"/>
      <c r="T1162" s="1"/>
    </row>
    <row r="1163" spans="1:20">
      <c r="A1163" s="1" t="s">
        <v>3423</v>
      </c>
      <c r="B1163" s="1" t="str" cm="1">
        <f t="array" ref="B1163">IF(A1163="","",_xlfn.IFS(COUNTIF($U:$U,A1163)&gt;0,"All uploaded",COUNTIF($V:$V,A1163)&gt;0,"Partly uploaded",COUNTIF($W:$X,A1163)&gt;0,"Not uploaded",TRUE,"Not classified"))</f>
        <v>Not uploaded</v>
      </c>
      <c r="C1163" s="1" t="str" cm="1">
        <f t="array" ref="C1163">_xlfn.SWITCH(TRIM(I1163),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163" s="1"/>
      <c r="E1163" s="1"/>
      <c r="F1163" s="1" t="str" cm="1">
        <f t="array" ref="F1163">_xlfn.LET(
_xlpm.status,UPPER(TRIM(B1163&amp;"")),
_xlpm.risk,UPPER(TRIM(C1163&amp;"")),
_xlpm.notify,UPPER(TRIM(D1163&amp;"")),
_xlpm.form,UPPER(TRIM(E1163&amp;"")),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163" s="1" t="str">
        <f t="shared" si="18"/>
        <v>NA</v>
      </c>
      <c r="H1163" s="5"/>
      <c r="I1163" s="1" t="s">
        <v>21</v>
      </c>
      <c r="J1163" s="1"/>
      <c r="K1163" s="1" t="s">
        <v>3417</v>
      </c>
      <c r="L1163" s="1" t="s">
        <v>21</v>
      </c>
      <c r="M1163" s="1"/>
      <c r="N1163" s="1" t="s">
        <v>83</v>
      </c>
      <c r="O1163" s="1" t="s">
        <v>19</v>
      </c>
      <c r="P1163" s="1" t="s">
        <v>18</v>
      </c>
      <c r="Q1163" s="1" t="s">
        <v>20</v>
      </c>
      <c r="R1163" s="1"/>
      <c r="S1163" s="1"/>
      <c r="T1163" s="1"/>
    </row>
    <row r="1164" spans="1:20">
      <c r="A1164" s="1" t="s">
        <v>3424</v>
      </c>
      <c r="B1164" s="1" t="str" cm="1">
        <f t="array" ref="B1164">IF(A1164="","",_xlfn.IFS(COUNTIF($U:$U,A1164)&gt;0,"All uploaded",COUNTIF($V:$V,A1164)&gt;0,"Partly uploaded",COUNTIF($W:$X,A1164)&gt;0,"Not uploaded",TRUE,"Not classified"))</f>
        <v>Not uploaded</v>
      </c>
      <c r="C1164" s="1" t="str" cm="1">
        <f t="array" ref="C1164">_xlfn.SWITCH(TRIM(I1164),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64" s="1"/>
      <c r="E1164" s="1"/>
      <c r="F1164" s="1" t="str" cm="1">
        <f t="array" ref="F1164">_xlfn.LET(
_xlpm.status,UPPER(TRIM(B1164&amp;"")),
_xlpm.risk,UPPER(TRIM(C1164&amp;"")),
_xlpm.notify,UPPER(TRIM(D1164&amp;"")),
_xlpm.form,UPPER(TRIM(E1164&amp;"")),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64" s="1" t="str">
        <f t="shared" si="18"/>
        <v>NA</v>
      </c>
      <c r="H1164" s="5"/>
      <c r="I1164" s="1" t="s">
        <v>22</v>
      </c>
      <c r="J1164" s="1"/>
      <c r="K1164" s="1" t="s">
        <v>3417</v>
      </c>
      <c r="L1164" s="1" t="s">
        <v>22</v>
      </c>
      <c r="M1164" s="1"/>
      <c r="N1164" s="1" t="s">
        <v>3425</v>
      </c>
      <c r="O1164" s="1" t="s">
        <v>30</v>
      </c>
      <c r="P1164" s="1" t="s">
        <v>43</v>
      </c>
      <c r="Q1164" s="1" t="s">
        <v>61</v>
      </c>
      <c r="R1164" s="1"/>
      <c r="S1164" s="1"/>
      <c r="T1164" s="1"/>
    </row>
    <row r="1165" spans="1:20">
      <c r="A1165" s="1" t="s">
        <v>3427</v>
      </c>
      <c r="B1165" s="1" t="str" cm="1">
        <f t="array" ref="B1165">IF(A1165="","",_xlfn.IFS(COUNTIF($U:$U,A1165)&gt;0,"All uploaded",COUNTIF($V:$V,A1165)&gt;0,"Partly uploaded",COUNTIF($W:$X,A1165)&gt;0,"Not uploaded",TRUE,"Not classified"))</f>
        <v>Not uploaded</v>
      </c>
      <c r="C1165" s="1" t="str" cm="1">
        <f t="array" ref="C1165">_xlfn.SWITCH(TRIM(I1165),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65" s="1"/>
      <c r="E1165" s="1"/>
      <c r="F1165" s="1" t="str" cm="1">
        <f t="array" ref="F1165">_xlfn.LET(
_xlpm.status,UPPER(TRIM(B1165&amp;"")),
_xlpm.risk,UPPER(TRIM(C1165&amp;"")),
_xlpm.notify,UPPER(TRIM(D1165&amp;"")),
_xlpm.form,UPPER(TRIM(E1165&amp;"")),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65" s="1" t="str">
        <f t="shared" si="18"/>
        <v>NA</v>
      </c>
      <c r="H1165" s="5"/>
      <c r="I1165" s="1" t="s">
        <v>22</v>
      </c>
      <c r="J1165" s="1"/>
      <c r="K1165" s="1" t="s">
        <v>3426</v>
      </c>
      <c r="L1165" s="1" t="s">
        <v>22</v>
      </c>
      <c r="M1165" s="1"/>
      <c r="N1165" s="1" t="s">
        <v>3428</v>
      </c>
      <c r="O1165" s="1" t="s">
        <v>19</v>
      </c>
      <c r="P1165" s="1" t="s">
        <v>18</v>
      </c>
      <c r="Q1165" s="1" t="s">
        <v>20</v>
      </c>
      <c r="R1165" s="1"/>
      <c r="S1165" s="1"/>
      <c r="T1165" s="1"/>
    </row>
    <row r="1166" spans="1:20">
      <c r="A1166" s="1" t="s">
        <v>3430</v>
      </c>
      <c r="B1166" s="1" t="str" cm="1">
        <f t="array" ref="B1166">IF(A1166="","",_xlfn.IFS(COUNTIF($U:$U,A1166)&gt;0,"All uploaded",COUNTIF($V:$V,A1166)&gt;0,"Partly uploaded",COUNTIF($W:$X,A1166)&gt;0,"Not uploaded",TRUE,"Not classified"))</f>
        <v>Partly uploaded</v>
      </c>
      <c r="C1166" s="1" t="str" cm="1">
        <f t="array" ref="C1166">_xlfn.SWITCH(TRIM(I1166),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66" s="1"/>
      <c r="E1166" s="1"/>
      <c r="F1166" s="1" t="str" cm="1">
        <f t="array" ref="F1166">_xlfn.LET(
_xlpm.status,UPPER(TRIM(B1166&amp;"")),
_xlpm.risk,UPPER(TRIM(C1166&amp;"")),
_xlpm.notify,UPPER(TRIM(D1166&amp;"")),
_xlpm.form,UPPER(TRIM(E1166&amp;"")),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66" s="1" t="str">
        <f t="shared" si="18"/>
        <v>NA</v>
      </c>
      <c r="H1166" s="5"/>
      <c r="I1166" s="1" t="s">
        <v>23</v>
      </c>
      <c r="J1166" s="1"/>
      <c r="K1166" s="1" t="s">
        <v>3429</v>
      </c>
      <c r="L1166" s="1" t="s">
        <v>23</v>
      </c>
      <c r="M1166" s="1"/>
      <c r="N1166" s="1" t="s">
        <v>3431</v>
      </c>
      <c r="O1166" s="1" t="s">
        <v>19</v>
      </c>
      <c r="P1166" s="1" t="s">
        <v>18</v>
      </c>
      <c r="Q1166" s="1" t="s">
        <v>20</v>
      </c>
      <c r="R1166" s="1"/>
      <c r="S1166" s="1"/>
      <c r="T1166" s="1"/>
    </row>
    <row r="1167" spans="1:20">
      <c r="A1167" s="1" t="s">
        <v>3432</v>
      </c>
      <c r="B1167" s="1" t="str" cm="1">
        <f t="array" ref="B1167">IF(A1167="","",_xlfn.IFS(COUNTIF($U:$U,A1167)&gt;0,"All uploaded",COUNTIF($V:$V,A1167)&gt;0,"Partly uploaded",COUNTIF($W:$X,A1167)&gt;0,"Not uploaded",TRUE,"Not classified"))</f>
        <v>Not uploaded</v>
      </c>
      <c r="C1167" s="1" t="str" cm="1">
        <f t="array" ref="C1167">_xlfn.SWITCH(TRIM(I1167),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67" s="1"/>
      <c r="E1167" s="1"/>
      <c r="F1167" s="1" t="str" cm="1">
        <f t="array" ref="F1167">_xlfn.LET(
_xlpm.status,UPPER(TRIM(B1167&amp;"")),
_xlpm.risk,UPPER(TRIM(C1167&amp;"")),
_xlpm.notify,UPPER(TRIM(D1167&amp;"")),
_xlpm.form,UPPER(TRIM(E1167&amp;"")),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67" s="1" t="str">
        <f t="shared" si="18"/>
        <v>Required</v>
      </c>
      <c r="H1167" s="5"/>
      <c r="I1167" s="1" t="s">
        <v>34</v>
      </c>
      <c r="J1167" s="1"/>
      <c r="K1167" s="1" t="s">
        <v>3429</v>
      </c>
      <c r="L1167" s="1" t="s">
        <v>34</v>
      </c>
      <c r="M1167" s="1"/>
      <c r="N1167" s="1" t="s">
        <v>3433</v>
      </c>
      <c r="O1167" s="1" t="s">
        <v>19</v>
      </c>
      <c r="P1167" s="1" t="s">
        <v>18</v>
      </c>
      <c r="Q1167" s="1" t="s">
        <v>20</v>
      </c>
      <c r="R1167" s="1"/>
      <c r="S1167" s="1"/>
      <c r="T1167" s="1"/>
    </row>
    <row r="1168" spans="1:20">
      <c r="A1168" s="1" t="s">
        <v>3434</v>
      </c>
      <c r="B1168" s="1" t="str" cm="1">
        <f t="array" ref="B1168">IF(A1168="","",_xlfn.IFS(COUNTIF($U:$U,A1168)&gt;0,"All uploaded",COUNTIF($V:$V,A1168)&gt;0,"Partly uploaded",COUNTIF($W:$X,A1168)&gt;0,"Not uploaded",TRUE,"Not classified"))</f>
        <v>Not uploaded</v>
      </c>
      <c r="C1168" s="1" t="str" cm="1">
        <f t="array" ref="C1168">_xlfn.SWITCH(TRIM(I1168),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68" s="1"/>
      <c r="E1168" s="1"/>
      <c r="F1168" s="1" t="str" cm="1">
        <f t="array" ref="F1168">_xlfn.LET(
_xlpm.status,UPPER(TRIM(B1168&amp;"")),
_xlpm.risk,UPPER(TRIM(C1168&amp;"")),
_xlpm.notify,UPPER(TRIM(D1168&amp;"")),
_xlpm.form,UPPER(TRIM(E1168&amp;"")),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68" s="1" t="str">
        <f t="shared" si="18"/>
        <v>NA</v>
      </c>
      <c r="H1168" s="5"/>
      <c r="I1168" s="1" t="s">
        <v>22</v>
      </c>
      <c r="J1168" s="1"/>
      <c r="K1168" s="1" t="s">
        <v>3429</v>
      </c>
      <c r="L1168" s="1" t="s">
        <v>22</v>
      </c>
      <c r="M1168" s="1"/>
      <c r="N1168" s="1" t="s">
        <v>1690</v>
      </c>
      <c r="O1168" s="1" t="s">
        <v>19</v>
      </c>
      <c r="P1168" s="1" t="s">
        <v>18</v>
      </c>
      <c r="Q1168" s="1" t="s">
        <v>20</v>
      </c>
      <c r="R1168" s="1"/>
      <c r="S1168" s="1"/>
      <c r="T1168" s="1"/>
    </row>
    <row r="1169" spans="1:20">
      <c r="A1169" s="1" t="s">
        <v>3440</v>
      </c>
      <c r="B1169" s="1" t="str" cm="1">
        <f t="array" ref="B1169">IF(A1169="","",_xlfn.IFS(COUNTIF($U:$U,A1169)&gt;0,"All uploaded",COUNTIF($V:$V,A1169)&gt;0,"Partly uploaded",COUNTIF($W:$X,A1169)&gt;0,"Not uploaded",TRUE,"Not classified"))</f>
        <v>Not uploaded</v>
      </c>
      <c r="C1169" s="1" t="str" cm="1">
        <f t="array" ref="C1169">_xlfn.SWITCH(TRIM(I1169),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169" s="1"/>
      <c r="E1169" s="1"/>
      <c r="F1169" s="1" t="str" cm="1">
        <f t="array" ref="F1169">_xlfn.LET(
_xlpm.status,UPPER(TRIM(B1169&amp;"")),
_xlpm.risk,UPPER(TRIM(C1169&amp;"")),
_xlpm.notify,UPPER(TRIM(D1169&amp;"")),
_xlpm.form,UPPER(TRIM(E1169&amp;"")),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169" s="1" t="str">
        <f t="shared" si="18"/>
        <v>NA</v>
      </c>
      <c r="H1169" s="5"/>
      <c r="I1169" s="1" t="s">
        <v>21</v>
      </c>
      <c r="J1169" s="1"/>
      <c r="K1169" s="1" t="s">
        <v>3439</v>
      </c>
      <c r="L1169" s="1" t="s">
        <v>21</v>
      </c>
      <c r="M1169" s="1"/>
      <c r="N1169" s="1" t="s">
        <v>83</v>
      </c>
      <c r="O1169" s="1" t="s">
        <v>19</v>
      </c>
      <c r="P1169" s="1" t="s">
        <v>18</v>
      </c>
      <c r="Q1169" s="1" t="s">
        <v>20</v>
      </c>
      <c r="R1169" s="1"/>
      <c r="S1169" s="1"/>
      <c r="T1169" s="1"/>
    </row>
    <row r="1170" spans="1:20">
      <c r="A1170" s="1" t="s">
        <v>3442</v>
      </c>
      <c r="B1170" s="1" t="str" cm="1">
        <f t="array" ref="B1170">IF(A1170="","",_xlfn.IFS(COUNTIF($U:$U,A1170)&gt;0,"All uploaded",COUNTIF($V:$V,A1170)&gt;0,"Partly uploaded",COUNTIF($W:$X,A1170)&gt;0,"Not uploaded",TRUE,"Not classified"))</f>
        <v>Not uploaded</v>
      </c>
      <c r="C1170" s="1" t="str" cm="1">
        <f t="array" ref="C1170">_xlfn.SWITCH(TRIM(I1170),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70" s="1"/>
      <c r="E1170" s="1"/>
      <c r="F1170" s="1" t="str" cm="1">
        <f t="array" ref="F1170">_xlfn.LET(
_xlpm.status,UPPER(TRIM(B1170&amp;"")),
_xlpm.risk,UPPER(TRIM(C1170&amp;"")),
_xlpm.notify,UPPER(TRIM(D1170&amp;"")),
_xlpm.form,UPPER(TRIM(E1170&amp;"")),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70" s="1" t="str">
        <f t="shared" si="18"/>
        <v>NA</v>
      </c>
      <c r="H1170" s="5"/>
      <c r="I1170" s="1" t="s">
        <v>22</v>
      </c>
      <c r="J1170" s="1"/>
      <c r="K1170" s="1" t="s">
        <v>3441</v>
      </c>
      <c r="L1170" s="1" t="s">
        <v>22</v>
      </c>
      <c r="M1170" s="1"/>
      <c r="N1170" s="1" t="s">
        <v>106</v>
      </c>
      <c r="O1170" s="1" t="s">
        <v>19</v>
      </c>
      <c r="P1170" s="1" t="s">
        <v>18</v>
      </c>
      <c r="Q1170" s="1" t="s">
        <v>20</v>
      </c>
      <c r="R1170" s="1"/>
      <c r="S1170" s="1"/>
      <c r="T1170" s="1"/>
    </row>
    <row r="1171" spans="1:20">
      <c r="A1171" s="1" t="s">
        <v>3444</v>
      </c>
      <c r="B1171" s="1" t="str" cm="1">
        <f t="array" ref="B1171">IF(A1171="","",_xlfn.IFS(COUNTIF($U:$U,A1171)&gt;0,"All uploaded",COUNTIF($V:$V,A1171)&gt;0,"Partly uploaded",COUNTIF($W:$X,A1171)&gt;0,"Not uploaded",TRUE,"Not classified"))</f>
        <v>Partly uploaded</v>
      </c>
      <c r="C1171" s="1" t="str" cm="1">
        <f t="array" ref="C1171">_xlfn.SWITCH(TRIM(I1171),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71" s="1"/>
      <c r="E1171" s="1"/>
      <c r="F1171" s="1" t="str" cm="1">
        <f t="array" ref="F1171">_xlfn.LET(
_xlpm.status,UPPER(TRIM(B1171&amp;"")),
_xlpm.risk,UPPER(TRIM(C1171&amp;"")),
_xlpm.notify,UPPER(TRIM(D1171&amp;"")),
_xlpm.form,UPPER(TRIM(E1171&amp;"")),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71" s="1" t="str">
        <f t="shared" si="18"/>
        <v>Required</v>
      </c>
      <c r="H1171" s="5"/>
      <c r="I1171" s="1" t="s">
        <v>10</v>
      </c>
      <c r="J1171" s="1"/>
      <c r="K1171" s="1" t="s">
        <v>3443</v>
      </c>
      <c r="L1171" s="1" t="s">
        <v>10</v>
      </c>
      <c r="M1171" s="1"/>
      <c r="N1171" s="1" t="s">
        <v>36</v>
      </c>
      <c r="O1171" s="1" t="s">
        <v>19</v>
      </c>
      <c r="P1171" s="1" t="s">
        <v>18</v>
      </c>
      <c r="Q1171" s="1" t="s">
        <v>20</v>
      </c>
      <c r="R1171" s="1"/>
      <c r="S1171" s="1"/>
      <c r="T1171" s="1"/>
    </row>
    <row r="1172" spans="1:20">
      <c r="A1172" s="1" t="s">
        <v>3448</v>
      </c>
      <c r="B1172" s="1" t="str" cm="1">
        <f t="array" ref="B1172">IF(A1172="","",_xlfn.IFS(COUNTIF($U:$U,A1172)&gt;0,"All uploaded",COUNTIF($V:$V,A1172)&gt;0,"Partly uploaded",COUNTIF($W:$X,A1172)&gt;0,"Not uploaded",TRUE,"Not classified"))</f>
        <v>Not uploaded</v>
      </c>
      <c r="C1172" s="1" t="str" cm="1">
        <f t="array" ref="C1172">_xlfn.SWITCH(TRIM(I1172),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72" s="1"/>
      <c r="E1172" s="1"/>
      <c r="F1172" s="1" t="str" cm="1">
        <f t="array" ref="F1172">_xlfn.LET(
_xlpm.status,UPPER(TRIM(B1172&amp;"")),
_xlpm.risk,UPPER(TRIM(C1172&amp;"")),
_xlpm.notify,UPPER(TRIM(D1172&amp;"")),
_xlpm.form,UPPER(TRIM(E1172&amp;"")),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72" s="1" t="str">
        <f t="shared" si="18"/>
        <v>Required</v>
      </c>
      <c r="H1172" s="5"/>
      <c r="I1172" s="1" t="s">
        <v>25</v>
      </c>
      <c r="J1172" s="1"/>
      <c r="K1172" s="1" t="s">
        <v>3443</v>
      </c>
      <c r="L1172" s="1" t="s">
        <v>25</v>
      </c>
      <c r="M1172" s="1"/>
      <c r="N1172" s="1" t="s">
        <v>3449</v>
      </c>
      <c r="O1172" s="1" t="s">
        <v>19</v>
      </c>
      <c r="P1172" s="1" t="s">
        <v>18</v>
      </c>
      <c r="Q1172" s="1" t="s">
        <v>20</v>
      </c>
      <c r="R1172" s="1"/>
      <c r="S1172" s="1"/>
      <c r="T1172" s="1"/>
    </row>
    <row r="1173" spans="1:20">
      <c r="A1173" s="1" t="s">
        <v>3451</v>
      </c>
      <c r="B1173" s="1" t="str" cm="1">
        <f t="array" ref="B1173">IF(A1173="","",_xlfn.IFS(COUNTIF($U:$U,A1173)&gt;0,"All uploaded",COUNTIF($V:$V,A1173)&gt;0,"Partly uploaded",COUNTIF($W:$X,A1173)&gt;0,"Not uploaded",TRUE,"Not classified"))</f>
        <v>Partly uploaded</v>
      </c>
      <c r="C1173" s="1" t="str" cm="1">
        <f t="array" ref="C1173">_xlfn.SWITCH(TRIM(I1173),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73" s="1"/>
      <c r="E1173" s="1"/>
      <c r="F1173" s="1" t="str" cm="1">
        <f t="array" ref="F1173">_xlfn.LET(
_xlpm.status,UPPER(TRIM(B1173&amp;"")),
_xlpm.risk,UPPER(TRIM(C1173&amp;"")),
_xlpm.notify,UPPER(TRIM(D1173&amp;"")),
_xlpm.form,UPPER(TRIM(E1173&amp;"")),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73" s="1" t="str">
        <f t="shared" si="18"/>
        <v>Required</v>
      </c>
      <c r="H1173" s="5"/>
      <c r="I1173" s="1" t="s">
        <v>10</v>
      </c>
      <c r="J1173" s="1"/>
      <c r="K1173" s="1" t="s">
        <v>3450</v>
      </c>
      <c r="L1173" s="1" t="s">
        <v>10</v>
      </c>
      <c r="M1173" s="1"/>
      <c r="N1173" s="1" t="s">
        <v>36</v>
      </c>
      <c r="O1173" s="1" t="s">
        <v>19</v>
      </c>
      <c r="P1173" s="1" t="s">
        <v>18</v>
      </c>
      <c r="Q1173" s="1" t="s">
        <v>20</v>
      </c>
      <c r="R1173" s="1"/>
      <c r="S1173" s="1"/>
      <c r="T1173" s="1"/>
    </row>
    <row r="1174" spans="1:20">
      <c r="A1174" s="1" t="s">
        <v>3452</v>
      </c>
      <c r="B1174" s="1" t="str" cm="1">
        <f t="array" ref="B1174">IF(A1174="","",_xlfn.IFS(COUNTIF($U:$U,A1174)&gt;0,"All uploaded",COUNTIF($V:$V,A1174)&gt;0,"Partly uploaded",COUNTIF($W:$X,A1174)&gt;0,"Not uploaded",TRUE,"Not classified"))</f>
        <v>Partly uploaded</v>
      </c>
      <c r="C1174" s="1" t="str" cm="1">
        <f t="array" ref="C1174">_xlfn.SWITCH(TRIM(I1174),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74" s="1"/>
      <c r="E1174" s="1"/>
      <c r="F1174" s="1" t="str" cm="1">
        <f t="array" ref="F1174">_xlfn.LET(
_xlpm.status,UPPER(TRIM(B1174&amp;"")),
_xlpm.risk,UPPER(TRIM(C1174&amp;"")),
_xlpm.notify,UPPER(TRIM(D1174&amp;"")),
_xlpm.form,UPPER(TRIM(E1174&amp;"")),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74" s="1" t="str">
        <f t="shared" si="18"/>
        <v>Required</v>
      </c>
      <c r="H1174" s="5"/>
      <c r="I1174" s="1" t="s">
        <v>10</v>
      </c>
      <c r="J1174" s="1"/>
      <c r="K1174" s="1" t="s">
        <v>3450</v>
      </c>
      <c r="L1174" s="1" t="s">
        <v>10</v>
      </c>
      <c r="M1174" s="1"/>
      <c r="N1174" s="1" t="s">
        <v>36</v>
      </c>
      <c r="O1174" s="1" t="s">
        <v>19</v>
      </c>
      <c r="P1174" s="1" t="s">
        <v>18</v>
      </c>
      <c r="Q1174" s="1" t="s">
        <v>20</v>
      </c>
      <c r="R1174" s="1"/>
      <c r="S1174" s="1"/>
      <c r="T1174" s="1"/>
    </row>
    <row r="1175" spans="1:20">
      <c r="A1175" s="1" t="s">
        <v>3462</v>
      </c>
      <c r="B1175" s="1" t="str" cm="1">
        <f t="array" ref="B1175">IF(A1175="","",_xlfn.IFS(COUNTIF($U:$U,A1175)&gt;0,"All uploaded",COUNTIF($V:$V,A1175)&gt;0,"Partly uploaded",COUNTIF($W:$X,A1175)&gt;0,"Not uploaded",TRUE,"Not classified"))</f>
        <v>Not uploaded</v>
      </c>
      <c r="C1175" s="1" t="str" cm="1">
        <f t="array" ref="C1175">_xlfn.SWITCH(TRIM(I1175),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75" s="1"/>
      <c r="E1175" s="1"/>
      <c r="F1175" s="1" t="str" cm="1">
        <f t="array" ref="F1175">_xlfn.LET(
_xlpm.status,UPPER(TRIM(B1175&amp;"")),
_xlpm.risk,UPPER(TRIM(C1175&amp;"")),
_xlpm.notify,UPPER(TRIM(D1175&amp;"")),
_xlpm.form,UPPER(TRIM(E1175&amp;"")),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75" s="1" t="str">
        <f t="shared" si="18"/>
        <v>NA</v>
      </c>
      <c r="H1175" s="5"/>
      <c r="I1175" s="1" t="s">
        <v>23</v>
      </c>
      <c r="J1175" s="1"/>
      <c r="K1175" s="1" t="s">
        <v>3461</v>
      </c>
      <c r="L1175" s="1" t="s">
        <v>23</v>
      </c>
      <c r="M1175" s="1"/>
      <c r="N1175" s="1" t="s">
        <v>3463</v>
      </c>
      <c r="O1175" s="1" t="s">
        <v>19</v>
      </c>
      <c r="P1175" s="1" t="s">
        <v>18</v>
      </c>
      <c r="Q1175" s="1" t="s">
        <v>20</v>
      </c>
      <c r="R1175" s="1"/>
      <c r="S1175" s="1"/>
      <c r="T1175" s="1"/>
    </row>
    <row r="1176" spans="1:20">
      <c r="A1176" s="1" t="s">
        <v>3465</v>
      </c>
      <c r="B1176" s="1" t="str" cm="1">
        <f t="array" ref="B1176">IF(A1176="","",_xlfn.IFS(COUNTIF($U:$U,A1176)&gt;0,"All uploaded",COUNTIF($V:$V,A1176)&gt;0,"Partly uploaded",COUNTIF($W:$X,A1176)&gt;0,"Not uploaded",TRUE,"Not classified"))</f>
        <v>Partly uploaded</v>
      </c>
      <c r="C1176" s="1" t="str" cm="1">
        <f t="array" ref="C1176">_xlfn.SWITCH(TRIM(I1176),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76" s="1"/>
      <c r="E1176" s="1"/>
      <c r="F1176" s="1" t="str" cm="1">
        <f t="array" ref="F1176">_xlfn.LET(
_xlpm.status,UPPER(TRIM(B1176&amp;"")),
_xlpm.risk,UPPER(TRIM(C1176&amp;"")),
_xlpm.notify,UPPER(TRIM(D1176&amp;"")),
_xlpm.form,UPPER(TRIM(E1176&amp;"")),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76" s="1" t="str">
        <f t="shared" si="18"/>
        <v>NA</v>
      </c>
      <c r="H1176" s="5"/>
      <c r="I1176" s="1" t="s">
        <v>23</v>
      </c>
      <c r="J1176" s="1"/>
      <c r="K1176" s="1" t="s">
        <v>3464</v>
      </c>
      <c r="L1176" s="1" t="s">
        <v>23</v>
      </c>
      <c r="M1176" s="1"/>
      <c r="N1176" s="1" t="s">
        <v>3466</v>
      </c>
      <c r="O1176" s="1" t="s">
        <v>19</v>
      </c>
      <c r="P1176" s="1" t="s">
        <v>18</v>
      </c>
      <c r="Q1176" s="1" t="s">
        <v>20</v>
      </c>
      <c r="R1176" s="1"/>
      <c r="S1176" s="1"/>
      <c r="T1176" s="1"/>
    </row>
    <row r="1177" spans="1:20">
      <c r="A1177" s="1" t="s">
        <v>3475</v>
      </c>
      <c r="B1177" s="1" t="str" cm="1">
        <f t="array" ref="B1177">IF(A1177="","",_xlfn.IFS(COUNTIF($U:$U,A1177)&gt;0,"All uploaded",COUNTIF($V:$V,A1177)&gt;0,"Partly uploaded",COUNTIF($W:$X,A1177)&gt;0,"Not uploaded",TRUE,"Not classified"))</f>
        <v>Not uploaded</v>
      </c>
      <c r="C1177" s="1" t="str" cm="1">
        <f t="array" ref="C1177">_xlfn.SWITCH(TRIM(I1177),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77" s="1"/>
      <c r="E1177" s="1"/>
      <c r="F1177" s="1" t="str" cm="1">
        <f t="array" ref="F1177">_xlfn.LET(
_xlpm.status,UPPER(TRIM(B1177&amp;"")),
_xlpm.risk,UPPER(TRIM(C1177&amp;"")),
_xlpm.notify,UPPER(TRIM(D1177&amp;"")),
_xlpm.form,UPPER(TRIM(E1177&amp;"")),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77" s="1" t="str">
        <f t="shared" si="18"/>
        <v>NA</v>
      </c>
      <c r="H1177" s="5"/>
      <c r="I1177" s="1" t="s">
        <v>22</v>
      </c>
      <c r="J1177" s="1"/>
      <c r="K1177" s="1" t="s">
        <v>3474</v>
      </c>
      <c r="L1177" s="1" t="s">
        <v>22</v>
      </c>
      <c r="M1177" s="1"/>
      <c r="N1177" s="1" t="s">
        <v>3476</v>
      </c>
      <c r="O1177" s="1" t="s">
        <v>19</v>
      </c>
      <c r="P1177" s="1" t="s">
        <v>18</v>
      </c>
      <c r="Q1177" s="1" t="s">
        <v>20</v>
      </c>
      <c r="R1177" s="1"/>
      <c r="S1177" s="1"/>
      <c r="T1177" s="1"/>
    </row>
    <row r="1178" spans="1:20">
      <c r="A1178" s="1" t="s">
        <v>3478</v>
      </c>
      <c r="B1178" s="1" t="str" cm="1">
        <f t="array" ref="B1178">IF(A1178="","",_xlfn.IFS(COUNTIF($U:$U,A1178)&gt;0,"All uploaded",COUNTIF($V:$V,A1178)&gt;0,"Partly uploaded",COUNTIF($W:$X,A1178)&gt;0,"Not uploaded",TRUE,"Not classified"))</f>
        <v>Partly uploaded</v>
      </c>
      <c r="C1178" s="1" t="str" cm="1">
        <f t="array" ref="C1178">_xlfn.SWITCH(TRIM(I1178),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78" s="1"/>
      <c r="E1178" s="1"/>
      <c r="F1178" s="1" t="str" cm="1">
        <f t="array" ref="F1178">_xlfn.LET(
_xlpm.status,UPPER(TRIM(B1178&amp;"")),
_xlpm.risk,UPPER(TRIM(C1178&amp;"")),
_xlpm.notify,UPPER(TRIM(D1178&amp;"")),
_xlpm.form,UPPER(TRIM(E1178&amp;"")),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78" s="1" t="str">
        <f t="shared" si="18"/>
        <v>Required</v>
      </c>
      <c r="H1178" s="5"/>
      <c r="I1178" s="1" t="s">
        <v>10</v>
      </c>
      <c r="J1178" s="1"/>
      <c r="K1178" s="1" t="s">
        <v>3477</v>
      </c>
      <c r="L1178" s="1" t="s">
        <v>10</v>
      </c>
      <c r="M1178" s="1"/>
      <c r="N1178" s="1" t="s">
        <v>3378</v>
      </c>
      <c r="O1178" s="1" t="s">
        <v>19</v>
      </c>
      <c r="P1178" s="1" t="s">
        <v>18</v>
      </c>
      <c r="Q1178" s="1" t="s">
        <v>20</v>
      </c>
      <c r="R1178" s="1"/>
      <c r="S1178" s="1"/>
      <c r="T1178" s="1"/>
    </row>
    <row r="1179" spans="1:20">
      <c r="A1179" s="1" t="s">
        <v>3489</v>
      </c>
      <c r="B1179" s="1" t="str" cm="1">
        <f t="array" ref="B1179">IF(A1179="","",_xlfn.IFS(COUNTIF($U:$U,A1179)&gt;0,"All uploaded",COUNTIF($V:$V,A1179)&gt;0,"Partly uploaded",COUNTIF($W:$X,A1179)&gt;0,"Not uploaded",TRUE,"Not classified"))</f>
        <v>Partly uploaded</v>
      </c>
      <c r="C1179" s="1" t="str" cm="1">
        <f t="array" ref="C1179">_xlfn.SWITCH(TRIM(I1179),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79" s="1"/>
      <c r="E1179" s="1"/>
      <c r="F1179" s="1" t="str" cm="1">
        <f t="array" ref="F1179">_xlfn.LET(
_xlpm.status,UPPER(TRIM(B1179&amp;"")),
_xlpm.risk,UPPER(TRIM(C1179&amp;"")),
_xlpm.notify,UPPER(TRIM(D1179&amp;"")),
_xlpm.form,UPPER(TRIM(E1179&amp;"")),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79" s="1" t="str">
        <f t="shared" si="18"/>
        <v>NA</v>
      </c>
      <c r="H1179" s="5"/>
      <c r="I1179" s="1" t="s">
        <v>22</v>
      </c>
      <c r="J1179" s="1"/>
      <c r="K1179" s="1" t="s">
        <v>3482</v>
      </c>
      <c r="L1179" s="1" t="s">
        <v>22</v>
      </c>
      <c r="M1179" s="1"/>
      <c r="N1179" s="1" t="s">
        <v>3490</v>
      </c>
      <c r="O1179" s="1" t="s">
        <v>19</v>
      </c>
      <c r="P1179" s="1" t="s">
        <v>18</v>
      </c>
      <c r="Q1179" s="1" t="s">
        <v>20</v>
      </c>
      <c r="R1179" s="1"/>
      <c r="S1179" s="1"/>
      <c r="T1179" s="1"/>
    </row>
    <row r="1180" spans="1:20">
      <c r="A1180" s="1" t="s">
        <v>3499</v>
      </c>
      <c r="B1180" s="1" t="str" cm="1">
        <f t="array" ref="B1180">IF(A1180="","",_xlfn.IFS(COUNTIF($U:$U,A1180)&gt;0,"All uploaded",COUNTIF($V:$V,A1180)&gt;0,"Partly uploaded",COUNTIF($W:$X,A1180)&gt;0,"Not uploaded",TRUE,"Not classified"))</f>
        <v>Partly uploaded</v>
      </c>
      <c r="C1180" s="1" t="str" cm="1">
        <f t="array" ref="C1180">_xlfn.SWITCH(TRIM(I1180),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80" s="1"/>
      <c r="E1180" s="1"/>
      <c r="F1180" s="1" t="str" cm="1">
        <f t="array" ref="F1180">_xlfn.LET(
_xlpm.status,UPPER(TRIM(B1180&amp;"")),
_xlpm.risk,UPPER(TRIM(C1180&amp;"")),
_xlpm.notify,UPPER(TRIM(D1180&amp;"")),
_xlpm.form,UPPER(TRIM(E1180&amp;"")),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80" s="1" t="str">
        <f t="shared" si="18"/>
        <v>NA</v>
      </c>
      <c r="H1180" s="5"/>
      <c r="I1180" s="1" t="s">
        <v>22</v>
      </c>
      <c r="J1180" s="1"/>
      <c r="K1180" s="1" t="s">
        <v>3493</v>
      </c>
      <c r="L1180" s="1" t="s">
        <v>22</v>
      </c>
      <c r="M1180" s="1"/>
      <c r="N1180" s="1" t="s">
        <v>3500</v>
      </c>
      <c r="O1180" s="1" t="s">
        <v>19</v>
      </c>
      <c r="P1180" s="1" t="s">
        <v>18</v>
      </c>
      <c r="Q1180" s="1" t="s">
        <v>20</v>
      </c>
      <c r="R1180" s="1"/>
      <c r="S1180" s="1"/>
      <c r="T1180" s="1"/>
    </row>
    <row r="1181" spans="1:20">
      <c r="A1181" s="1" t="s">
        <v>3494</v>
      </c>
      <c r="B1181" s="1" t="str" cm="1">
        <f t="array" ref="B1181">IF(A1181="","",_xlfn.IFS(COUNTIF($U:$U,A1181)&gt;0,"All uploaded",COUNTIF($V:$V,A1181)&gt;0,"Partly uploaded",COUNTIF($W:$X,A1181)&gt;0,"Not uploaded",TRUE,"Not classified"))</f>
        <v>Partly uploaded</v>
      </c>
      <c r="C1181" s="1" t="str" cm="1">
        <f t="array" ref="C1181">_xlfn.SWITCH(TRIM(I1181),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81" s="1"/>
      <c r="E1181" s="1"/>
      <c r="F1181" s="1" t="str" cm="1">
        <f t="array" ref="F1181">_xlfn.LET(
_xlpm.status,UPPER(TRIM(B1181&amp;"")),
_xlpm.risk,UPPER(TRIM(C1181&amp;"")),
_xlpm.notify,UPPER(TRIM(D1181&amp;"")),
_xlpm.form,UPPER(TRIM(E1181&amp;"")),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81" s="1" t="str">
        <f t="shared" si="18"/>
        <v>NA</v>
      </c>
      <c r="H1181" s="5"/>
      <c r="I1181" s="1" t="s">
        <v>23</v>
      </c>
      <c r="J1181" s="1"/>
      <c r="K1181" s="1" t="s">
        <v>3493</v>
      </c>
      <c r="L1181" s="1" t="s">
        <v>23</v>
      </c>
      <c r="M1181" s="1"/>
      <c r="N1181" s="1" t="s">
        <v>3495</v>
      </c>
      <c r="O1181" s="1" t="s">
        <v>19</v>
      </c>
      <c r="P1181" s="1" t="s">
        <v>18</v>
      </c>
      <c r="Q1181" s="1" t="s">
        <v>20</v>
      </c>
      <c r="R1181" s="1"/>
      <c r="S1181" s="1"/>
      <c r="T1181" s="1"/>
    </row>
    <row r="1182" spans="1:20">
      <c r="A1182" s="1" t="s">
        <v>3501</v>
      </c>
      <c r="B1182" s="1" t="str" cm="1">
        <f t="array" ref="B1182">IF(A1182="","",_xlfn.IFS(COUNTIF($U:$U,A1182)&gt;0,"All uploaded",COUNTIF($V:$V,A1182)&gt;0,"Partly uploaded",COUNTIF($W:$X,A1182)&gt;0,"Not uploaded",TRUE,"Not classified"))</f>
        <v>Not uploaded</v>
      </c>
      <c r="C1182" s="1" t="str" cm="1">
        <f t="array" ref="C1182">_xlfn.SWITCH(TRIM(I1182),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82" s="1"/>
      <c r="E1182" s="1"/>
      <c r="F1182" s="1" t="str" cm="1">
        <f t="array" ref="F1182">_xlfn.LET(
_xlpm.status,UPPER(TRIM(B1182&amp;"")),
_xlpm.risk,UPPER(TRIM(C1182&amp;"")),
_xlpm.notify,UPPER(TRIM(D1182&amp;"")),
_xlpm.form,UPPER(TRIM(E1182&amp;"")),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82" s="1" t="str">
        <f t="shared" si="18"/>
        <v>Required</v>
      </c>
      <c r="H1182" s="5"/>
      <c r="I1182" s="1" t="s">
        <v>10</v>
      </c>
      <c r="J1182" s="1"/>
      <c r="K1182" s="1" t="s">
        <v>3493</v>
      </c>
      <c r="L1182" s="1" t="s">
        <v>10</v>
      </c>
      <c r="M1182" s="1"/>
      <c r="N1182" s="1" t="s">
        <v>51</v>
      </c>
      <c r="O1182" s="1" t="s">
        <v>19</v>
      </c>
      <c r="P1182" s="1" t="s">
        <v>18</v>
      </c>
      <c r="Q1182" s="1" t="s">
        <v>20</v>
      </c>
      <c r="R1182" s="1"/>
      <c r="S1182" s="1"/>
      <c r="T1182" s="1"/>
    </row>
    <row r="1183" spans="1:20">
      <c r="A1183" s="1" t="s">
        <v>3507</v>
      </c>
      <c r="B1183" s="1" t="str" cm="1">
        <f t="array" ref="B1183">IF(A1183="","",_xlfn.IFS(COUNTIF($U:$U,A1183)&gt;0,"All uploaded",COUNTIF($V:$V,A1183)&gt;0,"Partly uploaded",COUNTIF($W:$X,A1183)&gt;0,"Not uploaded",TRUE,"Not classified"))</f>
        <v>Partly uploaded</v>
      </c>
      <c r="C1183" s="1" t="str" cm="1">
        <f t="array" ref="C1183">_xlfn.SWITCH(TRIM(I1183),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83" s="1"/>
      <c r="E1183" s="1"/>
      <c r="F1183" s="1" t="str" cm="1">
        <f t="array" ref="F1183">_xlfn.LET(
_xlpm.status,UPPER(TRIM(B1183&amp;"")),
_xlpm.risk,UPPER(TRIM(C1183&amp;"")),
_xlpm.notify,UPPER(TRIM(D1183&amp;"")),
_xlpm.form,UPPER(TRIM(E1183&amp;"")),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83" s="1" t="str">
        <f t="shared" si="18"/>
        <v>NA</v>
      </c>
      <c r="H1183" s="5"/>
      <c r="I1183" s="1" t="s">
        <v>23</v>
      </c>
      <c r="J1183" s="1"/>
      <c r="K1183" s="1" t="s">
        <v>3506</v>
      </c>
      <c r="L1183" s="1" t="s">
        <v>23</v>
      </c>
      <c r="M1183" s="1"/>
      <c r="N1183" s="1" t="s">
        <v>3508</v>
      </c>
      <c r="O1183" s="1" t="s">
        <v>19</v>
      </c>
      <c r="P1183" s="1" t="s">
        <v>18</v>
      </c>
      <c r="Q1183" s="1" t="s">
        <v>20</v>
      </c>
      <c r="R1183" s="1"/>
      <c r="S1183" s="1"/>
      <c r="T1183" s="1"/>
    </row>
    <row r="1184" spans="1:20">
      <c r="A1184" s="1" t="s">
        <v>3514</v>
      </c>
      <c r="B1184" s="1" t="str" cm="1">
        <f t="array" ref="B1184">IF(A1184="","",_xlfn.IFS(COUNTIF($U:$U,A1184)&gt;0,"All uploaded",COUNTIF($V:$V,A1184)&gt;0,"Partly uploaded",COUNTIF($W:$X,A1184)&gt;0,"Not uploaded",TRUE,"Not classified"))</f>
        <v>Not uploaded</v>
      </c>
      <c r="C1184" s="1" t="str" cm="1">
        <f t="array" ref="C1184">_xlfn.SWITCH(TRIM(I1184),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84" s="1"/>
      <c r="E1184" s="1"/>
      <c r="F1184" s="1" t="str" cm="1">
        <f t="array" ref="F1184">_xlfn.LET(
_xlpm.status,UPPER(TRIM(B1184&amp;"")),
_xlpm.risk,UPPER(TRIM(C1184&amp;"")),
_xlpm.notify,UPPER(TRIM(D1184&amp;"")),
_xlpm.form,UPPER(TRIM(E1184&amp;"")),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84" s="1" t="str">
        <f t="shared" si="18"/>
        <v>NA</v>
      </c>
      <c r="H1184" s="5"/>
      <c r="I1184" s="1" t="s">
        <v>22</v>
      </c>
      <c r="J1184" s="1"/>
      <c r="K1184" s="1" t="s">
        <v>3513</v>
      </c>
      <c r="L1184" s="1" t="s">
        <v>22</v>
      </c>
      <c r="M1184" s="1"/>
      <c r="N1184" s="1" t="s">
        <v>120</v>
      </c>
      <c r="O1184" s="1" t="s">
        <v>19</v>
      </c>
      <c r="P1184" s="1" t="s">
        <v>18</v>
      </c>
      <c r="Q1184" s="1" t="s">
        <v>20</v>
      </c>
      <c r="R1184" s="1"/>
      <c r="S1184" s="1"/>
      <c r="T1184" s="1"/>
    </row>
    <row r="1185" spans="1:20">
      <c r="A1185" s="1" t="s">
        <v>3515</v>
      </c>
      <c r="B1185" s="1" t="str" cm="1">
        <f t="array" ref="B1185">IF(A1185="","",_xlfn.IFS(COUNTIF($U:$U,A1185)&gt;0,"All uploaded",COUNTIF($V:$V,A1185)&gt;0,"Partly uploaded",COUNTIF($W:$X,A1185)&gt;0,"Not uploaded",TRUE,"Not classified"))</f>
        <v>Not uploaded</v>
      </c>
      <c r="C1185" s="1" t="str" cm="1">
        <f t="array" ref="C1185">_xlfn.SWITCH(TRIM(I1185),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85" s="1"/>
      <c r="E1185" s="1"/>
      <c r="F1185" s="1" t="str" cm="1">
        <f t="array" ref="F1185">_xlfn.LET(
_xlpm.status,UPPER(TRIM(B1185&amp;"")),
_xlpm.risk,UPPER(TRIM(C1185&amp;"")),
_xlpm.notify,UPPER(TRIM(D1185&amp;"")),
_xlpm.form,UPPER(TRIM(E1185&amp;"")),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85" s="1" t="str">
        <f t="shared" si="18"/>
        <v>Required</v>
      </c>
      <c r="H1185" s="5"/>
      <c r="I1185" s="1" t="s">
        <v>34</v>
      </c>
      <c r="J1185" s="1"/>
      <c r="K1185" s="1" t="s">
        <v>3513</v>
      </c>
      <c r="L1185" s="1" t="s">
        <v>34</v>
      </c>
      <c r="M1185" s="1"/>
      <c r="N1185" s="1" t="s">
        <v>3516</v>
      </c>
      <c r="O1185" s="1" t="s">
        <v>19</v>
      </c>
      <c r="P1185" s="1" t="s">
        <v>18</v>
      </c>
      <c r="Q1185" s="1" t="s">
        <v>20</v>
      </c>
      <c r="R1185" s="1"/>
      <c r="S1185" s="1"/>
      <c r="T1185" s="1"/>
    </row>
    <row r="1186" spans="1:20">
      <c r="A1186" s="1" t="s">
        <v>3517</v>
      </c>
      <c r="B1186" s="1" t="str" cm="1">
        <f t="array" ref="B1186">IF(A1186="","",_xlfn.IFS(COUNTIF($U:$U,A1186)&gt;0,"All uploaded",COUNTIF($V:$V,A1186)&gt;0,"Partly uploaded",COUNTIF($W:$X,A1186)&gt;0,"Not uploaded",TRUE,"Not classified"))</f>
        <v>Not uploaded</v>
      </c>
      <c r="C1186" s="1" t="str" cm="1">
        <f t="array" ref="C1186">_xlfn.SWITCH(TRIM(I1186),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86" s="1"/>
      <c r="E1186" s="1"/>
      <c r="F1186" s="1" t="str" cm="1">
        <f t="array" ref="F1186">_xlfn.LET(
_xlpm.status,UPPER(TRIM(B1186&amp;"")),
_xlpm.risk,UPPER(TRIM(C1186&amp;"")),
_xlpm.notify,UPPER(TRIM(D1186&amp;"")),
_xlpm.form,UPPER(TRIM(E1186&amp;"")),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86" s="1" t="str">
        <f t="shared" si="18"/>
        <v>NA</v>
      </c>
      <c r="H1186" s="5"/>
      <c r="I1186" s="1" t="s">
        <v>22</v>
      </c>
      <c r="J1186" s="1"/>
      <c r="K1186" s="1" t="s">
        <v>3513</v>
      </c>
      <c r="L1186" s="1" t="s">
        <v>22</v>
      </c>
      <c r="M1186" s="1"/>
      <c r="N1186" s="1" t="s">
        <v>3518</v>
      </c>
      <c r="O1186" s="1" t="s">
        <v>30</v>
      </c>
      <c r="P1186" s="1" t="s">
        <v>43</v>
      </c>
      <c r="Q1186" s="1" t="s">
        <v>65</v>
      </c>
      <c r="R1186" s="1"/>
      <c r="S1186" s="1"/>
      <c r="T1186" s="1"/>
    </row>
    <row r="1187" spans="1:20">
      <c r="A1187" s="1" t="s">
        <v>3520</v>
      </c>
      <c r="B1187" s="1" t="str" cm="1">
        <f t="array" ref="B1187">IF(A1187="","",_xlfn.IFS(COUNTIF($U:$U,A1187)&gt;0,"All uploaded",COUNTIF($V:$V,A1187)&gt;0,"Partly uploaded",COUNTIF($W:$X,A1187)&gt;0,"Not uploaded",TRUE,"Not classified"))</f>
        <v>Not uploaded</v>
      </c>
      <c r="C1187" s="1" t="str" cm="1">
        <f t="array" ref="C1187">_xlfn.SWITCH(TRIM(I1187),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87" s="1"/>
      <c r="E1187" s="1"/>
      <c r="F1187" s="1" t="str" cm="1">
        <f t="array" ref="F1187">_xlfn.LET(
_xlpm.status,UPPER(TRIM(B1187&amp;"")),
_xlpm.risk,UPPER(TRIM(C1187&amp;"")),
_xlpm.notify,UPPER(TRIM(D1187&amp;"")),
_xlpm.form,UPPER(TRIM(E1187&amp;"")),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87" s="1" t="str">
        <f t="shared" si="18"/>
        <v>NA</v>
      </c>
      <c r="H1187" s="5"/>
      <c r="I1187" s="1" t="s">
        <v>23</v>
      </c>
      <c r="J1187" s="1"/>
      <c r="K1187" s="1" t="s">
        <v>3519</v>
      </c>
      <c r="L1187" s="1" t="s">
        <v>23</v>
      </c>
      <c r="M1187" s="1"/>
      <c r="N1187" s="1" t="s">
        <v>3521</v>
      </c>
      <c r="O1187" s="1" t="s">
        <v>19</v>
      </c>
      <c r="P1187" s="1" t="s">
        <v>18</v>
      </c>
      <c r="Q1187" s="1" t="s">
        <v>20</v>
      </c>
      <c r="R1187" s="1"/>
      <c r="S1187" s="1"/>
      <c r="T1187" s="1"/>
    </row>
    <row r="1188" spans="1:20">
      <c r="A1188" s="1" t="s">
        <v>3523</v>
      </c>
      <c r="B1188" s="1" t="str" cm="1">
        <f t="array" ref="B1188">IF(A1188="","",_xlfn.IFS(COUNTIF($U:$U,A1188)&gt;0,"All uploaded",COUNTIF($V:$V,A1188)&gt;0,"Partly uploaded",COUNTIF($W:$X,A1188)&gt;0,"Not uploaded",TRUE,"Not classified"))</f>
        <v>Not uploaded</v>
      </c>
      <c r="C1188" s="1" t="str" cm="1">
        <f t="array" ref="C1188">_xlfn.SWITCH(TRIM(I1188),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88" s="1"/>
      <c r="E1188" s="1"/>
      <c r="F1188" s="1" t="str" cm="1">
        <f t="array" ref="F1188">_xlfn.LET(
_xlpm.status,UPPER(TRIM(B1188&amp;"")),
_xlpm.risk,UPPER(TRIM(C1188&amp;"")),
_xlpm.notify,UPPER(TRIM(D1188&amp;"")),
_xlpm.form,UPPER(TRIM(E1188&amp;"")),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88" s="1" t="str">
        <f t="shared" si="18"/>
        <v>Required</v>
      </c>
      <c r="H1188" s="5"/>
      <c r="I1188" s="1" t="s">
        <v>27</v>
      </c>
      <c r="J1188" s="1"/>
      <c r="K1188" s="1" t="s">
        <v>3522</v>
      </c>
      <c r="L1188" s="1" t="s">
        <v>27</v>
      </c>
      <c r="M1188" s="1"/>
      <c r="N1188" s="1" t="s">
        <v>3524</v>
      </c>
      <c r="O1188" s="1" t="s">
        <v>19</v>
      </c>
      <c r="P1188" s="1" t="s">
        <v>18</v>
      </c>
      <c r="Q1188" s="1" t="s">
        <v>20</v>
      </c>
      <c r="R1188" s="1"/>
      <c r="S1188" s="1"/>
      <c r="T1188" s="1"/>
    </row>
    <row r="1189" spans="1:20">
      <c r="A1189" s="1" t="s">
        <v>3526</v>
      </c>
      <c r="B1189" s="1" t="str" cm="1">
        <f t="array" ref="B1189">IF(A1189="","",_xlfn.IFS(COUNTIF($U:$U,A1189)&gt;0,"All uploaded",COUNTIF($V:$V,A1189)&gt;0,"Partly uploaded",COUNTIF($W:$X,A1189)&gt;0,"Not uploaded",TRUE,"Not classified"))</f>
        <v>Not uploaded</v>
      </c>
      <c r="C1189" s="1" t="str" cm="1">
        <f t="array" ref="C1189">_xlfn.SWITCH(TRIM(I1189),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89" s="1"/>
      <c r="E1189" s="1"/>
      <c r="F1189" s="1" t="str" cm="1">
        <f t="array" ref="F1189">_xlfn.LET(
_xlpm.status,UPPER(TRIM(B1189&amp;"")),
_xlpm.risk,UPPER(TRIM(C1189&amp;"")),
_xlpm.notify,UPPER(TRIM(D1189&amp;"")),
_xlpm.form,UPPER(TRIM(E1189&amp;"")),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89" s="1" t="str">
        <f t="shared" si="18"/>
        <v>NA</v>
      </c>
      <c r="H1189" s="5"/>
      <c r="I1189" s="1" t="s">
        <v>22</v>
      </c>
      <c r="J1189" s="1"/>
      <c r="K1189" s="1" t="s">
        <v>3525</v>
      </c>
      <c r="L1189" s="1" t="s">
        <v>22</v>
      </c>
      <c r="M1189" s="1"/>
      <c r="N1189" s="1" t="s">
        <v>3527</v>
      </c>
      <c r="O1189" s="1" t="s">
        <v>19</v>
      </c>
      <c r="P1189" s="1" t="s">
        <v>18</v>
      </c>
      <c r="Q1189" s="1" t="s">
        <v>20</v>
      </c>
      <c r="R1189" s="1"/>
      <c r="S1189" s="1"/>
      <c r="T1189" s="1"/>
    </row>
    <row r="1190" spans="1:20">
      <c r="A1190" s="1" t="s">
        <v>3529</v>
      </c>
      <c r="B1190" s="1" t="str" cm="1">
        <f t="array" ref="B1190">IF(A1190="","",_xlfn.IFS(COUNTIF($U:$U,A1190)&gt;0,"All uploaded",COUNTIF($V:$V,A1190)&gt;0,"Partly uploaded",COUNTIF($W:$X,A1190)&gt;0,"Not uploaded",TRUE,"Not classified"))</f>
        <v>Not uploaded</v>
      </c>
      <c r="C1190" s="1" t="str" cm="1">
        <f t="array" ref="C1190">_xlfn.SWITCH(TRIM(I1190),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90" s="1"/>
      <c r="E1190" s="1"/>
      <c r="F1190" s="1" t="str" cm="1">
        <f t="array" ref="F1190">_xlfn.LET(
_xlpm.status,UPPER(TRIM(B1190&amp;"")),
_xlpm.risk,UPPER(TRIM(C1190&amp;"")),
_xlpm.notify,UPPER(TRIM(D1190&amp;"")),
_xlpm.form,UPPER(TRIM(E1190&amp;"")),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90" s="1" t="str">
        <f t="shared" si="18"/>
        <v>NA</v>
      </c>
      <c r="H1190" s="5"/>
      <c r="I1190" s="1" t="s">
        <v>22</v>
      </c>
      <c r="J1190" s="1"/>
      <c r="K1190" s="1" t="s">
        <v>3528</v>
      </c>
      <c r="L1190" s="1" t="s">
        <v>22</v>
      </c>
      <c r="M1190" s="1"/>
      <c r="N1190" s="1" t="s">
        <v>3530</v>
      </c>
      <c r="O1190" s="1" t="s">
        <v>19</v>
      </c>
      <c r="P1190" s="1" t="s">
        <v>18</v>
      </c>
      <c r="Q1190" s="1" t="s">
        <v>20</v>
      </c>
      <c r="R1190" s="1"/>
      <c r="S1190" s="1"/>
      <c r="T1190" s="1"/>
    </row>
    <row r="1191" spans="1:20">
      <c r="A1191" s="1" t="s">
        <v>3532</v>
      </c>
      <c r="B1191" s="1" t="str" cm="1">
        <f t="array" ref="B1191">IF(A1191="","",_xlfn.IFS(COUNTIF($U:$U,A1191)&gt;0,"All uploaded",COUNTIF($V:$V,A1191)&gt;0,"Partly uploaded",COUNTIF($W:$X,A1191)&gt;0,"Not uploaded",TRUE,"Not classified"))</f>
        <v>Not uploaded</v>
      </c>
      <c r="C1191" s="1" t="str" cm="1">
        <f t="array" ref="C1191">_xlfn.SWITCH(TRIM(I1191),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91" s="1"/>
      <c r="E1191" s="1"/>
      <c r="F1191" s="1" t="str" cm="1">
        <f t="array" ref="F1191">_xlfn.LET(
_xlpm.status,UPPER(TRIM(B1191&amp;"")),
_xlpm.risk,UPPER(TRIM(C1191&amp;"")),
_xlpm.notify,UPPER(TRIM(D1191&amp;"")),
_xlpm.form,UPPER(TRIM(E1191&amp;"")),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91" s="1" t="str">
        <f t="shared" si="18"/>
        <v>Required</v>
      </c>
      <c r="H1191" s="5"/>
      <c r="I1191" s="1" t="s">
        <v>10</v>
      </c>
      <c r="J1191" s="1"/>
      <c r="K1191" s="1" t="s">
        <v>3531</v>
      </c>
      <c r="L1191" s="1" t="s">
        <v>10</v>
      </c>
      <c r="M1191" s="1"/>
      <c r="N1191" s="1" t="s">
        <v>3533</v>
      </c>
      <c r="O1191" s="1" t="s">
        <v>19</v>
      </c>
      <c r="P1191" s="1" t="s">
        <v>18</v>
      </c>
      <c r="Q1191" s="1" t="s">
        <v>20</v>
      </c>
      <c r="R1191" s="1"/>
      <c r="S1191" s="1"/>
      <c r="T1191" s="1"/>
    </row>
    <row r="1192" spans="1:20">
      <c r="A1192" s="1" t="s">
        <v>3535</v>
      </c>
      <c r="B1192" s="1" t="str" cm="1">
        <f t="array" ref="B1192">IF(A1192="","",_xlfn.IFS(COUNTIF($U:$U,A1192)&gt;0,"All uploaded",COUNTIF($V:$V,A1192)&gt;0,"Partly uploaded",COUNTIF($W:$X,A1192)&gt;0,"Not uploaded",TRUE,"Not classified"))</f>
        <v>Not uploaded</v>
      </c>
      <c r="C1192" s="1" t="str" cm="1">
        <f t="array" ref="C1192">_xlfn.SWITCH(TRIM(I1192),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92" s="1"/>
      <c r="E1192" s="1"/>
      <c r="F1192" s="1" t="str" cm="1">
        <f t="array" ref="F1192">_xlfn.LET(
_xlpm.status,UPPER(TRIM(B1192&amp;"")),
_xlpm.risk,UPPER(TRIM(C1192&amp;"")),
_xlpm.notify,UPPER(TRIM(D1192&amp;"")),
_xlpm.form,UPPER(TRIM(E1192&amp;"")),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92" s="1" t="str">
        <f t="shared" si="18"/>
        <v>Required</v>
      </c>
      <c r="H1192" s="5"/>
      <c r="I1192" s="1" t="s">
        <v>10</v>
      </c>
      <c r="J1192" s="1"/>
      <c r="K1192" s="1" t="s">
        <v>3534</v>
      </c>
      <c r="L1192" s="1" t="s">
        <v>10</v>
      </c>
      <c r="M1192" s="1"/>
      <c r="N1192" s="1" t="s">
        <v>3378</v>
      </c>
      <c r="O1192" s="1" t="s">
        <v>19</v>
      </c>
      <c r="P1192" s="1" t="s">
        <v>18</v>
      </c>
      <c r="Q1192" s="1" t="s">
        <v>20</v>
      </c>
      <c r="R1192" s="1"/>
      <c r="S1192" s="1"/>
      <c r="T1192" s="1"/>
    </row>
    <row r="1193" spans="1:20">
      <c r="A1193" s="1" t="s">
        <v>3536</v>
      </c>
      <c r="B1193" s="1" t="str" cm="1">
        <f t="array" ref="B1193">IF(A1193="","",_xlfn.IFS(COUNTIF($U:$U,A1193)&gt;0,"All uploaded",COUNTIF($V:$V,A1193)&gt;0,"Partly uploaded",COUNTIF($W:$X,A1193)&gt;0,"Not uploaded",TRUE,"Not classified"))</f>
        <v>Not uploaded</v>
      </c>
      <c r="C1193" s="1" t="str" cm="1">
        <f t="array" ref="C1193">_xlfn.SWITCH(TRIM(I1193),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93" s="1"/>
      <c r="E1193" s="1"/>
      <c r="F1193" s="1" t="str" cm="1">
        <f t="array" ref="F1193">_xlfn.LET(
_xlpm.status,UPPER(TRIM(B1193&amp;"")),
_xlpm.risk,UPPER(TRIM(C1193&amp;"")),
_xlpm.notify,UPPER(TRIM(D1193&amp;"")),
_xlpm.form,UPPER(TRIM(E1193&amp;"")),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93" s="1" t="str">
        <f t="shared" si="18"/>
        <v>NA</v>
      </c>
      <c r="H1193" s="5"/>
      <c r="I1193" s="1" t="s">
        <v>22</v>
      </c>
      <c r="J1193" s="1"/>
      <c r="K1193" s="1" t="s">
        <v>3534</v>
      </c>
      <c r="L1193" s="1" t="s">
        <v>22</v>
      </c>
      <c r="M1193" s="1"/>
      <c r="N1193" s="1" t="s">
        <v>1804</v>
      </c>
      <c r="O1193" s="1" t="s">
        <v>19</v>
      </c>
      <c r="P1193" s="1" t="s">
        <v>18</v>
      </c>
      <c r="Q1193" s="1" t="s">
        <v>20</v>
      </c>
      <c r="R1193" s="1"/>
      <c r="S1193" s="1"/>
      <c r="T1193" s="1"/>
    </row>
    <row r="1194" spans="1:20">
      <c r="A1194" s="1" t="s">
        <v>3538</v>
      </c>
      <c r="B1194" s="1" t="str" cm="1">
        <f t="array" ref="B1194">IF(A1194="","",_xlfn.IFS(COUNTIF($U:$U,A1194)&gt;0,"All uploaded",COUNTIF($V:$V,A1194)&gt;0,"Partly uploaded",COUNTIF($W:$X,A1194)&gt;0,"Not uploaded",TRUE,"Not classified"))</f>
        <v>Not uploaded</v>
      </c>
      <c r="C1194" s="1" t="str" cm="1">
        <f t="array" ref="C1194">_xlfn.SWITCH(TRIM(I1194),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94" s="1"/>
      <c r="E1194" s="1"/>
      <c r="F1194" s="1" t="str" cm="1">
        <f t="array" ref="F1194">_xlfn.LET(
_xlpm.status,UPPER(TRIM(B1194&amp;"")),
_xlpm.risk,UPPER(TRIM(C1194&amp;"")),
_xlpm.notify,UPPER(TRIM(D1194&amp;"")),
_xlpm.form,UPPER(TRIM(E1194&amp;"")),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94" s="1" t="str">
        <f t="shared" si="18"/>
        <v>NA</v>
      </c>
      <c r="H1194" s="5"/>
      <c r="I1194" s="1" t="s">
        <v>22</v>
      </c>
      <c r="J1194" s="1"/>
      <c r="K1194" s="1" t="s">
        <v>3537</v>
      </c>
      <c r="L1194" s="1" t="s">
        <v>22</v>
      </c>
      <c r="M1194" s="1"/>
      <c r="N1194" s="1" t="s">
        <v>3539</v>
      </c>
      <c r="O1194" s="1" t="s">
        <v>19</v>
      </c>
      <c r="P1194" s="1" t="s">
        <v>18</v>
      </c>
      <c r="Q1194" s="1" t="s">
        <v>20</v>
      </c>
      <c r="R1194" s="1"/>
      <c r="S1194" s="1"/>
      <c r="T1194" s="1"/>
    </row>
    <row r="1195" spans="1:20">
      <c r="A1195" s="1" t="s">
        <v>3541</v>
      </c>
      <c r="B1195" s="1" t="str" cm="1">
        <f t="array" ref="B1195">IF(A1195="","",_xlfn.IFS(COUNTIF($U:$U,A1195)&gt;0,"All uploaded",COUNTIF($V:$V,A1195)&gt;0,"Partly uploaded",COUNTIF($W:$X,A1195)&gt;0,"Not uploaded",TRUE,"Not classified"))</f>
        <v>Not uploaded</v>
      </c>
      <c r="C1195" s="1" t="str" cm="1">
        <f t="array" ref="C1195">_xlfn.SWITCH(TRIM(I1195),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95" s="1"/>
      <c r="E1195" s="1"/>
      <c r="F1195" s="1" t="str" cm="1">
        <f t="array" ref="F1195">_xlfn.LET(
_xlpm.status,UPPER(TRIM(B1195&amp;"")),
_xlpm.risk,UPPER(TRIM(C1195&amp;"")),
_xlpm.notify,UPPER(TRIM(D1195&amp;"")),
_xlpm.form,UPPER(TRIM(E1195&amp;"")),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95" s="1" t="str">
        <f t="shared" si="18"/>
        <v>NA</v>
      </c>
      <c r="H1195" s="5"/>
      <c r="I1195" s="1" t="s">
        <v>22</v>
      </c>
      <c r="J1195" s="1"/>
      <c r="K1195" s="1" t="s">
        <v>3540</v>
      </c>
      <c r="L1195" s="1" t="s">
        <v>22</v>
      </c>
      <c r="M1195" s="1"/>
      <c r="N1195" s="1" t="s">
        <v>3542</v>
      </c>
      <c r="O1195" s="1" t="s">
        <v>19</v>
      </c>
      <c r="P1195" s="1" t="s">
        <v>18</v>
      </c>
      <c r="Q1195" s="1" t="s">
        <v>20</v>
      </c>
      <c r="R1195" s="1"/>
      <c r="S1195" s="1"/>
      <c r="T1195" s="1"/>
    </row>
    <row r="1196" spans="1:20">
      <c r="A1196" s="1" t="s">
        <v>3544</v>
      </c>
      <c r="B1196" s="1" t="str" cm="1">
        <f t="array" ref="B1196">IF(A1196="","",_xlfn.IFS(COUNTIF($U:$U,A1196)&gt;0,"All uploaded",COUNTIF($V:$V,A1196)&gt;0,"Partly uploaded",COUNTIF($W:$X,A1196)&gt;0,"Not uploaded",TRUE,"Not classified"))</f>
        <v>Not uploaded</v>
      </c>
      <c r="C1196" s="1" t="str" cm="1">
        <f t="array" ref="C1196">_xlfn.SWITCH(TRIM(I1196),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196" s="1"/>
      <c r="E1196" s="1"/>
      <c r="F1196" s="1" t="str" cm="1">
        <f t="array" ref="F1196">_xlfn.LET(
_xlpm.status,UPPER(TRIM(B1196&amp;"")),
_xlpm.risk,UPPER(TRIM(C1196&amp;"")),
_xlpm.notify,UPPER(TRIM(D1196&amp;"")),
_xlpm.form,UPPER(TRIM(E1196&amp;"")),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96" s="1" t="str">
        <f t="shared" si="18"/>
        <v>Required</v>
      </c>
      <c r="H1196" s="5"/>
      <c r="I1196" s="1" t="s">
        <v>34</v>
      </c>
      <c r="J1196" s="1"/>
      <c r="K1196" s="1" t="s">
        <v>3543</v>
      </c>
      <c r="L1196" s="1" t="s">
        <v>34</v>
      </c>
      <c r="M1196" s="1"/>
      <c r="N1196" s="1" t="s">
        <v>3545</v>
      </c>
      <c r="O1196" s="1" t="s">
        <v>19</v>
      </c>
      <c r="P1196" s="1" t="s">
        <v>18</v>
      </c>
      <c r="Q1196" s="1" t="s">
        <v>20</v>
      </c>
      <c r="R1196" s="1"/>
      <c r="S1196" s="1"/>
      <c r="T1196" s="1"/>
    </row>
    <row r="1197" spans="1:20">
      <c r="A1197" s="1" t="s">
        <v>3547</v>
      </c>
      <c r="B1197" s="1" t="str" cm="1">
        <f t="array" ref="B1197">IF(A1197="","",_xlfn.IFS(COUNTIF($U:$U,A1197)&gt;0,"All uploaded",COUNTIF($V:$V,A1197)&gt;0,"Partly uploaded",COUNTIF($W:$X,A1197)&gt;0,"Not uploaded",TRUE,"Not classified"))</f>
        <v>Partly uploaded</v>
      </c>
      <c r="C1197" s="1" t="str" cm="1">
        <f t="array" ref="C1197">_xlfn.SWITCH(TRIM(I1197),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97" s="1"/>
      <c r="E1197" s="1"/>
      <c r="F1197" s="1" t="str" cm="1">
        <f t="array" ref="F1197">_xlfn.LET(
_xlpm.status,UPPER(TRIM(B1197&amp;"")),
_xlpm.risk,UPPER(TRIM(C1197&amp;"")),
_xlpm.notify,UPPER(TRIM(D1197&amp;"")),
_xlpm.form,UPPER(TRIM(E1197&amp;"")),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97" s="1" t="str">
        <f t="shared" si="18"/>
        <v>NA</v>
      </c>
      <c r="H1197" s="5"/>
      <c r="I1197" s="1" t="s">
        <v>50</v>
      </c>
      <c r="J1197" s="1"/>
      <c r="K1197" s="1" t="s">
        <v>3546</v>
      </c>
      <c r="L1197" s="1" t="s">
        <v>50</v>
      </c>
      <c r="M1197" s="1"/>
      <c r="N1197" s="1" t="s">
        <v>2707</v>
      </c>
      <c r="O1197" s="1" t="s">
        <v>19</v>
      </c>
      <c r="P1197" s="1" t="s">
        <v>18</v>
      </c>
      <c r="Q1197" s="1" t="s">
        <v>20</v>
      </c>
      <c r="R1197" s="1"/>
      <c r="S1197" s="1"/>
      <c r="T1197" s="1"/>
    </row>
    <row r="1198" spans="1:20">
      <c r="A1198" s="1" t="s">
        <v>3551</v>
      </c>
      <c r="B1198" s="1" t="str" cm="1">
        <f t="array" ref="B1198">IF(A1198="","",_xlfn.IFS(COUNTIF($U:$U,A1198)&gt;0,"All uploaded",COUNTIF($V:$V,A1198)&gt;0,"Partly uploaded",COUNTIF($W:$X,A1198)&gt;0,"Not uploaded",TRUE,"Not classified"))</f>
        <v>Not uploaded</v>
      </c>
      <c r="C1198" s="1" t="str" cm="1">
        <f t="array" ref="C1198">_xlfn.SWITCH(TRIM(I1198),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98" s="1"/>
      <c r="E1198" s="1"/>
      <c r="F1198" s="1" t="str" cm="1">
        <f t="array" ref="F1198">_xlfn.LET(
_xlpm.status,UPPER(TRIM(B1198&amp;"")),
_xlpm.risk,UPPER(TRIM(C1198&amp;"")),
_xlpm.notify,UPPER(TRIM(D1198&amp;"")),
_xlpm.form,UPPER(TRIM(E1198&amp;"")),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98" s="1" t="str">
        <f t="shared" si="18"/>
        <v>NA</v>
      </c>
      <c r="H1198" s="5"/>
      <c r="I1198" s="1" t="s">
        <v>22</v>
      </c>
      <c r="J1198" s="1"/>
      <c r="K1198" s="1" t="s">
        <v>3546</v>
      </c>
      <c r="L1198" s="1" t="s">
        <v>22</v>
      </c>
      <c r="M1198" s="1"/>
      <c r="N1198" s="1" t="s">
        <v>3552</v>
      </c>
      <c r="O1198" s="1" t="s">
        <v>19</v>
      </c>
      <c r="P1198" s="1" t="s">
        <v>18</v>
      </c>
      <c r="Q1198" s="1" t="s">
        <v>20</v>
      </c>
      <c r="R1198" s="1"/>
      <c r="S1198" s="1"/>
      <c r="T1198" s="1"/>
    </row>
    <row r="1199" spans="1:20">
      <c r="A1199" s="1" t="s">
        <v>3554</v>
      </c>
      <c r="B1199" s="1" t="str" cm="1">
        <f t="array" ref="B1199">IF(A1199="","",_xlfn.IFS(COUNTIF($U:$U,A1199)&gt;0,"All uploaded",COUNTIF($V:$V,A1199)&gt;0,"Partly uploaded",COUNTIF($W:$X,A1199)&gt;0,"Not uploaded",TRUE,"Not classified"))</f>
        <v>Not uploaded</v>
      </c>
      <c r="C1199" s="1" t="str" cm="1">
        <f t="array" ref="C1199">_xlfn.SWITCH(TRIM(I1199),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199" s="1"/>
      <c r="E1199" s="1"/>
      <c r="F1199" s="1" t="str" cm="1">
        <f t="array" ref="F1199">_xlfn.LET(
_xlpm.status,UPPER(TRIM(B1199&amp;"")),
_xlpm.risk,UPPER(TRIM(C1199&amp;"")),
_xlpm.notify,UPPER(TRIM(D1199&amp;"")),
_xlpm.form,UPPER(TRIM(E1199&amp;"")),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199" s="1" t="str">
        <f t="shared" si="18"/>
        <v>NA</v>
      </c>
      <c r="H1199" s="5"/>
      <c r="I1199" s="1" t="s">
        <v>23</v>
      </c>
      <c r="J1199" s="1"/>
      <c r="K1199" s="1" t="s">
        <v>3553</v>
      </c>
      <c r="L1199" s="1" t="s">
        <v>23</v>
      </c>
      <c r="M1199" s="1"/>
      <c r="N1199" s="1" t="s">
        <v>3555</v>
      </c>
      <c r="O1199" s="1" t="s">
        <v>19</v>
      </c>
      <c r="P1199" s="1" t="s">
        <v>18</v>
      </c>
      <c r="Q1199" s="1" t="s">
        <v>20</v>
      </c>
      <c r="R1199" s="1"/>
      <c r="S1199" s="1"/>
      <c r="T1199" s="1"/>
    </row>
    <row r="1200" spans="1:20">
      <c r="A1200" s="1" t="s">
        <v>3556</v>
      </c>
      <c r="B1200" s="1" t="str" cm="1">
        <f t="array" ref="B1200">IF(A1200="","",_xlfn.IFS(COUNTIF($U:$U,A1200)&gt;0,"All uploaded",COUNTIF($V:$V,A1200)&gt;0,"Partly uploaded",COUNTIF($W:$X,A1200)&gt;0,"Not uploaded",TRUE,"Not classified"))</f>
        <v>Not uploaded</v>
      </c>
      <c r="C1200" s="1" t="str" cm="1">
        <f t="array" ref="C1200">_xlfn.SWITCH(TRIM(I1200),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00" s="1"/>
      <c r="E1200" s="1"/>
      <c r="F1200" s="1" t="str" cm="1">
        <f t="array" ref="F1200">_xlfn.LET(
_xlpm.status,UPPER(TRIM(B1200&amp;"")),
_xlpm.risk,UPPER(TRIM(C1200&amp;"")),
_xlpm.notify,UPPER(TRIM(D1200&amp;"")),
_xlpm.form,UPPER(TRIM(E1200&amp;"")),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00" s="1" t="str">
        <f t="shared" si="18"/>
        <v>Required</v>
      </c>
      <c r="H1200" s="5"/>
      <c r="I1200" s="1" t="s">
        <v>27</v>
      </c>
      <c r="J1200" s="1"/>
      <c r="K1200" s="1" t="s">
        <v>3553</v>
      </c>
      <c r="L1200" s="1" t="s">
        <v>27</v>
      </c>
      <c r="M1200" s="1"/>
      <c r="N1200" s="1" t="s">
        <v>3557</v>
      </c>
      <c r="O1200" s="1" t="s">
        <v>19</v>
      </c>
      <c r="P1200" s="1" t="s">
        <v>18</v>
      </c>
      <c r="Q1200" s="1" t="s">
        <v>20</v>
      </c>
      <c r="R1200" s="1"/>
      <c r="S1200" s="1"/>
      <c r="T1200" s="1"/>
    </row>
    <row r="1201" spans="1:20">
      <c r="A1201" s="1" t="s">
        <v>3558</v>
      </c>
      <c r="B1201" s="1" t="str" cm="1">
        <f t="array" ref="B1201">IF(A1201="","",_xlfn.IFS(COUNTIF($U:$U,A1201)&gt;0,"All uploaded",COUNTIF($V:$V,A1201)&gt;0,"Partly uploaded",COUNTIF($W:$X,A1201)&gt;0,"Not uploaded",TRUE,"Not classified"))</f>
        <v>Not uploaded</v>
      </c>
      <c r="C1201" s="1" t="str" cm="1">
        <f t="array" ref="C1201">_xlfn.SWITCH(TRIM(I1201),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01" s="1"/>
      <c r="E1201" s="1"/>
      <c r="F1201" s="1" t="str" cm="1">
        <f t="array" ref="F1201">_xlfn.LET(
_xlpm.status,UPPER(TRIM(B1201&amp;"")),
_xlpm.risk,UPPER(TRIM(C1201&amp;"")),
_xlpm.notify,UPPER(TRIM(D1201&amp;"")),
_xlpm.form,UPPER(TRIM(E1201&amp;"")),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01" s="1" t="str">
        <f t="shared" si="18"/>
        <v>Required</v>
      </c>
      <c r="H1201" s="5"/>
      <c r="I1201" s="1" t="s">
        <v>34</v>
      </c>
      <c r="J1201" s="1"/>
      <c r="K1201" s="1" t="s">
        <v>3553</v>
      </c>
      <c r="L1201" s="1" t="s">
        <v>34</v>
      </c>
      <c r="M1201" s="1"/>
      <c r="N1201" s="1" t="s">
        <v>3559</v>
      </c>
      <c r="O1201" s="1" t="s">
        <v>19</v>
      </c>
      <c r="P1201" s="1" t="s">
        <v>18</v>
      </c>
      <c r="Q1201" s="1" t="s">
        <v>20</v>
      </c>
      <c r="R1201" s="1"/>
      <c r="S1201" s="1"/>
      <c r="T1201" s="1"/>
    </row>
    <row r="1202" spans="1:20">
      <c r="A1202" s="1" t="s">
        <v>3561</v>
      </c>
      <c r="B1202" s="1" t="str" cm="1">
        <f t="array" ref="B1202">IF(A1202="","",_xlfn.IFS(COUNTIF($U:$U,A1202)&gt;0,"All uploaded",COUNTIF($V:$V,A1202)&gt;0,"Partly uploaded",COUNTIF($W:$X,A1202)&gt;0,"Not uploaded",TRUE,"Not classified"))</f>
        <v>Partly uploaded</v>
      </c>
      <c r="C1202" s="1" t="str" cm="1">
        <f t="array" ref="C1202">_xlfn.SWITCH(TRIM(I1202),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02" s="1"/>
      <c r="E1202" s="1"/>
      <c r="F1202" s="1" t="str" cm="1">
        <f t="array" ref="F1202">_xlfn.LET(
_xlpm.status,UPPER(TRIM(B1202&amp;"")),
_xlpm.risk,UPPER(TRIM(C1202&amp;"")),
_xlpm.notify,UPPER(TRIM(D1202&amp;"")),
_xlpm.form,UPPER(TRIM(E1202&amp;"")),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02" s="1" t="str">
        <f t="shared" si="18"/>
        <v>NA</v>
      </c>
      <c r="H1202" s="5"/>
      <c r="I1202" s="1" t="s">
        <v>23</v>
      </c>
      <c r="J1202" s="1"/>
      <c r="K1202" s="1" t="s">
        <v>3560</v>
      </c>
      <c r="L1202" s="1" t="s">
        <v>23</v>
      </c>
      <c r="M1202" s="1"/>
      <c r="N1202" s="1" t="s">
        <v>2588</v>
      </c>
      <c r="O1202" s="1" t="s">
        <v>19</v>
      </c>
      <c r="P1202" s="1" t="s">
        <v>18</v>
      </c>
      <c r="Q1202" s="1" t="s">
        <v>20</v>
      </c>
      <c r="R1202" s="1"/>
      <c r="S1202" s="1"/>
      <c r="T1202" s="1"/>
    </row>
    <row r="1203" spans="1:20">
      <c r="A1203" s="1" t="s">
        <v>3567</v>
      </c>
      <c r="B1203" s="1" t="str" cm="1">
        <f t="array" ref="B1203">IF(A1203="","",_xlfn.IFS(COUNTIF($U:$U,A1203)&gt;0,"All uploaded",COUNTIF($V:$V,A1203)&gt;0,"Partly uploaded",COUNTIF($W:$X,A1203)&gt;0,"Not uploaded",TRUE,"Not classified"))</f>
        <v>Partly uploaded</v>
      </c>
      <c r="C1203" s="1" t="str" cm="1">
        <f t="array" ref="C1203">_xlfn.SWITCH(TRIM(I1203),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03" s="1"/>
      <c r="E1203" s="1"/>
      <c r="F1203" s="1" t="str" cm="1">
        <f t="array" ref="F1203">_xlfn.LET(
_xlpm.status,UPPER(TRIM(B1203&amp;"")),
_xlpm.risk,UPPER(TRIM(C1203&amp;"")),
_xlpm.notify,UPPER(TRIM(D1203&amp;"")),
_xlpm.form,UPPER(TRIM(E1203&amp;"")),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03" s="1" t="str">
        <f t="shared" si="18"/>
        <v>NA</v>
      </c>
      <c r="H1203" s="5"/>
      <c r="I1203" s="1" t="s">
        <v>22</v>
      </c>
      <c r="J1203" s="1"/>
      <c r="K1203" s="1" t="s">
        <v>3566</v>
      </c>
      <c r="L1203" s="1" t="s">
        <v>22</v>
      </c>
      <c r="M1203" s="1"/>
      <c r="N1203" s="1" t="s">
        <v>3568</v>
      </c>
      <c r="O1203" s="1" t="s">
        <v>19</v>
      </c>
      <c r="P1203" s="1" t="s">
        <v>18</v>
      </c>
      <c r="Q1203" s="1" t="s">
        <v>20</v>
      </c>
      <c r="R1203" s="1"/>
      <c r="S1203" s="1"/>
      <c r="T1203" s="1"/>
    </row>
    <row r="1204" spans="1:20">
      <c r="A1204" s="1" t="s">
        <v>3573</v>
      </c>
      <c r="B1204" s="1" t="str" cm="1">
        <f t="array" ref="B1204">IF(A1204="","",_xlfn.IFS(COUNTIF($U:$U,A1204)&gt;0,"All uploaded",COUNTIF($V:$V,A1204)&gt;0,"Partly uploaded",COUNTIF($W:$X,A1204)&gt;0,"Not uploaded",TRUE,"Not classified"))</f>
        <v>Not uploaded</v>
      </c>
      <c r="C1204" s="1" t="str" cm="1">
        <f t="array" ref="C1204">_xlfn.SWITCH(TRIM(I1204),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04" s="1"/>
      <c r="E1204" s="1"/>
      <c r="F1204" s="1" t="str" cm="1">
        <f t="array" ref="F1204">_xlfn.LET(
_xlpm.status,UPPER(TRIM(B1204&amp;"")),
_xlpm.risk,UPPER(TRIM(C1204&amp;"")),
_xlpm.notify,UPPER(TRIM(D1204&amp;"")),
_xlpm.form,UPPER(TRIM(E1204&amp;"")),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04" s="1" t="str">
        <f t="shared" si="18"/>
        <v>NA</v>
      </c>
      <c r="H1204" s="5"/>
      <c r="I1204" s="1" t="s">
        <v>22</v>
      </c>
      <c r="J1204" s="1"/>
      <c r="K1204" s="1" t="s">
        <v>3572</v>
      </c>
      <c r="L1204" s="1" t="s">
        <v>22</v>
      </c>
      <c r="M1204" s="1"/>
      <c r="N1204" s="1" t="s">
        <v>3574</v>
      </c>
      <c r="O1204" s="1" t="s">
        <v>19</v>
      </c>
      <c r="P1204" s="1" t="s">
        <v>18</v>
      </c>
      <c r="Q1204" s="1" t="s">
        <v>20</v>
      </c>
      <c r="R1204" s="1"/>
      <c r="S1204" s="1"/>
      <c r="T1204" s="1"/>
    </row>
    <row r="1205" spans="1:20">
      <c r="A1205" s="1" t="s">
        <v>3575</v>
      </c>
      <c r="B1205" s="1" t="str" cm="1">
        <f t="array" ref="B1205">IF(A1205="","",_xlfn.IFS(COUNTIF($U:$U,A1205)&gt;0,"All uploaded",COUNTIF($V:$V,A1205)&gt;0,"Partly uploaded",COUNTIF($W:$X,A1205)&gt;0,"Not uploaded",TRUE,"Not classified"))</f>
        <v>Not uploaded</v>
      </c>
      <c r="C1205" s="1" t="str" cm="1">
        <f t="array" ref="C1205">_xlfn.SWITCH(TRIM(I1205),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05" s="1"/>
      <c r="E1205" s="1"/>
      <c r="F1205" s="1" t="str" cm="1">
        <f t="array" ref="F1205">_xlfn.LET(
_xlpm.status,UPPER(TRIM(B1205&amp;"")),
_xlpm.risk,UPPER(TRIM(C1205&amp;"")),
_xlpm.notify,UPPER(TRIM(D1205&amp;"")),
_xlpm.form,UPPER(TRIM(E1205&amp;"")),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05" s="1" t="str">
        <f t="shared" si="18"/>
        <v>Required</v>
      </c>
      <c r="H1205" s="5"/>
      <c r="I1205" s="1" t="s">
        <v>34</v>
      </c>
      <c r="J1205" s="1"/>
      <c r="K1205" s="1" t="s">
        <v>3572</v>
      </c>
      <c r="L1205" s="1" t="s">
        <v>34</v>
      </c>
      <c r="M1205" s="1"/>
      <c r="N1205" s="1" t="s">
        <v>3576</v>
      </c>
      <c r="O1205" s="1" t="s">
        <v>19</v>
      </c>
      <c r="P1205" s="1" t="s">
        <v>18</v>
      </c>
      <c r="Q1205" s="1" t="s">
        <v>20</v>
      </c>
      <c r="R1205" s="1"/>
      <c r="S1205" s="1"/>
      <c r="T1205" s="1"/>
    </row>
    <row r="1206" spans="1:20">
      <c r="A1206" s="1" t="s">
        <v>3578</v>
      </c>
      <c r="B1206" s="1" t="str" cm="1">
        <f t="array" ref="B1206">IF(A1206="","",_xlfn.IFS(COUNTIF($U:$U,A1206)&gt;0,"All uploaded",COUNTIF($V:$V,A1206)&gt;0,"Partly uploaded",COUNTIF($W:$X,A1206)&gt;0,"Not uploaded",TRUE,"Not classified"))</f>
        <v>Partly uploaded</v>
      </c>
      <c r="C1206" s="1" t="str" cm="1">
        <f t="array" ref="C1206">_xlfn.SWITCH(TRIM(I1206),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06" s="1"/>
      <c r="E1206" s="1"/>
      <c r="F1206" s="1" t="str" cm="1">
        <f t="array" ref="F1206">_xlfn.LET(
_xlpm.status,UPPER(TRIM(B1206&amp;"")),
_xlpm.risk,UPPER(TRIM(C1206&amp;"")),
_xlpm.notify,UPPER(TRIM(D1206&amp;"")),
_xlpm.form,UPPER(TRIM(E1206&amp;"")),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06" s="1" t="str">
        <f t="shared" si="18"/>
        <v>Required</v>
      </c>
      <c r="H1206" s="5"/>
      <c r="I1206" s="1" t="s">
        <v>25</v>
      </c>
      <c r="J1206" s="1"/>
      <c r="K1206" s="1" t="s">
        <v>3577</v>
      </c>
      <c r="L1206" s="1" t="s">
        <v>25</v>
      </c>
      <c r="M1206" s="1"/>
      <c r="N1206" s="1" t="s">
        <v>3579</v>
      </c>
      <c r="O1206" s="1" t="s">
        <v>19</v>
      </c>
      <c r="P1206" s="1" t="s">
        <v>18</v>
      </c>
      <c r="Q1206" s="1" t="s">
        <v>20</v>
      </c>
      <c r="R1206" s="1"/>
      <c r="S1206" s="1"/>
      <c r="T1206" s="1"/>
    </row>
    <row r="1207" spans="1:20">
      <c r="A1207" s="1" t="s">
        <v>3584</v>
      </c>
      <c r="B1207" s="1" t="str" cm="1">
        <f t="array" ref="B1207">IF(A1207="","",_xlfn.IFS(COUNTIF($U:$U,A1207)&gt;0,"All uploaded",COUNTIF($V:$V,A1207)&gt;0,"Partly uploaded",COUNTIF($W:$X,A1207)&gt;0,"Not uploaded",TRUE,"Not classified"))</f>
        <v>Not uploaded</v>
      </c>
      <c r="C1207" s="1" t="str" cm="1">
        <f t="array" ref="C1207">_xlfn.SWITCH(TRIM(I1207),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207" s="1"/>
      <c r="E1207" s="1"/>
      <c r="F1207" s="1" t="str" cm="1">
        <f t="array" ref="F1207">_xlfn.LET(
_xlpm.status,UPPER(TRIM(B1207&amp;"")),
_xlpm.risk,UPPER(TRIM(C1207&amp;"")),
_xlpm.notify,UPPER(TRIM(D1207&amp;"")),
_xlpm.form,UPPER(TRIM(E1207&amp;"")),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207" s="1" t="str">
        <f t="shared" si="18"/>
        <v>NA</v>
      </c>
      <c r="H1207" s="5"/>
      <c r="I1207" s="1" t="s">
        <v>21</v>
      </c>
      <c r="J1207" s="1"/>
      <c r="K1207" s="1" t="s">
        <v>3583</v>
      </c>
      <c r="L1207" s="1" t="s">
        <v>21</v>
      </c>
      <c r="M1207" s="1"/>
      <c r="N1207" s="1" t="s">
        <v>83</v>
      </c>
      <c r="O1207" s="1" t="s">
        <v>19</v>
      </c>
      <c r="P1207" s="1" t="s">
        <v>18</v>
      </c>
      <c r="Q1207" s="1" t="s">
        <v>20</v>
      </c>
      <c r="R1207" s="1"/>
      <c r="S1207" s="1"/>
      <c r="T1207" s="1"/>
    </row>
    <row r="1208" spans="1:20">
      <c r="A1208" s="1" t="s">
        <v>3586</v>
      </c>
      <c r="B1208" s="1" t="str" cm="1">
        <f t="array" ref="B1208">IF(A1208="","",_xlfn.IFS(COUNTIF($U:$U,A1208)&gt;0,"All uploaded",COUNTIF($V:$V,A1208)&gt;0,"Partly uploaded",COUNTIF($W:$X,A1208)&gt;0,"Not uploaded",TRUE,"Not classified"))</f>
        <v>Partly uploaded</v>
      </c>
      <c r="C1208" s="1" t="str" cm="1">
        <f t="array" ref="C1208">_xlfn.SWITCH(TRIM(I1208),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08" s="1"/>
      <c r="E1208" s="1"/>
      <c r="F1208" s="1" t="str" cm="1">
        <f t="array" ref="F1208">_xlfn.LET(
_xlpm.status,UPPER(TRIM(B1208&amp;"")),
_xlpm.risk,UPPER(TRIM(C1208&amp;"")),
_xlpm.notify,UPPER(TRIM(D1208&amp;"")),
_xlpm.form,UPPER(TRIM(E1208&amp;"")),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08" s="1" t="str">
        <f t="shared" si="18"/>
        <v>Required</v>
      </c>
      <c r="H1208" s="5"/>
      <c r="I1208" s="1" t="s">
        <v>27</v>
      </c>
      <c r="J1208" s="1"/>
      <c r="K1208" s="1" t="s">
        <v>3585</v>
      </c>
      <c r="L1208" s="1" t="s">
        <v>27</v>
      </c>
      <c r="M1208" s="1"/>
      <c r="N1208" s="1" t="s">
        <v>3587</v>
      </c>
      <c r="O1208" s="1" t="s">
        <v>19</v>
      </c>
      <c r="P1208" s="1" t="s">
        <v>18</v>
      </c>
      <c r="Q1208" s="1" t="s">
        <v>20</v>
      </c>
      <c r="R1208" s="1"/>
      <c r="S1208" s="1"/>
      <c r="T1208" s="1"/>
    </row>
    <row r="1209" spans="1:20">
      <c r="A1209" s="1" t="s">
        <v>3597</v>
      </c>
      <c r="B1209" s="1" t="str" cm="1">
        <f t="array" ref="B1209">IF(A1209="","",_xlfn.IFS(COUNTIF($U:$U,A1209)&gt;0,"All uploaded",COUNTIF($V:$V,A1209)&gt;0,"Partly uploaded",COUNTIF($W:$X,A1209)&gt;0,"Not uploaded",TRUE,"Not classified"))</f>
        <v>Partly uploaded</v>
      </c>
      <c r="C1209" s="1" t="str" cm="1">
        <f t="array" ref="C1209">_xlfn.SWITCH(TRIM(I1209),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09" s="1"/>
      <c r="E1209" s="1"/>
      <c r="F1209" s="1" t="str" cm="1">
        <f t="array" ref="F1209">_xlfn.LET(
_xlpm.status,UPPER(TRIM(B1209&amp;"")),
_xlpm.risk,UPPER(TRIM(C1209&amp;"")),
_xlpm.notify,UPPER(TRIM(D1209&amp;"")),
_xlpm.form,UPPER(TRIM(E1209&amp;"")),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09" s="1" t="str">
        <f t="shared" si="18"/>
        <v>NA</v>
      </c>
      <c r="H1209" s="5"/>
      <c r="I1209" s="1" t="s">
        <v>23</v>
      </c>
      <c r="J1209" s="1"/>
      <c r="K1209" s="1" t="s">
        <v>3591</v>
      </c>
      <c r="L1209" s="1" t="s">
        <v>23</v>
      </c>
      <c r="M1209" s="1"/>
      <c r="N1209" s="1" t="s">
        <v>3598</v>
      </c>
      <c r="O1209" s="1" t="s">
        <v>19</v>
      </c>
      <c r="P1209" s="1" t="s">
        <v>18</v>
      </c>
      <c r="Q1209" s="1" t="s">
        <v>20</v>
      </c>
      <c r="R1209" s="1"/>
      <c r="S1209" s="1"/>
      <c r="T1209" s="1"/>
    </row>
    <row r="1210" spans="1:20">
      <c r="A1210" s="1" t="s">
        <v>3603</v>
      </c>
      <c r="B1210" s="1" t="str" cm="1">
        <f t="array" ref="B1210">IF(A1210="","",_xlfn.IFS(COUNTIF($U:$U,A1210)&gt;0,"All uploaded",COUNTIF($V:$V,A1210)&gt;0,"Partly uploaded",COUNTIF($W:$X,A1210)&gt;0,"Not uploaded",TRUE,"Not classified"))</f>
        <v>Not uploaded</v>
      </c>
      <c r="C1210" s="1" t="str" cm="1">
        <f t="array" ref="C1210">_xlfn.SWITCH(TRIM(I1210),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10" s="1"/>
      <c r="E1210" s="1"/>
      <c r="F1210" s="1" t="str" cm="1">
        <f t="array" ref="F1210">_xlfn.LET(
_xlpm.status,UPPER(TRIM(B1210&amp;"")),
_xlpm.risk,UPPER(TRIM(C1210&amp;"")),
_xlpm.notify,UPPER(TRIM(D1210&amp;"")),
_xlpm.form,UPPER(TRIM(E1210&amp;"")),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10" s="1" t="str">
        <f t="shared" si="18"/>
        <v>NA</v>
      </c>
      <c r="H1210" s="5"/>
      <c r="I1210" s="1" t="s">
        <v>48</v>
      </c>
      <c r="J1210" s="1"/>
      <c r="K1210" s="1" t="s">
        <v>3602</v>
      </c>
      <c r="L1210" s="1" t="s">
        <v>48</v>
      </c>
      <c r="M1210" s="1"/>
      <c r="N1210" s="1" t="s">
        <v>3604</v>
      </c>
      <c r="O1210" s="1" t="s">
        <v>19</v>
      </c>
      <c r="P1210" s="1" t="s">
        <v>18</v>
      </c>
      <c r="Q1210" s="1" t="s">
        <v>20</v>
      </c>
      <c r="R1210" s="1"/>
      <c r="S1210" s="1"/>
      <c r="T1210" s="1"/>
    </row>
    <row r="1211" spans="1:20">
      <c r="A1211" s="1" t="s">
        <v>3605</v>
      </c>
      <c r="B1211" s="1" t="str" cm="1">
        <f t="array" ref="B1211">IF(A1211="","",_xlfn.IFS(COUNTIF($U:$U,A1211)&gt;0,"All uploaded",COUNTIF($V:$V,A1211)&gt;0,"Partly uploaded",COUNTIF($W:$X,A1211)&gt;0,"Not uploaded",TRUE,"Not classified"))</f>
        <v>Not uploaded</v>
      </c>
      <c r="C1211" s="1" t="str" cm="1">
        <f t="array" ref="C1211">_xlfn.SWITCH(TRIM(I1211),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11" s="1"/>
      <c r="E1211" s="1"/>
      <c r="F1211" s="1" t="str" cm="1">
        <f t="array" ref="F1211">_xlfn.LET(
_xlpm.status,UPPER(TRIM(B1211&amp;"")),
_xlpm.risk,UPPER(TRIM(C1211&amp;"")),
_xlpm.notify,UPPER(TRIM(D1211&amp;"")),
_xlpm.form,UPPER(TRIM(E1211&amp;"")),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11" s="1" t="str">
        <f t="shared" si="18"/>
        <v>Required</v>
      </c>
      <c r="H1211" s="5"/>
      <c r="I1211" s="1" t="s">
        <v>27</v>
      </c>
      <c r="J1211" s="1"/>
      <c r="K1211" s="1" t="s">
        <v>3602</v>
      </c>
      <c r="L1211" s="1" t="s">
        <v>27</v>
      </c>
      <c r="M1211" s="1"/>
      <c r="N1211" s="1" t="s">
        <v>3606</v>
      </c>
      <c r="O1211" s="1" t="s">
        <v>30</v>
      </c>
      <c r="P1211" s="1" t="s">
        <v>2684</v>
      </c>
      <c r="Q1211" s="1" t="s">
        <v>2685</v>
      </c>
      <c r="R1211" s="1"/>
      <c r="S1211" s="1"/>
      <c r="T1211" s="1"/>
    </row>
    <row r="1212" spans="1:20">
      <c r="A1212" s="1" t="s">
        <v>3608</v>
      </c>
      <c r="B1212" s="1" t="str" cm="1">
        <f t="array" ref="B1212">IF(A1212="","",_xlfn.IFS(COUNTIF($U:$U,A1212)&gt;0,"All uploaded",COUNTIF($V:$V,A1212)&gt;0,"Partly uploaded",COUNTIF($W:$X,A1212)&gt;0,"Not uploaded",TRUE,"Not classified"))</f>
        <v>Partly uploaded</v>
      </c>
      <c r="C1212" s="1" t="str" cm="1">
        <f t="array" ref="C1212">_xlfn.SWITCH(TRIM(I1212),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12" s="1"/>
      <c r="E1212" s="1"/>
      <c r="F1212" s="1" t="str" cm="1">
        <f t="array" ref="F1212">_xlfn.LET(
_xlpm.status,UPPER(TRIM(B1212&amp;"")),
_xlpm.risk,UPPER(TRIM(C1212&amp;"")),
_xlpm.notify,UPPER(TRIM(D1212&amp;"")),
_xlpm.form,UPPER(TRIM(E1212&amp;"")),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12" s="1" t="str">
        <f t="shared" si="18"/>
        <v>NA</v>
      </c>
      <c r="H1212" s="5"/>
      <c r="I1212" s="1" t="s">
        <v>23</v>
      </c>
      <c r="J1212" s="1"/>
      <c r="K1212" s="1" t="s">
        <v>3607</v>
      </c>
      <c r="L1212" s="1" t="s">
        <v>23</v>
      </c>
      <c r="M1212" s="1"/>
      <c r="N1212" s="1" t="s">
        <v>3609</v>
      </c>
      <c r="O1212" s="1" t="s">
        <v>19</v>
      </c>
      <c r="P1212" s="1" t="s">
        <v>18</v>
      </c>
      <c r="Q1212" s="1" t="s">
        <v>20</v>
      </c>
      <c r="R1212" s="1"/>
      <c r="S1212" s="1"/>
      <c r="T1212" s="1"/>
    </row>
    <row r="1213" spans="1:20">
      <c r="A1213" s="1" t="s">
        <v>3614</v>
      </c>
      <c r="B1213" s="1" t="str" cm="1">
        <f t="array" ref="B1213">IF(A1213="","",_xlfn.IFS(COUNTIF($U:$U,A1213)&gt;0,"All uploaded",COUNTIF($V:$V,A1213)&gt;0,"Partly uploaded",COUNTIF($W:$X,A1213)&gt;0,"Not uploaded",TRUE,"Not classified"))</f>
        <v>Not uploaded</v>
      </c>
      <c r="C1213" s="1" t="str" cm="1">
        <f t="array" ref="C1213">_xlfn.SWITCH(TRIM(I1213),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13" s="1"/>
      <c r="E1213" s="1"/>
      <c r="F1213" s="1" t="str" cm="1">
        <f t="array" ref="F1213">_xlfn.LET(
_xlpm.status,UPPER(TRIM(B1213&amp;"")),
_xlpm.risk,UPPER(TRIM(C1213&amp;"")),
_xlpm.notify,UPPER(TRIM(D1213&amp;"")),
_xlpm.form,UPPER(TRIM(E1213&amp;"")),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13" s="1" t="str">
        <f t="shared" si="18"/>
        <v>Required</v>
      </c>
      <c r="H1213" s="5"/>
      <c r="I1213" s="1" t="s">
        <v>27</v>
      </c>
      <c r="J1213" s="1"/>
      <c r="K1213" s="1" t="s">
        <v>3607</v>
      </c>
      <c r="L1213" s="1" t="s">
        <v>27</v>
      </c>
      <c r="M1213" s="1"/>
      <c r="N1213" s="1" t="s">
        <v>3615</v>
      </c>
      <c r="O1213" s="1" t="s">
        <v>19</v>
      </c>
      <c r="P1213" s="1" t="s">
        <v>18</v>
      </c>
      <c r="Q1213" s="1" t="s">
        <v>20</v>
      </c>
      <c r="R1213" s="1"/>
      <c r="S1213" s="1"/>
      <c r="T1213" s="1"/>
    </row>
    <row r="1214" spans="1:20">
      <c r="A1214" s="1" t="s">
        <v>3617</v>
      </c>
      <c r="B1214" s="1" t="str" cm="1">
        <f t="array" ref="B1214">IF(A1214="","",_xlfn.IFS(COUNTIF($U:$U,A1214)&gt;0,"All uploaded",COUNTIF($V:$V,A1214)&gt;0,"Partly uploaded",COUNTIF($W:$X,A1214)&gt;0,"Not uploaded",TRUE,"Not classified"))</f>
        <v>Not uploaded</v>
      </c>
      <c r="C1214" s="1" t="str" cm="1">
        <f t="array" ref="C1214">_xlfn.SWITCH(TRIM(I1214),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14" s="1"/>
      <c r="E1214" s="1"/>
      <c r="F1214" s="1" t="str" cm="1">
        <f t="array" ref="F1214">_xlfn.LET(
_xlpm.status,UPPER(TRIM(B1214&amp;"")),
_xlpm.risk,UPPER(TRIM(C1214&amp;"")),
_xlpm.notify,UPPER(TRIM(D1214&amp;"")),
_xlpm.form,UPPER(TRIM(E1214&amp;"")),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14" s="1" t="str">
        <f t="shared" si="18"/>
        <v>NA</v>
      </c>
      <c r="H1214" s="5"/>
      <c r="I1214" s="1" t="s">
        <v>22</v>
      </c>
      <c r="J1214" s="1"/>
      <c r="K1214" s="1" t="s">
        <v>3616</v>
      </c>
      <c r="L1214" s="1" t="s">
        <v>22</v>
      </c>
      <c r="M1214" s="1"/>
      <c r="N1214" s="1" t="s">
        <v>3618</v>
      </c>
      <c r="O1214" s="1" t="s">
        <v>19</v>
      </c>
      <c r="P1214" s="1" t="s">
        <v>18</v>
      </c>
      <c r="Q1214" s="1" t="s">
        <v>20</v>
      </c>
      <c r="R1214" s="1"/>
      <c r="S1214" s="1"/>
      <c r="T1214" s="1"/>
    </row>
    <row r="1215" spans="1:20">
      <c r="A1215" s="1" t="s">
        <v>3620</v>
      </c>
      <c r="B1215" s="1" t="str" cm="1">
        <f t="array" ref="B1215">IF(A1215="","",_xlfn.IFS(COUNTIF($U:$U,A1215)&gt;0,"All uploaded",COUNTIF($V:$V,A1215)&gt;0,"Partly uploaded",COUNTIF($W:$X,A1215)&gt;0,"Not uploaded",TRUE,"Not classified"))</f>
        <v>Partly uploaded</v>
      </c>
      <c r="C1215" s="1" t="str" cm="1">
        <f t="array" ref="C1215">_xlfn.SWITCH(TRIM(I1215),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15" s="1"/>
      <c r="E1215" s="1"/>
      <c r="F1215" s="1" t="str" cm="1">
        <f t="array" ref="F1215">_xlfn.LET(
_xlpm.status,UPPER(TRIM(B1215&amp;"")),
_xlpm.risk,UPPER(TRIM(C1215&amp;"")),
_xlpm.notify,UPPER(TRIM(D1215&amp;"")),
_xlpm.form,UPPER(TRIM(E1215&amp;"")),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15" s="1" t="str">
        <f t="shared" si="18"/>
        <v>NA</v>
      </c>
      <c r="H1215" s="5"/>
      <c r="I1215" s="1" t="s">
        <v>22</v>
      </c>
      <c r="J1215" s="1"/>
      <c r="K1215" s="1" t="s">
        <v>3619</v>
      </c>
      <c r="L1215" s="1" t="s">
        <v>22</v>
      </c>
      <c r="M1215" s="1"/>
      <c r="N1215" s="1" t="s">
        <v>3621</v>
      </c>
      <c r="O1215" s="1" t="s">
        <v>19</v>
      </c>
      <c r="P1215" s="1" t="s">
        <v>18</v>
      </c>
      <c r="Q1215" s="1" t="s">
        <v>20</v>
      </c>
      <c r="R1215" s="1"/>
      <c r="S1215" s="1"/>
      <c r="T1215" s="1"/>
    </row>
    <row r="1216" spans="1:20">
      <c r="A1216" s="1" t="s">
        <v>3622</v>
      </c>
      <c r="B1216" s="1" t="str" cm="1">
        <f t="array" ref="B1216">IF(A1216="","",_xlfn.IFS(COUNTIF($U:$U,A1216)&gt;0,"All uploaded",COUNTIF($V:$V,A1216)&gt;0,"Partly uploaded",COUNTIF($W:$X,A1216)&gt;0,"Not uploaded",TRUE,"Not classified"))</f>
        <v>Not uploaded</v>
      </c>
      <c r="C1216" s="1" t="str" cm="1">
        <f t="array" ref="C1216">_xlfn.SWITCH(TRIM(I1216),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16" s="1"/>
      <c r="E1216" s="1"/>
      <c r="F1216" s="1" t="str" cm="1">
        <f t="array" ref="F1216">_xlfn.LET(
_xlpm.status,UPPER(TRIM(B1216&amp;"")),
_xlpm.risk,UPPER(TRIM(C1216&amp;"")),
_xlpm.notify,UPPER(TRIM(D1216&amp;"")),
_xlpm.form,UPPER(TRIM(E1216&amp;"")),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16" s="1" t="str">
        <f t="shared" si="18"/>
        <v>NA</v>
      </c>
      <c r="H1216" s="5"/>
      <c r="I1216" s="1" t="s">
        <v>22</v>
      </c>
      <c r="J1216" s="1"/>
      <c r="K1216" s="1" t="s">
        <v>3619</v>
      </c>
      <c r="L1216" s="1" t="s">
        <v>22</v>
      </c>
      <c r="M1216" s="1"/>
      <c r="N1216" s="1" t="s">
        <v>3623</v>
      </c>
      <c r="O1216" s="1" t="s">
        <v>19</v>
      </c>
      <c r="P1216" s="1" t="s">
        <v>18</v>
      </c>
      <c r="Q1216" s="1" t="s">
        <v>20</v>
      </c>
      <c r="R1216" s="1"/>
      <c r="S1216" s="1"/>
      <c r="T1216" s="1"/>
    </row>
    <row r="1217" spans="1:20">
      <c r="A1217" s="1" t="s">
        <v>3629</v>
      </c>
      <c r="B1217" s="1" t="str" cm="1">
        <f t="array" ref="B1217">IF(A1217="","",_xlfn.IFS(COUNTIF($U:$U,A1217)&gt;0,"All uploaded",COUNTIF($V:$V,A1217)&gt;0,"Partly uploaded",COUNTIF($W:$X,A1217)&gt;0,"Not uploaded",TRUE,"Not classified"))</f>
        <v>Not uploaded</v>
      </c>
      <c r="C1217" s="1" t="str" cm="1">
        <f t="array" ref="C1217">_xlfn.SWITCH(TRIM(I1217),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217" s="1"/>
      <c r="E1217" s="1"/>
      <c r="F1217" s="1" t="str" cm="1">
        <f t="array" ref="F1217">_xlfn.LET(
_xlpm.status,UPPER(TRIM(B1217&amp;"")),
_xlpm.risk,UPPER(TRIM(C1217&amp;"")),
_xlpm.notify,UPPER(TRIM(D1217&amp;"")),
_xlpm.form,UPPER(TRIM(E1217&amp;"")),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217" s="1" t="str">
        <f t="shared" ref="G1217:G1280" si="19">IF(AND(UPPER(TRIM(C1217&amp;""))="MAJOR",OR(TRIM(D1217&amp;"")="",UPPER(TRIM(E1217&amp;""))="REJECT")),"Required","NA")</f>
        <v>NA</v>
      </c>
      <c r="H1217" s="5"/>
      <c r="I1217" s="1" t="s">
        <v>21</v>
      </c>
      <c r="J1217" s="1"/>
      <c r="K1217" s="1" t="s">
        <v>3628</v>
      </c>
      <c r="L1217" s="1" t="s">
        <v>21</v>
      </c>
      <c r="M1217" s="1"/>
      <c r="N1217" s="1" t="s">
        <v>83</v>
      </c>
      <c r="O1217" s="1" t="s">
        <v>19</v>
      </c>
      <c r="P1217" s="1" t="s">
        <v>18</v>
      </c>
      <c r="Q1217" s="1" t="s">
        <v>20</v>
      </c>
      <c r="R1217" s="1"/>
      <c r="S1217" s="1"/>
      <c r="T1217" s="1"/>
    </row>
    <row r="1218" spans="1:20">
      <c r="A1218" s="1" t="s">
        <v>3631</v>
      </c>
      <c r="B1218" s="1" t="str" cm="1">
        <f t="array" ref="B1218">IF(A1218="","",_xlfn.IFS(COUNTIF($U:$U,A1218)&gt;0,"All uploaded",COUNTIF($V:$V,A1218)&gt;0,"Partly uploaded",COUNTIF($W:$X,A1218)&gt;0,"Not uploaded",TRUE,"Not classified"))</f>
        <v>Not uploaded</v>
      </c>
      <c r="C1218" s="1" t="str" cm="1">
        <f t="array" ref="C1218">_xlfn.SWITCH(TRIM(I1218),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218" s="1"/>
      <c r="E1218" s="1"/>
      <c r="F1218" s="1" t="str" cm="1">
        <f t="array" ref="F1218">_xlfn.LET(
_xlpm.status,UPPER(TRIM(B1218&amp;"")),
_xlpm.risk,UPPER(TRIM(C1218&amp;"")),
_xlpm.notify,UPPER(TRIM(D1218&amp;"")),
_xlpm.form,UPPER(TRIM(E1218&amp;"")),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218" s="1" t="str">
        <f t="shared" si="19"/>
        <v>NA</v>
      </c>
      <c r="H1218" s="5"/>
      <c r="I1218" s="1" t="s">
        <v>21</v>
      </c>
      <c r="J1218" s="1"/>
      <c r="K1218" s="1" t="s">
        <v>3630</v>
      </c>
      <c r="L1218" s="1" t="s">
        <v>21</v>
      </c>
      <c r="M1218" s="1"/>
      <c r="N1218" s="1" t="s">
        <v>83</v>
      </c>
      <c r="O1218" s="1" t="s">
        <v>19</v>
      </c>
      <c r="P1218" s="1" t="s">
        <v>18</v>
      </c>
      <c r="Q1218" s="1" t="s">
        <v>20</v>
      </c>
      <c r="R1218" s="1"/>
      <c r="S1218" s="1"/>
      <c r="T1218" s="1"/>
    </row>
    <row r="1219" spans="1:20">
      <c r="A1219" s="1" t="s">
        <v>3633</v>
      </c>
      <c r="B1219" s="1" t="str" cm="1">
        <f t="array" ref="B1219">IF(A1219="","",_xlfn.IFS(COUNTIF($U:$U,A1219)&gt;0,"All uploaded",COUNTIF($V:$V,A1219)&gt;0,"Partly uploaded",COUNTIF($W:$X,A1219)&gt;0,"Not uploaded",TRUE,"Not classified"))</f>
        <v>Not uploaded</v>
      </c>
      <c r="C1219" s="1" t="str" cm="1">
        <f t="array" ref="C1219">_xlfn.SWITCH(TRIM(I1219),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19" s="1"/>
      <c r="E1219" s="1"/>
      <c r="F1219" s="1" t="str" cm="1">
        <f t="array" ref="F1219">_xlfn.LET(
_xlpm.status,UPPER(TRIM(B1219&amp;"")),
_xlpm.risk,UPPER(TRIM(C1219&amp;"")),
_xlpm.notify,UPPER(TRIM(D1219&amp;"")),
_xlpm.form,UPPER(TRIM(E1219&amp;"")),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19" s="1" t="str">
        <f t="shared" si="19"/>
        <v>NA</v>
      </c>
      <c r="H1219" s="5"/>
      <c r="I1219" s="1" t="s">
        <v>22</v>
      </c>
      <c r="J1219" s="1"/>
      <c r="K1219" s="1" t="s">
        <v>3632</v>
      </c>
      <c r="L1219" s="1" t="s">
        <v>22</v>
      </c>
      <c r="M1219" s="1"/>
      <c r="N1219" s="1" t="s">
        <v>3634</v>
      </c>
      <c r="O1219" s="1" t="s">
        <v>19</v>
      </c>
      <c r="P1219" s="1" t="s">
        <v>18</v>
      </c>
      <c r="Q1219" s="1" t="s">
        <v>20</v>
      </c>
      <c r="R1219" s="1"/>
      <c r="S1219" s="1"/>
      <c r="T1219" s="1"/>
    </row>
    <row r="1220" spans="1:20">
      <c r="A1220" s="1" t="s">
        <v>3635</v>
      </c>
      <c r="B1220" s="1" t="str" cm="1">
        <f t="array" ref="B1220">IF(A1220="","",_xlfn.IFS(COUNTIF($U:$U,A1220)&gt;0,"All uploaded",COUNTIF($V:$V,A1220)&gt;0,"Partly uploaded",COUNTIF($W:$X,A1220)&gt;0,"Not uploaded",TRUE,"Not classified"))</f>
        <v>Not uploaded</v>
      </c>
      <c r="C1220" s="1" t="str" cm="1">
        <f t="array" ref="C1220">_xlfn.SWITCH(TRIM(I1220),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220" s="1"/>
      <c r="E1220" s="1"/>
      <c r="F1220" s="1" t="str" cm="1">
        <f t="array" ref="F1220">_xlfn.LET(
_xlpm.status,UPPER(TRIM(B1220&amp;"")),
_xlpm.risk,UPPER(TRIM(C1220&amp;"")),
_xlpm.notify,UPPER(TRIM(D1220&amp;"")),
_xlpm.form,UPPER(TRIM(E1220&amp;"")),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220" s="1" t="str">
        <f t="shared" si="19"/>
        <v>NA</v>
      </c>
      <c r="H1220" s="5"/>
      <c r="I1220" s="1" t="s">
        <v>21</v>
      </c>
      <c r="J1220" s="1"/>
      <c r="K1220" s="1" t="s">
        <v>3632</v>
      </c>
      <c r="L1220" s="1" t="s">
        <v>21</v>
      </c>
      <c r="M1220" s="1"/>
      <c r="N1220" s="1" t="s">
        <v>83</v>
      </c>
      <c r="O1220" s="1" t="s">
        <v>19</v>
      </c>
      <c r="P1220" s="1" t="s">
        <v>18</v>
      </c>
      <c r="Q1220" s="1" t="s">
        <v>20</v>
      </c>
      <c r="R1220" s="1"/>
      <c r="S1220" s="1"/>
      <c r="T1220" s="1"/>
    </row>
    <row r="1221" spans="1:20">
      <c r="A1221" s="1" t="s">
        <v>3636</v>
      </c>
      <c r="B1221" s="1" t="str" cm="1">
        <f t="array" ref="B1221">IF(A1221="","",_xlfn.IFS(COUNTIF($U:$U,A1221)&gt;0,"All uploaded",COUNTIF($V:$V,A1221)&gt;0,"Partly uploaded",COUNTIF($W:$X,A1221)&gt;0,"Not uploaded",TRUE,"Not classified"))</f>
        <v>Not uploaded</v>
      </c>
      <c r="C1221" s="1" t="str" cm="1">
        <f t="array" ref="C1221">_xlfn.SWITCH(TRIM(I1221),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21" s="1"/>
      <c r="E1221" s="1"/>
      <c r="F1221" s="1" t="str" cm="1">
        <f t="array" ref="F1221">_xlfn.LET(
_xlpm.status,UPPER(TRIM(B1221&amp;"")),
_xlpm.risk,UPPER(TRIM(C1221&amp;"")),
_xlpm.notify,UPPER(TRIM(D1221&amp;"")),
_xlpm.form,UPPER(TRIM(E1221&amp;"")),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21" s="1" t="str">
        <f t="shared" si="19"/>
        <v>NA</v>
      </c>
      <c r="H1221" s="5"/>
      <c r="I1221" s="1" t="s">
        <v>22</v>
      </c>
      <c r="J1221" s="1"/>
      <c r="K1221" s="1" t="s">
        <v>3632</v>
      </c>
      <c r="L1221" s="1" t="s">
        <v>22</v>
      </c>
      <c r="M1221" s="1"/>
      <c r="N1221" s="1" t="s">
        <v>3637</v>
      </c>
      <c r="O1221" s="1" t="s">
        <v>19</v>
      </c>
      <c r="P1221" s="1" t="s">
        <v>18</v>
      </c>
      <c r="Q1221" s="1" t="s">
        <v>20</v>
      </c>
      <c r="R1221" s="1"/>
      <c r="S1221" s="1"/>
      <c r="T1221" s="1"/>
    </row>
    <row r="1222" spans="1:20">
      <c r="A1222" s="1" t="s">
        <v>3639</v>
      </c>
      <c r="B1222" s="1" t="str" cm="1">
        <f t="array" ref="B1222">IF(A1222="","",_xlfn.IFS(COUNTIF($U:$U,A1222)&gt;0,"All uploaded",COUNTIF($V:$V,A1222)&gt;0,"Partly uploaded",COUNTIF($W:$X,A1222)&gt;0,"Not uploaded",TRUE,"Not classified"))</f>
        <v>Not uploaded</v>
      </c>
      <c r="C1222" s="1" t="str" cm="1">
        <f t="array" ref="C1222">_xlfn.SWITCH(TRIM(I1222),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22" s="1"/>
      <c r="E1222" s="1"/>
      <c r="F1222" s="1" t="str" cm="1">
        <f t="array" ref="F1222">_xlfn.LET(
_xlpm.status,UPPER(TRIM(B1222&amp;"")),
_xlpm.risk,UPPER(TRIM(C1222&amp;"")),
_xlpm.notify,UPPER(TRIM(D1222&amp;"")),
_xlpm.form,UPPER(TRIM(E1222&amp;"")),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22" s="1" t="str">
        <f t="shared" si="19"/>
        <v>NA</v>
      </c>
      <c r="H1222" s="5"/>
      <c r="I1222" s="1" t="s">
        <v>22</v>
      </c>
      <c r="J1222" s="1"/>
      <c r="K1222" s="1" t="s">
        <v>3638</v>
      </c>
      <c r="L1222" s="1" t="s">
        <v>22</v>
      </c>
      <c r="M1222" s="1"/>
      <c r="N1222" s="1" t="s">
        <v>3640</v>
      </c>
      <c r="O1222" s="1" t="s">
        <v>19</v>
      </c>
      <c r="P1222" s="1" t="s">
        <v>18</v>
      </c>
      <c r="Q1222" s="1" t="s">
        <v>20</v>
      </c>
      <c r="R1222" s="1"/>
      <c r="S1222" s="1"/>
      <c r="T1222" s="1"/>
    </row>
    <row r="1223" spans="1:20">
      <c r="A1223" s="1" t="s">
        <v>3642</v>
      </c>
      <c r="B1223" s="1" t="str" cm="1">
        <f t="array" ref="B1223">IF(A1223="","",_xlfn.IFS(COUNTIF($U:$U,A1223)&gt;0,"All uploaded",COUNTIF($V:$V,A1223)&gt;0,"Partly uploaded",COUNTIF($W:$X,A1223)&gt;0,"Not uploaded",TRUE,"Not classified"))</f>
        <v>Not uploaded</v>
      </c>
      <c r="C1223" s="1" t="str" cm="1">
        <f t="array" ref="C1223">_xlfn.SWITCH(TRIM(I1223),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23" s="1"/>
      <c r="E1223" s="1"/>
      <c r="F1223" s="1" t="str" cm="1">
        <f t="array" ref="F1223">_xlfn.LET(
_xlpm.status,UPPER(TRIM(B1223&amp;"")),
_xlpm.risk,UPPER(TRIM(C1223&amp;"")),
_xlpm.notify,UPPER(TRIM(D1223&amp;"")),
_xlpm.form,UPPER(TRIM(E1223&amp;"")),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23" s="1" t="str">
        <f t="shared" si="19"/>
        <v>NA</v>
      </c>
      <c r="H1223" s="5"/>
      <c r="I1223" s="1" t="s">
        <v>22</v>
      </c>
      <c r="J1223" s="1"/>
      <c r="K1223" s="1" t="s">
        <v>3641</v>
      </c>
      <c r="L1223" s="1" t="s">
        <v>22</v>
      </c>
      <c r="M1223" s="1"/>
      <c r="N1223" s="1" t="s">
        <v>3643</v>
      </c>
      <c r="O1223" s="1" t="s">
        <v>19</v>
      </c>
      <c r="P1223" s="1" t="s">
        <v>18</v>
      </c>
      <c r="Q1223" s="1" t="s">
        <v>20</v>
      </c>
      <c r="R1223" s="1"/>
      <c r="S1223" s="1"/>
      <c r="T1223" s="1"/>
    </row>
    <row r="1224" spans="1:20">
      <c r="A1224" s="1" t="s">
        <v>3645</v>
      </c>
      <c r="B1224" s="1" t="str" cm="1">
        <f t="array" ref="B1224">IF(A1224="","",_xlfn.IFS(COUNTIF($U:$U,A1224)&gt;0,"All uploaded",COUNTIF($V:$V,A1224)&gt;0,"Partly uploaded",COUNTIF($W:$X,A1224)&gt;0,"Not uploaded",TRUE,"Not classified"))</f>
        <v>Not uploaded</v>
      </c>
      <c r="C1224" s="1" t="str" cm="1">
        <f t="array" ref="C1224">_xlfn.SWITCH(TRIM(I1224),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24" s="1"/>
      <c r="E1224" s="1"/>
      <c r="F1224" s="1" t="str" cm="1">
        <f t="array" ref="F1224">_xlfn.LET(
_xlpm.status,UPPER(TRIM(B1224&amp;"")),
_xlpm.risk,UPPER(TRIM(C1224&amp;"")),
_xlpm.notify,UPPER(TRIM(D1224&amp;"")),
_xlpm.form,UPPER(TRIM(E1224&amp;"")),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24" s="1" t="str">
        <f t="shared" si="19"/>
        <v>Required</v>
      </c>
      <c r="H1224" s="5"/>
      <c r="I1224" s="1" t="s">
        <v>33</v>
      </c>
      <c r="J1224" s="1"/>
      <c r="K1224" s="1" t="s">
        <v>3644</v>
      </c>
      <c r="L1224" s="1" t="s">
        <v>33</v>
      </c>
      <c r="M1224" s="1"/>
      <c r="N1224" s="1" t="s">
        <v>3646</v>
      </c>
      <c r="O1224" s="1" t="s">
        <v>19</v>
      </c>
      <c r="P1224" s="1" t="s">
        <v>18</v>
      </c>
      <c r="Q1224" s="1" t="s">
        <v>20</v>
      </c>
      <c r="R1224" s="1"/>
      <c r="S1224" s="1"/>
      <c r="T1224" s="1"/>
    </row>
    <row r="1225" spans="1:20">
      <c r="A1225" s="1" t="s">
        <v>3647</v>
      </c>
      <c r="B1225" s="1" t="str" cm="1">
        <f t="array" ref="B1225">IF(A1225="","",_xlfn.IFS(COUNTIF($U:$U,A1225)&gt;0,"All uploaded",COUNTIF($V:$V,A1225)&gt;0,"Partly uploaded",COUNTIF($W:$X,A1225)&gt;0,"Not uploaded",TRUE,"Not classified"))</f>
        <v>Not uploaded</v>
      </c>
      <c r="C1225" s="1" t="str" cm="1">
        <f t="array" ref="C1225">_xlfn.SWITCH(TRIM(I1225),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25" s="1"/>
      <c r="E1225" s="1"/>
      <c r="F1225" s="1" t="str" cm="1">
        <f t="array" ref="F1225">_xlfn.LET(
_xlpm.status,UPPER(TRIM(B1225&amp;"")),
_xlpm.risk,UPPER(TRIM(C1225&amp;"")),
_xlpm.notify,UPPER(TRIM(D1225&amp;"")),
_xlpm.form,UPPER(TRIM(E1225&amp;"")),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25" s="1" t="str">
        <f t="shared" si="19"/>
        <v>NA</v>
      </c>
      <c r="H1225" s="5"/>
      <c r="I1225" s="1" t="s">
        <v>22</v>
      </c>
      <c r="J1225" s="1"/>
      <c r="K1225" s="1" t="s">
        <v>3644</v>
      </c>
      <c r="L1225" s="1" t="s">
        <v>22</v>
      </c>
      <c r="M1225" s="1"/>
      <c r="N1225" s="1" t="s">
        <v>3648</v>
      </c>
      <c r="O1225" s="1" t="s">
        <v>19</v>
      </c>
      <c r="P1225" s="1" t="s">
        <v>18</v>
      </c>
      <c r="Q1225" s="1" t="s">
        <v>20</v>
      </c>
      <c r="R1225" s="1"/>
      <c r="S1225" s="1"/>
      <c r="T1225" s="1"/>
    </row>
    <row r="1226" spans="1:20">
      <c r="A1226" s="1" t="s">
        <v>3649</v>
      </c>
      <c r="B1226" s="1" t="str" cm="1">
        <f t="array" ref="B1226">IF(A1226="","",_xlfn.IFS(COUNTIF($U:$U,A1226)&gt;0,"All uploaded",COUNTIF($V:$V,A1226)&gt;0,"Partly uploaded",COUNTIF($W:$X,A1226)&gt;0,"Not uploaded",TRUE,"Not classified"))</f>
        <v>Not uploaded</v>
      </c>
      <c r="C1226" s="1" t="str" cm="1">
        <f t="array" ref="C1226">_xlfn.SWITCH(TRIM(I1226),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26" s="1"/>
      <c r="E1226" s="1"/>
      <c r="F1226" s="1" t="str" cm="1">
        <f t="array" ref="F1226">_xlfn.LET(
_xlpm.status,UPPER(TRIM(B1226&amp;"")),
_xlpm.risk,UPPER(TRIM(C1226&amp;"")),
_xlpm.notify,UPPER(TRIM(D1226&amp;"")),
_xlpm.form,UPPER(TRIM(E1226&amp;"")),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26" s="1" t="str">
        <f t="shared" si="19"/>
        <v>Required</v>
      </c>
      <c r="H1226" s="5"/>
      <c r="I1226" s="1" t="s">
        <v>25</v>
      </c>
      <c r="J1226" s="1"/>
      <c r="K1226" s="1" t="s">
        <v>3644</v>
      </c>
      <c r="L1226" s="1" t="s">
        <v>25</v>
      </c>
      <c r="M1226" s="1"/>
      <c r="N1226" s="1" t="s">
        <v>40</v>
      </c>
      <c r="O1226" s="1" t="s">
        <v>19</v>
      </c>
      <c r="P1226" s="1" t="s">
        <v>18</v>
      </c>
      <c r="Q1226" s="1" t="s">
        <v>20</v>
      </c>
      <c r="R1226" s="1"/>
      <c r="S1226" s="1"/>
      <c r="T1226" s="1"/>
    </row>
    <row r="1227" spans="1:20">
      <c r="A1227" s="1" t="s">
        <v>3650</v>
      </c>
      <c r="B1227" s="1" t="str" cm="1">
        <f t="array" ref="B1227">IF(A1227="","",_xlfn.IFS(COUNTIF($U:$U,A1227)&gt;0,"All uploaded",COUNTIF($V:$V,A1227)&gt;0,"Partly uploaded",COUNTIF($W:$X,A1227)&gt;0,"Not uploaded",TRUE,"Not classified"))</f>
        <v>Not uploaded</v>
      </c>
      <c r="C1227" s="1" t="str" cm="1">
        <f t="array" ref="C1227">_xlfn.SWITCH(TRIM(I1227),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27" s="1"/>
      <c r="E1227" s="1"/>
      <c r="F1227" s="1" t="str" cm="1">
        <f t="array" ref="F1227">_xlfn.LET(
_xlpm.status,UPPER(TRIM(B1227&amp;"")),
_xlpm.risk,UPPER(TRIM(C1227&amp;"")),
_xlpm.notify,UPPER(TRIM(D1227&amp;"")),
_xlpm.form,UPPER(TRIM(E1227&amp;"")),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27" s="1" t="str">
        <f t="shared" si="19"/>
        <v>NA</v>
      </c>
      <c r="H1227" s="5"/>
      <c r="I1227" s="1" t="s">
        <v>22</v>
      </c>
      <c r="J1227" s="1"/>
      <c r="K1227" s="1" t="s">
        <v>3644</v>
      </c>
      <c r="L1227" s="1" t="s">
        <v>22</v>
      </c>
      <c r="M1227" s="1"/>
      <c r="N1227" s="1" t="s">
        <v>3651</v>
      </c>
      <c r="O1227" s="1" t="s">
        <v>19</v>
      </c>
      <c r="P1227" s="1" t="s">
        <v>18</v>
      </c>
      <c r="Q1227" s="1" t="s">
        <v>20</v>
      </c>
      <c r="R1227" s="1"/>
      <c r="S1227" s="1"/>
      <c r="T1227" s="1"/>
    </row>
    <row r="1228" spans="1:20">
      <c r="A1228" s="1" t="s">
        <v>3652</v>
      </c>
      <c r="B1228" s="1" t="str" cm="1">
        <f t="array" ref="B1228">IF(A1228="","",_xlfn.IFS(COUNTIF($U:$U,A1228)&gt;0,"All uploaded",COUNTIF($V:$V,A1228)&gt;0,"Partly uploaded",COUNTIF($W:$X,A1228)&gt;0,"Not uploaded",TRUE,"Not classified"))</f>
        <v>Partly uploaded</v>
      </c>
      <c r="C1228" s="1" t="str" cm="1">
        <f t="array" ref="C1228">_xlfn.SWITCH(TRIM(I1228),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28" s="1"/>
      <c r="E1228" s="1"/>
      <c r="F1228" s="1" t="str" cm="1">
        <f t="array" ref="F1228">_xlfn.LET(
_xlpm.status,UPPER(TRIM(B1228&amp;"")),
_xlpm.risk,UPPER(TRIM(C1228&amp;"")),
_xlpm.notify,UPPER(TRIM(D1228&amp;"")),
_xlpm.form,UPPER(TRIM(E1228&amp;"")),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28" s="1" t="str">
        <f t="shared" si="19"/>
        <v>NA</v>
      </c>
      <c r="H1228" s="5"/>
      <c r="I1228" s="1" t="s">
        <v>23</v>
      </c>
      <c r="J1228" s="1"/>
      <c r="K1228" s="1" t="s">
        <v>3644</v>
      </c>
      <c r="L1228" s="1" t="s">
        <v>23</v>
      </c>
      <c r="M1228" s="1"/>
      <c r="N1228" s="1" t="s">
        <v>3653</v>
      </c>
      <c r="O1228" s="1" t="s">
        <v>19</v>
      </c>
      <c r="P1228" s="1" t="s">
        <v>18</v>
      </c>
      <c r="Q1228" s="1" t="s">
        <v>20</v>
      </c>
      <c r="R1228" s="1"/>
      <c r="S1228" s="1"/>
      <c r="T1228" s="1"/>
    </row>
    <row r="1229" spans="1:20">
      <c r="A1229" s="1" t="s">
        <v>3659</v>
      </c>
      <c r="B1229" s="1" t="str" cm="1">
        <f t="array" ref="B1229">IF(A1229="","",_xlfn.IFS(COUNTIF($U:$U,A1229)&gt;0,"All uploaded",COUNTIF($V:$V,A1229)&gt;0,"Partly uploaded",COUNTIF($W:$X,A1229)&gt;0,"Not uploaded",TRUE,"Not classified"))</f>
        <v>Not uploaded</v>
      </c>
      <c r="C1229" s="1" t="str" cm="1">
        <f t="array" ref="C1229">_xlfn.SWITCH(TRIM(I1229),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29" s="1"/>
      <c r="E1229" s="1"/>
      <c r="F1229" s="1" t="str" cm="1">
        <f t="array" ref="F1229">_xlfn.LET(
_xlpm.status,UPPER(TRIM(B1229&amp;"")),
_xlpm.risk,UPPER(TRIM(C1229&amp;"")),
_xlpm.notify,UPPER(TRIM(D1229&amp;"")),
_xlpm.form,UPPER(TRIM(E1229&amp;"")),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29" s="1" t="str">
        <f t="shared" si="19"/>
        <v>Required</v>
      </c>
      <c r="H1229" s="5"/>
      <c r="I1229" s="1" t="s">
        <v>25</v>
      </c>
      <c r="J1229" s="1"/>
      <c r="K1229" s="1" t="s">
        <v>3658</v>
      </c>
      <c r="L1229" s="1" t="s">
        <v>25</v>
      </c>
      <c r="M1229" s="1"/>
      <c r="N1229" s="1" t="s">
        <v>3660</v>
      </c>
      <c r="O1229" s="1" t="s">
        <v>19</v>
      </c>
      <c r="P1229" s="1" t="s">
        <v>18</v>
      </c>
      <c r="Q1229" s="1" t="s">
        <v>20</v>
      </c>
      <c r="R1229" s="1"/>
      <c r="S1229" s="1"/>
      <c r="T1229" s="1"/>
    </row>
    <row r="1230" spans="1:20">
      <c r="A1230" s="1" t="s">
        <v>3662</v>
      </c>
      <c r="B1230" s="1" t="str" cm="1">
        <f t="array" ref="B1230">IF(A1230="","",_xlfn.IFS(COUNTIF($U:$U,A1230)&gt;0,"All uploaded",COUNTIF($V:$V,A1230)&gt;0,"Partly uploaded",COUNTIF($W:$X,A1230)&gt;0,"Not uploaded",TRUE,"Not classified"))</f>
        <v>Not uploaded</v>
      </c>
      <c r="C1230" s="1" t="str" cm="1">
        <f t="array" ref="C1230">_xlfn.SWITCH(TRIM(I1230),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30" s="1"/>
      <c r="E1230" s="1"/>
      <c r="F1230" s="1" t="str" cm="1">
        <f t="array" ref="F1230">_xlfn.LET(
_xlpm.status,UPPER(TRIM(B1230&amp;"")),
_xlpm.risk,UPPER(TRIM(C1230&amp;"")),
_xlpm.notify,UPPER(TRIM(D1230&amp;"")),
_xlpm.form,UPPER(TRIM(E1230&amp;"")),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30" s="1" t="str">
        <f t="shared" si="19"/>
        <v>NA</v>
      </c>
      <c r="H1230" s="5"/>
      <c r="I1230" s="1" t="s">
        <v>22</v>
      </c>
      <c r="J1230" s="1"/>
      <c r="K1230" s="1" t="s">
        <v>3661</v>
      </c>
      <c r="L1230" s="1" t="s">
        <v>22</v>
      </c>
      <c r="M1230" s="1"/>
      <c r="N1230" s="1" t="s">
        <v>3663</v>
      </c>
      <c r="O1230" s="1" t="s">
        <v>19</v>
      </c>
      <c r="P1230" s="1" t="s">
        <v>18</v>
      </c>
      <c r="Q1230" s="1" t="s">
        <v>20</v>
      </c>
      <c r="R1230" s="1"/>
      <c r="S1230" s="1"/>
      <c r="T1230" s="1"/>
    </row>
    <row r="1231" spans="1:20">
      <c r="A1231" s="1" t="s">
        <v>3664</v>
      </c>
      <c r="B1231" s="1" t="str" cm="1">
        <f t="array" ref="B1231">IF(A1231="","",_xlfn.IFS(COUNTIF($U:$U,A1231)&gt;0,"All uploaded",COUNTIF($V:$V,A1231)&gt;0,"Partly uploaded",COUNTIF($W:$X,A1231)&gt;0,"Not uploaded",TRUE,"Not classified"))</f>
        <v>Not uploaded</v>
      </c>
      <c r="C1231" s="1" t="str" cm="1">
        <f t="array" ref="C1231">_xlfn.SWITCH(TRIM(I1231),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31" s="1"/>
      <c r="E1231" s="1"/>
      <c r="F1231" s="1" t="str" cm="1">
        <f t="array" ref="F1231">_xlfn.LET(
_xlpm.status,UPPER(TRIM(B1231&amp;"")),
_xlpm.risk,UPPER(TRIM(C1231&amp;"")),
_xlpm.notify,UPPER(TRIM(D1231&amp;"")),
_xlpm.form,UPPER(TRIM(E1231&amp;"")),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31" s="1" t="str">
        <f t="shared" si="19"/>
        <v>NA</v>
      </c>
      <c r="H1231" s="5"/>
      <c r="I1231" s="1" t="s">
        <v>22</v>
      </c>
      <c r="J1231" s="1"/>
      <c r="K1231" s="1" t="s">
        <v>3661</v>
      </c>
      <c r="L1231" s="1" t="s">
        <v>22</v>
      </c>
      <c r="M1231" s="1"/>
      <c r="N1231" s="1" t="s">
        <v>3665</v>
      </c>
      <c r="O1231" s="1" t="s">
        <v>19</v>
      </c>
      <c r="P1231" s="1" t="s">
        <v>18</v>
      </c>
      <c r="Q1231" s="1" t="s">
        <v>20</v>
      </c>
      <c r="R1231" s="1"/>
      <c r="S1231" s="1"/>
      <c r="T1231" s="1"/>
    </row>
    <row r="1232" spans="1:20">
      <c r="A1232" s="1" t="s">
        <v>3667</v>
      </c>
      <c r="B1232" s="1" t="str" cm="1">
        <f t="array" ref="B1232">IF(A1232="","",_xlfn.IFS(COUNTIF($U:$U,A1232)&gt;0,"All uploaded",COUNTIF($V:$V,A1232)&gt;0,"Partly uploaded",COUNTIF($W:$X,A1232)&gt;0,"Not uploaded",TRUE,"Not classified"))</f>
        <v>Partly uploaded</v>
      </c>
      <c r="C1232" s="1" t="str" cm="1">
        <f t="array" ref="C1232">_xlfn.SWITCH(TRIM(I1232),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32" s="1"/>
      <c r="E1232" s="1"/>
      <c r="F1232" s="1" t="str" cm="1">
        <f t="array" ref="F1232">_xlfn.LET(
_xlpm.status,UPPER(TRIM(B1232&amp;"")),
_xlpm.risk,UPPER(TRIM(C1232&amp;"")),
_xlpm.notify,UPPER(TRIM(D1232&amp;"")),
_xlpm.form,UPPER(TRIM(E1232&amp;"")),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32" s="1" t="str">
        <f t="shared" si="19"/>
        <v>Required</v>
      </c>
      <c r="H1232" s="5"/>
      <c r="I1232" s="1" t="s">
        <v>10</v>
      </c>
      <c r="J1232" s="1"/>
      <c r="K1232" s="1" t="s">
        <v>3666</v>
      </c>
      <c r="L1232" s="1" t="s">
        <v>10</v>
      </c>
      <c r="M1232" s="1"/>
      <c r="N1232" s="1" t="s">
        <v>3378</v>
      </c>
      <c r="O1232" s="1" t="s">
        <v>19</v>
      </c>
      <c r="P1232" s="1" t="s">
        <v>18</v>
      </c>
      <c r="Q1232" s="1" t="s">
        <v>20</v>
      </c>
      <c r="R1232" s="1"/>
      <c r="S1232" s="1"/>
      <c r="T1232" s="1"/>
    </row>
    <row r="1233" spans="1:20">
      <c r="A1233" s="1" t="s">
        <v>3672</v>
      </c>
      <c r="B1233" s="1" t="str" cm="1">
        <f t="array" ref="B1233">IF(A1233="","",_xlfn.IFS(COUNTIF($U:$U,A1233)&gt;0,"All uploaded",COUNTIF($V:$V,A1233)&gt;0,"Partly uploaded",COUNTIF($W:$X,A1233)&gt;0,"Not uploaded",TRUE,"Not classified"))</f>
        <v>Not uploaded</v>
      </c>
      <c r="C1233" s="1" t="str" cm="1">
        <f t="array" ref="C1233">_xlfn.SWITCH(TRIM(I1233),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33" s="1"/>
      <c r="E1233" s="1"/>
      <c r="F1233" s="1" t="str" cm="1">
        <f t="array" ref="F1233">_xlfn.LET(
_xlpm.status,UPPER(TRIM(B1233&amp;"")),
_xlpm.risk,UPPER(TRIM(C1233&amp;"")),
_xlpm.notify,UPPER(TRIM(D1233&amp;"")),
_xlpm.form,UPPER(TRIM(E1233&amp;"")),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33" s="1" t="str">
        <f t="shared" si="19"/>
        <v>NA</v>
      </c>
      <c r="H1233" s="5"/>
      <c r="I1233" s="1" t="s">
        <v>22</v>
      </c>
      <c r="J1233" s="1"/>
      <c r="K1233" s="1" t="s">
        <v>3671</v>
      </c>
      <c r="L1233" s="1" t="s">
        <v>22</v>
      </c>
      <c r="M1233" s="1"/>
      <c r="N1233" s="1" t="s">
        <v>3673</v>
      </c>
      <c r="O1233" s="1" t="s">
        <v>19</v>
      </c>
      <c r="P1233" s="1" t="s">
        <v>18</v>
      </c>
      <c r="Q1233" s="1" t="s">
        <v>20</v>
      </c>
      <c r="R1233" s="1"/>
      <c r="S1233" s="1"/>
      <c r="T1233" s="1"/>
    </row>
    <row r="1234" spans="1:20">
      <c r="A1234" s="1" t="s">
        <v>3675</v>
      </c>
      <c r="B1234" s="1" t="str" cm="1">
        <f t="array" ref="B1234">IF(A1234="","",_xlfn.IFS(COUNTIF($U:$U,A1234)&gt;0,"All uploaded",COUNTIF($V:$V,A1234)&gt;0,"Partly uploaded",COUNTIF($W:$X,A1234)&gt;0,"Not uploaded",TRUE,"Not classified"))</f>
        <v>Partly uploaded</v>
      </c>
      <c r="C1234" s="1" t="str" cm="1">
        <f t="array" ref="C1234">_xlfn.SWITCH(TRIM(I1234),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34" s="1"/>
      <c r="E1234" s="1"/>
      <c r="F1234" s="1" t="str" cm="1">
        <f t="array" ref="F1234">_xlfn.LET(
_xlpm.status,UPPER(TRIM(B1234&amp;"")),
_xlpm.risk,UPPER(TRIM(C1234&amp;"")),
_xlpm.notify,UPPER(TRIM(D1234&amp;"")),
_xlpm.form,UPPER(TRIM(E1234&amp;"")),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34" s="1" t="str">
        <f t="shared" si="19"/>
        <v>NA</v>
      </c>
      <c r="H1234" s="5"/>
      <c r="I1234" s="1" t="s">
        <v>23</v>
      </c>
      <c r="J1234" s="1"/>
      <c r="K1234" s="1" t="s">
        <v>3674</v>
      </c>
      <c r="L1234" s="1" t="s">
        <v>23</v>
      </c>
      <c r="M1234" s="1"/>
      <c r="N1234" s="1" t="s">
        <v>3676</v>
      </c>
      <c r="O1234" s="1" t="s">
        <v>19</v>
      </c>
      <c r="P1234" s="1" t="s">
        <v>18</v>
      </c>
      <c r="Q1234" s="1" t="s">
        <v>20</v>
      </c>
      <c r="R1234" s="1"/>
      <c r="S1234" s="1"/>
      <c r="T1234" s="1"/>
    </row>
    <row r="1235" spans="1:20">
      <c r="A1235" s="1" t="s">
        <v>3682</v>
      </c>
      <c r="B1235" s="1" t="str" cm="1">
        <f t="array" ref="B1235">IF(A1235="","",_xlfn.IFS(COUNTIF($U:$U,A1235)&gt;0,"All uploaded",COUNTIF($V:$V,A1235)&gt;0,"Partly uploaded",COUNTIF($W:$X,A1235)&gt;0,"Not uploaded",TRUE,"Not classified"))</f>
        <v>Not uploaded</v>
      </c>
      <c r="C1235" s="1" t="str" cm="1">
        <f t="array" ref="C1235">_xlfn.SWITCH(TRIM(I1235),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35" s="1"/>
      <c r="E1235" s="1"/>
      <c r="F1235" s="1" t="str" cm="1">
        <f t="array" ref="F1235">_xlfn.LET(
_xlpm.status,UPPER(TRIM(B1235&amp;"")),
_xlpm.risk,UPPER(TRIM(C1235&amp;"")),
_xlpm.notify,UPPER(TRIM(D1235&amp;"")),
_xlpm.form,UPPER(TRIM(E1235&amp;"")),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35" s="1" t="str">
        <f t="shared" si="19"/>
        <v>Required</v>
      </c>
      <c r="H1235" s="5"/>
      <c r="I1235" s="1" t="s">
        <v>25</v>
      </c>
      <c r="J1235" s="1"/>
      <c r="K1235" s="1" t="s">
        <v>3681</v>
      </c>
      <c r="L1235" s="1" t="s">
        <v>25</v>
      </c>
      <c r="M1235" s="1"/>
      <c r="N1235" s="1" t="s">
        <v>3683</v>
      </c>
      <c r="O1235" s="1" t="s">
        <v>19</v>
      </c>
      <c r="P1235" s="1" t="s">
        <v>18</v>
      </c>
      <c r="Q1235" s="1" t="s">
        <v>20</v>
      </c>
      <c r="R1235" s="1"/>
      <c r="S1235" s="1"/>
      <c r="T1235" s="1"/>
    </row>
    <row r="1236" spans="1:20">
      <c r="A1236" s="1" t="s">
        <v>3684</v>
      </c>
      <c r="B1236" s="1" t="str" cm="1">
        <f t="array" ref="B1236">IF(A1236="","",_xlfn.IFS(COUNTIF($U:$U,A1236)&gt;0,"All uploaded",COUNTIF($V:$V,A1236)&gt;0,"Partly uploaded",COUNTIF($W:$X,A1236)&gt;0,"Not uploaded",TRUE,"Not classified"))</f>
        <v>Not uploaded</v>
      </c>
      <c r="C1236" s="1" t="str" cm="1">
        <f t="array" ref="C1236">_xlfn.SWITCH(TRIM(I1236),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36" s="1"/>
      <c r="E1236" s="1"/>
      <c r="F1236" s="1" t="str" cm="1">
        <f t="array" ref="F1236">_xlfn.LET(
_xlpm.status,UPPER(TRIM(B1236&amp;"")),
_xlpm.risk,UPPER(TRIM(C1236&amp;"")),
_xlpm.notify,UPPER(TRIM(D1236&amp;"")),
_xlpm.form,UPPER(TRIM(E1236&amp;"")),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36" s="1" t="str">
        <f t="shared" si="19"/>
        <v>Required</v>
      </c>
      <c r="H1236" s="5"/>
      <c r="I1236" s="1" t="s">
        <v>27</v>
      </c>
      <c r="J1236" s="1"/>
      <c r="K1236" s="1" t="s">
        <v>3681</v>
      </c>
      <c r="L1236" s="1" t="s">
        <v>27</v>
      </c>
      <c r="M1236" s="1"/>
      <c r="N1236" s="1" t="s">
        <v>3685</v>
      </c>
      <c r="O1236" s="1" t="s">
        <v>19</v>
      </c>
      <c r="P1236" s="1" t="s">
        <v>18</v>
      </c>
      <c r="Q1236" s="1" t="s">
        <v>20</v>
      </c>
      <c r="R1236" s="1"/>
      <c r="S1236" s="1"/>
      <c r="T1236" s="1"/>
    </row>
    <row r="1237" spans="1:20">
      <c r="A1237" s="1" t="s">
        <v>3687</v>
      </c>
      <c r="B1237" s="1" t="str" cm="1">
        <f t="array" ref="B1237">IF(A1237="","",_xlfn.IFS(COUNTIF($U:$U,A1237)&gt;0,"All uploaded",COUNTIF($V:$V,A1237)&gt;0,"Partly uploaded",COUNTIF($W:$X,A1237)&gt;0,"Not uploaded",TRUE,"Not classified"))</f>
        <v>Not uploaded</v>
      </c>
      <c r="C1237" s="1" t="str" cm="1">
        <f t="array" ref="C1237">_xlfn.SWITCH(TRIM(I1237),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37" s="1"/>
      <c r="E1237" s="1"/>
      <c r="F1237" s="1" t="str" cm="1">
        <f t="array" ref="F1237">_xlfn.LET(
_xlpm.status,UPPER(TRIM(B1237&amp;"")),
_xlpm.risk,UPPER(TRIM(C1237&amp;"")),
_xlpm.notify,UPPER(TRIM(D1237&amp;"")),
_xlpm.form,UPPER(TRIM(E1237&amp;"")),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37" s="1" t="str">
        <f t="shared" si="19"/>
        <v>Required</v>
      </c>
      <c r="H1237" s="5"/>
      <c r="I1237" s="1" t="s">
        <v>10</v>
      </c>
      <c r="J1237" s="1"/>
      <c r="K1237" s="1" t="s">
        <v>3686</v>
      </c>
      <c r="L1237" s="1" t="s">
        <v>10</v>
      </c>
      <c r="M1237" s="1"/>
      <c r="N1237" s="1" t="s">
        <v>36</v>
      </c>
      <c r="O1237" s="1" t="s">
        <v>19</v>
      </c>
      <c r="P1237" s="1" t="s">
        <v>18</v>
      </c>
      <c r="Q1237" s="1" t="s">
        <v>20</v>
      </c>
      <c r="R1237" s="1"/>
      <c r="S1237" s="1"/>
      <c r="T1237" s="1"/>
    </row>
    <row r="1238" spans="1:20">
      <c r="A1238" s="1" t="s">
        <v>3688</v>
      </c>
      <c r="B1238" s="1" t="str" cm="1">
        <f t="array" ref="B1238">IF(A1238="","",_xlfn.IFS(COUNTIF($U:$U,A1238)&gt;0,"All uploaded",COUNTIF($V:$V,A1238)&gt;0,"Partly uploaded",COUNTIF($W:$X,A1238)&gt;0,"Not uploaded",TRUE,"Not classified"))</f>
        <v>Partly uploaded</v>
      </c>
      <c r="C1238" s="1" t="str" cm="1">
        <f t="array" ref="C1238">_xlfn.SWITCH(TRIM(I1238),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38" s="1"/>
      <c r="E1238" s="1"/>
      <c r="F1238" s="1" t="str" cm="1">
        <f t="array" ref="F1238">_xlfn.LET(
_xlpm.status,UPPER(TRIM(B1238&amp;"")),
_xlpm.risk,UPPER(TRIM(C1238&amp;"")),
_xlpm.notify,UPPER(TRIM(D1238&amp;"")),
_xlpm.form,UPPER(TRIM(E1238&amp;"")),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38" s="1" t="str">
        <f t="shared" si="19"/>
        <v>NA</v>
      </c>
      <c r="H1238" s="5"/>
      <c r="I1238" s="1" t="s">
        <v>23</v>
      </c>
      <c r="J1238" s="1"/>
      <c r="K1238" s="1" t="s">
        <v>3686</v>
      </c>
      <c r="L1238" s="1" t="s">
        <v>23</v>
      </c>
      <c r="M1238" s="1"/>
      <c r="N1238" s="1" t="s">
        <v>3146</v>
      </c>
      <c r="O1238" s="1" t="s">
        <v>19</v>
      </c>
      <c r="P1238" s="1" t="s">
        <v>18</v>
      </c>
      <c r="Q1238" s="1" t="s">
        <v>20</v>
      </c>
      <c r="R1238" s="1"/>
      <c r="S1238" s="1"/>
      <c r="T1238" s="1"/>
    </row>
    <row r="1239" spans="1:20">
      <c r="A1239" s="1" t="s">
        <v>3695</v>
      </c>
      <c r="B1239" s="1" t="str" cm="1">
        <f t="array" ref="B1239">IF(A1239="","",_xlfn.IFS(COUNTIF($U:$U,A1239)&gt;0,"All uploaded",COUNTIF($V:$V,A1239)&gt;0,"Partly uploaded",COUNTIF($W:$X,A1239)&gt;0,"Not uploaded",TRUE,"Not classified"))</f>
        <v>Not uploaded</v>
      </c>
      <c r="C1239" s="1" t="str" cm="1">
        <f t="array" ref="C1239">_xlfn.SWITCH(TRIM(I1239),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39" s="1"/>
      <c r="E1239" s="1"/>
      <c r="F1239" s="1" t="str" cm="1">
        <f t="array" ref="F1239">_xlfn.LET(
_xlpm.status,UPPER(TRIM(B1239&amp;"")),
_xlpm.risk,UPPER(TRIM(C1239&amp;"")),
_xlpm.notify,UPPER(TRIM(D1239&amp;"")),
_xlpm.form,UPPER(TRIM(E1239&amp;"")),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39" s="1" t="str">
        <f t="shared" si="19"/>
        <v>Required</v>
      </c>
      <c r="H1239" s="5"/>
      <c r="I1239" s="1" t="s">
        <v>33</v>
      </c>
      <c r="J1239" s="1"/>
      <c r="K1239" s="1" t="s">
        <v>3694</v>
      </c>
      <c r="L1239" s="1" t="s">
        <v>33</v>
      </c>
      <c r="M1239" s="1"/>
      <c r="N1239" s="1" t="s">
        <v>3696</v>
      </c>
      <c r="O1239" s="1" t="s">
        <v>19</v>
      </c>
      <c r="P1239" s="1" t="s">
        <v>18</v>
      </c>
      <c r="Q1239" s="1" t="s">
        <v>20</v>
      </c>
      <c r="R1239" s="1"/>
      <c r="S1239" s="1"/>
      <c r="T1239" s="1"/>
    </row>
    <row r="1240" spans="1:20">
      <c r="A1240" s="1" t="s">
        <v>3698</v>
      </c>
      <c r="B1240" s="1" t="str" cm="1">
        <f t="array" ref="B1240">IF(A1240="","",_xlfn.IFS(COUNTIF($U:$U,A1240)&gt;0,"All uploaded",COUNTIF($V:$V,A1240)&gt;0,"Partly uploaded",COUNTIF($W:$X,A1240)&gt;0,"Not uploaded",TRUE,"Not classified"))</f>
        <v>Not uploaded</v>
      </c>
      <c r="C1240" s="1" t="str" cm="1">
        <f t="array" ref="C1240">_xlfn.SWITCH(TRIM(I1240),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40" s="1"/>
      <c r="E1240" s="1"/>
      <c r="F1240" s="1" t="str" cm="1">
        <f t="array" ref="F1240">_xlfn.LET(
_xlpm.status,UPPER(TRIM(B1240&amp;"")),
_xlpm.risk,UPPER(TRIM(C1240&amp;"")),
_xlpm.notify,UPPER(TRIM(D1240&amp;"")),
_xlpm.form,UPPER(TRIM(E1240&amp;"")),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40" s="1" t="str">
        <f t="shared" si="19"/>
        <v>NA</v>
      </c>
      <c r="H1240" s="5"/>
      <c r="I1240" s="1" t="s">
        <v>48</v>
      </c>
      <c r="J1240" s="1"/>
      <c r="K1240" s="1" t="s">
        <v>3697</v>
      </c>
      <c r="L1240" s="1" t="s">
        <v>48</v>
      </c>
      <c r="M1240" s="1"/>
      <c r="N1240" s="1" t="s">
        <v>3699</v>
      </c>
      <c r="O1240" s="1" t="s">
        <v>19</v>
      </c>
      <c r="P1240" s="1" t="s">
        <v>18</v>
      </c>
      <c r="Q1240" s="1" t="s">
        <v>20</v>
      </c>
      <c r="R1240" s="1"/>
      <c r="S1240" s="1"/>
      <c r="T1240" s="1"/>
    </row>
    <row r="1241" spans="1:20">
      <c r="A1241" s="1" t="s">
        <v>3701</v>
      </c>
      <c r="B1241" s="1" t="str" cm="1">
        <f t="array" ref="B1241">IF(A1241="","",_xlfn.IFS(COUNTIF($U:$U,A1241)&gt;0,"All uploaded",COUNTIF($V:$V,A1241)&gt;0,"Partly uploaded",COUNTIF($W:$X,A1241)&gt;0,"Not uploaded",TRUE,"Not classified"))</f>
        <v>Not uploaded</v>
      </c>
      <c r="C1241" s="1" t="str" cm="1">
        <f t="array" ref="C1241">_xlfn.SWITCH(TRIM(I1241),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41" s="1"/>
      <c r="E1241" s="1"/>
      <c r="F1241" s="1" t="str" cm="1">
        <f t="array" ref="F1241">_xlfn.LET(
_xlpm.status,UPPER(TRIM(B1241&amp;"")),
_xlpm.risk,UPPER(TRIM(C1241&amp;"")),
_xlpm.notify,UPPER(TRIM(D1241&amp;"")),
_xlpm.form,UPPER(TRIM(E1241&amp;"")),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41" s="1" t="str">
        <f t="shared" si="19"/>
        <v>Required</v>
      </c>
      <c r="H1241" s="5"/>
      <c r="I1241" s="1" t="s">
        <v>27</v>
      </c>
      <c r="J1241" s="1"/>
      <c r="K1241" s="1" t="s">
        <v>3700</v>
      </c>
      <c r="L1241" s="1" t="s">
        <v>27</v>
      </c>
      <c r="M1241" s="1"/>
      <c r="N1241" s="1" t="s">
        <v>3702</v>
      </c>
      <c r="O1241" s="1" t="s">
        <v>19</v>
      </c>
      <c r="P1241" s="1" t="s">
        <v>18</v>
      </c>
      <c r="Q1241" s="1" t="s">
        <v>20</v>
      </c>
      <c r="R1241" s="1"/>
      <c r="S1241" s="1"/>
      <c r="T1241" s="1"/>
    </row>
    <row r="1242" spans="1:20">
      <c r="A1242" s="1" t="s">
        <v>3704</v>
      </c>
      <c r="B1242" s="1" t="str" cm="1">
        <f t="array" ref="B1242">IF(A1242="","",_xlfn.IFS(COUNTIF($U:$U,A1242)&gt;0,"All uploaded",COUNTIF($V:$V,A1242)&gt;0,"Partly uploaded",COUNTIF($W:$X,A1242)&gt;0,"Not uploaded",TRUE,"Not classified"))</f>
        <v>Not uploaded</v>
      </c>
      <c r="C1242" s="1" t="str" cm="1">
        <f t="array" ref="C1242">_xlfn.SWITCH(TRIM(I1242),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EOL</v>
      </c>
      <c r="D1242" s="1"/>
      <c r="E1242" s="1"/>
      <c r="F1242" s="1" t="str" cm="1">
        <f t="array" ref="F1242">_xlfn.LET(
_xlpm.status,UPPER(TRIM(B1242&amp;"")),
_xlpm.risk,UPPER(TRIM(C1242&amp;"")),
_xlpm.notify,UPPER(TRIM(D1242&amp;"")),
_xlpm.form,UPPER(TRIM(E1242&amp;"")),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EOL</v>
      </c>
      <c r="G1242" s="1" t="str">
        <f t="shared" si="19"/>
        <v>NA</v>
      </c>
      <c r="H1242" s="5"/>
      <c r="I1242" s="1" t="s">
        <v>21</v>
      </c>
      <c r="J1242" s="1"/>
      <c r="K1242" s="1" t="s">
        <v>3703</v>
      </c>
      <c r="L1242" s="1" t="s">
        <v>21</v>
      </c>
      <c r="M1242" s="1"/>
      <c r="N1242" s="1" t="s">
        <v>83</v>
      </c>
      <c r="O1242" s="1" t="s">
        <v>19</v>
      </c>
      <c r="P1242" s="1" t="s">
        <v>18</v>
      </c>
      <c r="Q1242" s="1" t="s">
        <v>20</v>
      </c>
      <c r="R1242" s="1"/>
      <c r="S1242" s="1"/>
      <c r="T1242" s="1"/>
    </row>
    <row r="1243" spans="1:20">
      <c r="A1243" s="1" t="s">
        <v>3706</v>
      </c>
      <c r="B1243" s="1" t="str" cm="1">
        <f t="array" ref="B1243">IF(A1243="","",_xlfn.IFS(COUNTIF($U:$U,A1243)&gt;0,"All uploaded",COUNTIF($V:$V,A1243)&gt;0,"Partly uploaded",COUNTIF($W:$X,A1243)&gt;0,"Not uploaded",TRUE,"Not classified"))</f>
        <v>Not uploaded</v>
      </c>
      <c r="C1243" s="1" t="str" cm="1">
        <f t="array" ref="C1243">_xlfn.SWITCH(TRIM(I1243),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43" s="1"/>
      <c r="E1243" s="1"/>
      <c r="F1243" s="1" t="str" cm="1">
        <f t="array" ref="F1243">_xlfn.LET(
_xlpm.status,UPPER(TRIM(B1243&amp;"")),
_xlpm.risk,UPPER(TRIM(C1243&amp;"")),
_xlpm.notify,UPPER(TRIM(D1243&amp;"")),
_xlpm.form,UPPER(TRIM(E1243&amp;"")),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43" s="1" t="str">
        <f t="shared" si="19"/>
        <v>NA</v>
      </c>
      <c r="H1243" s="5"/>
      <c r="I1243" s="1" t="s">
        <v>22</v>
      </c>
      <c r="J1243" s="1"/>
      <c r="K1243" s="1" t="s">
        <v>3705</v>
      </c>
      <c r="L1243" s="1" t="s">
        <v>22</v>
      </c>
      <c r="M1243" s="1"/>
      <c r="N1243" s="1" t="s">
        <v>3707</v>
      </c>
      <c r="O1243" s="1" t="s">
        <v>19</v>
      </c>
      <c r="P1243" s="1" t="s">
        <v>18</v>
      </c>
      <c r="Q1243" s="1" t="s">
        <v>20</v>
      </c>
      <c r="R1243" s="1"/>
      <c r="S1243" s="1"/>
      <c r="T1243" s="1"/>
    </row>
    <row r="1244" spans="1:20">
      <c r="A1244" s="1" t="s">
        <v>3708</v>
      </c>
      <c r="B1244" s="1" t="str" cm="1">
        <f t="array" ref="B1244">IF(A1244="","",_xlfn.IFS(COUNTIF($U:$U,A1244)&gt;0,"All uploaded",COUNTIF($V:$V,A1244)&gt;0,"Partly uploaded",COUNTIF($W:$X,A1244)&gt;0,"Not uploaded",TRUE,"Not classified"))</f>
        <v>Not uploaded</v>
      </c>
      <c r="C1244" s="1" t="str" cm="1">
        <f t="array" ref="C1244">_xlfn.SWITCH(TRIM(I1244),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44" s="1"/>
      <c r="E1244" s="1"/>
      <c r="F1244" s="1" t="str" cm="1">
        <f t="array" ref="F1244">_xlfn.LET(
_xlpm.status,UPPER(TRIM(B1244&amp;"")),
_xlpm.risk,UPPER(TRIM(C1244&amp;"")),
_xlpm.notify,UPPER(TRIM(D1244&amp;"")),
_xlpm.form,UPPER(TRIM(E1244&amp;"")),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44" s="1" t="str">
        <f t="shared" si="19"/>
        <v>NA</v>
      </c>
      <c r="H1244" s="5"/>
      <c r="I1244" s="1" t="s">
        <v>22</v>
      </c>
      <c r="J1244" s="1"/>
      <c r="K1244" s="1" t="s">
        <v>3705</v>
      </c>
      <c r="L1244" s="1" t="s">
        <v>22</v>
      </c>
      <c r="M1244" s="1"/>
      <c r="N1244" s="1" t="s">
        <v>3709</v>
      </c>
      <c r="O1244" s="1" t="s">
        <v>19</v>
      </c>
      <c r="P1244" s="1" t="s">
        <v>18</v>
      </c>
      <c r="Q1244" s="1" t="s">
        <v>20</v>
      </c>
      <c r="R1244" s="1"/>
      <c r="S1244" s="1"/>
      <c r="T1244" s="1"/>
    </row>
    <row r="1245" spans="1:20">
      <c r="A1245" s="1" t="s">
        <v>3710</v>
      </c>
      <c r="B1245" s="1" t="str" cm="1">
        <f t="array" ref="B1245">IF(A1245="","",_xlfn.IFS(COUNTIF($U:$U,A1245)&gt;0,"All uploaded",COUNTIF($V:$V,A1245)&gt;0,"Partly uploaded",COUNTIF($W:$X,A1245)&gt;0,"Not uploaded",TRUE,"Not classified"))</f>
        <v>Not uploaded</v>
      </c>
      <c r="C1245" s="1" t="str" cm="1">
        <f t="array" ref="C1245">_xlfn.SWITCH(TRIM(I1245),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45" s="1"/>
      <c r="E1245" s="1"/>
      <c r="F1245" s="1" t="str" cm="1">
        <f t="array" ref="F1245">_xlfn.LET(
_xlpm.status,UPPER(TRIM(B1245&amp;"")),
_xlpm.risk,UPPER(TRIM(C1245&amp;"")),
_xlpm.notify,UPPER(TRIM(D1245&amp;"")),
_xlpm.form,UPPER(TRIM(E1245&amp;"")),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45" s="1" t="str">
        <f t="shared" si="19"/>
        <v>NA</v>
      </c>
      <c r="H1245" s="5"/>
      <c r="I1245" s="1" t="s">
        <v>22</v>
      </c>
      <c r="J1245" s="1"/>
      <c r="K1245" s="1" t="s">
        <v>3705</v>
      </c>
      <c r="L1245" s="1" t="s">
        <v>22</v>
      </c>
      <c r="M1245" s="1"/>
      <c r="N1245" s="1" t="s">
        <v>3711</v>
      </c>
      <c r="O1245" s="1" t="s">
        <v>19</v>
      </c>
      <c r="P1245" s="1" t="s">
        <v>18</v>
      </c>
      <c r="Q1245" s="1" t="s">
        <v>20</v>
      </c>
      <c r="R1245" s="1"/>
      <c r="S1245" s="1"/>
      <c r="T1245" s="1"/>
    </row>
    <row r="1246" spans="1:20">
      <c r="A1246" s="1" t="s">
        <v>3713</v>
      </c>
      <c r="B1246" s="1" t="str" cm="1">
        <f t="array" ref="B1246">IF(A1246="","",_xlfn.IFS(COUNTIF($U:$U,A1246)&gt;0,"All uploaded",COUNTIF($V:$V,A1246)&gt;0,"Partly uploaded",COUNTIF($W:$X,A1246)&gt;0,"Not uploaded",TRUE,"Not classified"))</f>
        <v>Not uploaded</v>
      </c>
      <c r="C1246" s="1" t="str" cm="1">
        <f t="array" ref="C1246">_xlfn.SWITCH(TRIM(I1246),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46" s="1"/>
      <c r="E1246" s="1"/>
      <c r="F1246" s="1" t="str" cm="1">
        <f t="array" ref="F1246">_xlfn.LET(
_xlpm.status,UPPER(TRIM(B1246&amp;"")),
_xlpm.risk,UPPER(TRIM(C1246&amp;"")),
_xlpm.notify,UPPER(TRIM(D1246&amp;"")),
_xlpm.form,UPPER(TRIM(E1246&amp;"")),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46" s="1" t="str">
        <f t="shared" si="19"/>
        <v>NA</v>
      </c>
      <c r="H1246" s="5"/>
      <c r="I1246" s="1" t="s">
        <v>22</v>
      </c>
      <c r="J1246" s="1"/>
      <c r="K1246" s="1" t="s">
        <v>3712</v>
      </c>
      <c r="L1246" s="1" t="s">
        <v>22</v>
      </c>
      <c r="M1246" s="1"/>
      <c r="N1246" s="1" t="s">
        <v>3714</v>
      </c>
      <c r="O1246" s="1" t="s">
        <v>19</v>
      </c>
      <c r="P1246" s="1" t="s">
        <v>18</v>
      </c>
      <c r="Q1246" s="1" t="s">
        <v>20</v>
      </c>
      <c r="R1246" s="1"/>
      <c r="S1246" s="1"/>
      <c r="T1246" s="1"/>
    </row>
    <row r="1247" spans="1:20">
      <c r="A1247" s="1" t="s">
        <v>3715</v>
      </c>
      <c r="B1247" s="1" t="str" cm="1">
        <f t="array" ref="B1247">IF(A1247="","",_xlfn.IFS(COUNTIF($U:$U,A1247)&gt;0,"All uploaded",COUNTIF($V:$V,A1247)&gt;0,"Partly uploaded",COUNTIF($W:$X,A1247)&gt;0,"Not uploaded",TRUE,"Not classified"))</f>
        <v>Not uploaded</v>
      </c>
      <c r="C1247" s="1" t="str" cm="1">
        <f t="array" ref="C1247">_xlfn.SWITCH(TRIM(I1247),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47" s="1"/>
      <c r="E1247" s="1"/>
      <c r="F1247" s="1" t="str" cm="1">
        <f t="array" ref="F1247">_xlfn.LET(
_xlpm.status,UPPER(TRIM(B1247&amp;"")),
_xlpm.risk,UPPER(TRIM(C1247&amp;"")),
_xlpm.notify,UPPER(TRIM(D1247&amp;"")),
_xlpm.form,UPPER(TRIM(E1247&amp;"")),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47" s="1" t="str">
        <f t="shared" si="19"/>
        <v>NA</v>
      </c>
      <c r="H1247" s="5"/>
      <c r="I1247" s="1" t="s">
        <v>22</v>
      </c>
      <c r="J1247" s="1"/>
      <c r="K1247" s="1" t="s">
        <v>3712</v>
      </c>
      <c r="L1247" s="1" t="s">
        <v>22</v>
      </c>
      <c r="M1247" s="1"/>
      <c r="N1247" s="1" t="s">
        <v>3716</v>
      </c>
      <c r="O1247" s="1" t="s">
        <v>19</v>
      </c>
      <c r="P1247" s="1" t="s">
        <v>18</v>
      </c>
      <c r="Q1247" s="1" t="s">
        <v>20</v>
      </c>
      <c r="R1247" s="1"/>
      <c r="S1247" s="1"/>
      <c r="T1247" s="1"/>
    </row>
    <row r="1248" spans="1:20">
      <c r="A1248" s="1" t="s">
        <v>3717</v>
      </c>
      <c r="B1248" s="1" t="str" cm="1">
        <f t="array" ref="B1248">IF(A1248="","",_xlfn.IFS(COUNTIF($U:$U,A1248)&gt;0,"All uploaded",COUNTIF($V:$V,A1248)&gt;0,"Partly uploaded",COUNTIF($W:$X,A1248)&gt;0,"Not uploaded",TRUE,"Not classified"))</f>
        <v>Not uploaded</v>
      </c>
      <c r="C1248" s="1" t="str" cm="1">
        <f t="array" ref="C1248">_xlfn.SWITCH(TRIM(I1248),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48" s="1"/>
      <c r="E1248" s="1"/>
      <c r="F1248" s="1" t="str" cm="1">
        <f t="array" ref="F1248">_xlfn.LET(
_xlpm.status,UPPER(TRIM(B1248&amp;"")),
_xlpm.risk,UPPER(TRIM(C1248&amp;"")),
_xlpm.notify,UPPER(TRIM(D1248&amp;"")),
_xlpm.form,UPPER(TRIM(E1248&amp;"")),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48" s="1" t="str">
        <f t="shared" si="19"/>
        <v>Required</v>
      </c>
      <c r="H1248" s="5"/>
      <c r="I1248" s="1" t="s">
        <v>34</v>
      </c>
      <c r="J1248" s="1"/>
      <c r="K1248" s="1" t="s">
        <v>3712</v>
      </c>
      <c r="L1248" s="1" t="s">
        <v>34</v>
      </c>
      <c r="M1248" s="1"/>
      <c r="N1248" s="1" t="s">
        <v>3718</v>
      </c>
      <c r="O1248" s="1" t="s">
        <v>19</v>
      </c>
      <c r="P1248" s="1" t="s">
        <v>18</v>
      </c>
      <c r="Q1248" s="1" t="s">
        <v>20</v>
      </c>
      <c r="R1248" s="1"/>
      <c r="S1248" s="1"/>
      <c r="T1248" s="1"/>
    </row>
    <row r="1249" spans="1:20">
      <c r="A1249" s="1" t="s">
        <v>3720</v>
      </c>
      <c r="B1249" s="1" t="str" cm="1">
        <f t="array" ref="B1249">IF(A1249="","",_xlfn.IFS(COUNTIF($U:$U,A1249)&gt;0,"All uploaded",COUNTIF($V:$V,A1249)&gt;0,"Partly uploaded",COUNTIF($W:$X,A1249)&gt;0,"Not uploaded",TRUE,"Not classified"))</f>
        <v>Not uploaded</v>
      </c>
      <c r="C1249" s="1" t="str" cm="1">
        <f t="array" ref="C1249">_xlfn.SWITCH(TRIM(I1249),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49" s="1"/>
      <c r="E1249" s="1"/>
      <c r="F1249" s="1" t="str" cm="1">
        <f t="array" ref="F1249">_xlfn.LET(
_xlpm.status,UPPER(TRIM(B1249&amp;"")),
_xlpm.risk,UPPER(TRIM(C1249&amp;"")),
_xlpm.notify,UPPER(TRIM(D1249&amp;"")),
_xlpm.form,UPPER(TRIM(E1249&amp;"")),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49" s="1" t="str">
        <f t="shared" si="19"/>
        <v>Required</v>
      </c>
      <c r="H1249" s="5"/>
      <c r="I1249" s="1" t="s">
        <v>10</v>
      </c>
      <c r="J1249" s="1"/>
      <c r="K1249" s="1" t="s">
        <v>3719</v>
      </c>
      <c r="L1249" s="1" t="s">
        <v>10</v>
      </c>
      <c r="M1249" s="1"/>
      <c r="N1249" s="1" t="s">
        <v>2707</v>
      </c>
      <c r="O1249" s="1" t="s">
        <v>19</v>
      </c>
      <c r="P1249" s="1" t="s">
        <v>18</v>
      </c>
      <c r="Q1249" s="1" t="s">
        <v>20</v>
      </c>
      <c r="R1249" s="1"/>
      <c r="S1249" s="1"/>
      <c r="T1249" s="1"/>
    </row>
    <row r="1250" spans="1:20">
      <c r="A1250" s="1" t="s">
        <v>3722</v>
      </c>
      <c r="B1250" s="1" t="str" cm="1">
        <f t="array" ref="B1250">IF(A1250="","",_xlfn.IFS(COUNTIF($U:$U,A1250)&gt;0,"All uploaded",COUNTIF($V:$V,A1250)&gt;0,"Partly uploaded",COUNTIF($W:$X,A1250)&gt;0,"Not uploaded",TRUE,"Not classified"))</f>
        <v>Not uploaded</v>
      </c>
      <c r="C1250" s="1" t="str" cm="1">
        <f t="array" ref="C1250">_xlfn.SWITCH(TRIM(I1250),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50" s="1"/>
      <c r="E1250" s="1"/>
      <c r="F1250" s="1" t="str" cm="1">
        <f t="array" ref="F1250">_xlfn.LET(
_xlpm.status,UPPER(TRIM(B1250&amp;"")),
_xlpm.risk,UPPER(TRIM(C1250&amp;"")),
_xlpm.notify,UPPER(TRIM(D1250&amp;"")),
_xlpm.form,UPPER(TRIM(E1250&amp;"")),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50" s="1" t="str">
        <f t="shared" si="19"/>
        <v>Required</v>
      </c>
      <c r="H1250" s="5"/>
      <c r="I1250" s="1" t="s">
        <v>25</v>
      </c>
      <c r="J1250" s="1"/>
      <c r="K1250" s="1" t="s">
        <v>3721</v>
      </c>
      <c r="L1250" s="1" t="s">
        <v>25</v>
      </c>
      <c r="M1250" s="1"/>
      <c r="N1250" s="1" t="s">
        <v>3723</v>
      </c>
      <c r="O1250" s="1" t="s">
        <v>19</v>
      </c>
      <c r="P1250" s="1" t="s">
        <v>18</v>
      </c>
      <c r="Q1250" s="1" t="s">
        <v>20</v>
      </c>
      <c r="R1250" s="1"/>
      <c r="S1250" s="1"/>
      <c r="T1250" s="1"/>
    </row>
    <row r="1251" spans="1:20">
      <c r="A1251" s="1" t="s">
        <v>3725</v>
      </c>
      <c r="B1251" s="1" t="str" cm="1">
        <f t="array" ref="B1251">IF(A1251="","",_xlfn.IFS(COUNTIF($U:$U,A1251)&gt;0,"All uploaded",COUNTIF($V:$V,A1251)&gt;0,"Partly uploaded",COUNTIF($W:$X,A1251)&gt;0,"Not uploaded",TRUE,"Not classified"))</f>
        <v>Not uploaded</v>
      </c>
      <c r="C1251" s="1" t="str" cm="1">
        <f t="array" ref="C1251">_xlfn.SWITCH(TRIM(I1251),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51" s="1"/>
      <c r="E1251" s="1"/>
      <c r="F1251" s="1" t="str" cm="1">
        <f t="array" ref="F1251">_xlfn.LET(
_xlpm.status,UPPER(TRIM(B1251&amp;"")),
_xlpm.risk,UPPER(TRIM(C1251&amp;"")),
_xlpm.notify,UPPER(TRIM(D1251&amp;"")),
_xlpm.form,UPPER(TRIM(E1251&amp;"")),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51" s="1" t="str">
        <f t="shared" si="19"/>
        <v>NA</v>
      </c>
      <c r="H1251" s="5"/>
      <c r="I1251" s="1" t="s">
        <v>22</v>
      </c>
      <c r="J1251" s="1"/>
      <c r="K1251" s="1" t="s">
        <v>3724</v>
      </c>
      <c r="L1251" s="1" t="s">
        <v>22</v>
      </c>
      <c r="M1251" s="1"/>
      <c r="N1251" s="1" t="s">
        <v>3726</v>
      </c>
      <c r="O1251" s="1" t="s">
        <v>19</v>
      </c>
      <c r="P1251" s="1" t="s">
        <v>18</v>
      </c>
      <c r="Q1251" s="1" t="s">
        <v>20</v>
      </c>
      <c r="R1251" s="1"/>
      <c r="S1251" s="1"/>
      <c r="T1251" s="1"/>
    </row>
    <row r="1252" spans="1:20">
      <c r="A1252" s="1" t="s">
        <v>3728</v>
      </c>
      <c r="B1252" s="1" t="str" cm="1">
        <f t="array" ref="B1252">IF(A1252="","",_xlfn.IFS(COUNTIF($U:$U,A1252)&gt;0,"All uploaded",COUNTIF($V:$V,A1252)&gt;0,"Partly uploaded",COUNTIF($W:$X,A1252)&gt;0,"Not uploaded",TRUE,"Not classified"))</f>
        <v>Partly uploaded</v>
      </c>
      <c r="C1252" s="1" t="str" cm="1">
        <f t="array" ref="C1252">_xlfn.SWITCH(TRIM(I1252),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52" s="1"/>
      <c r="E1252" s="1"/>
      <c r="F1252" s="1" t="str" cm="1">
        <f t="array" ref="F1252">_xlfn.LET(
_xlpm.status,UPPER(TRIM(B1252&amp;"")),
_xlpm.risk,UPPER(TRIM(C1252&amp;"")),
_xlpm.notify,UPPER(TRIM(D1252&amp;"")),
_xlpm.form,UPPER(TRIM(E1252&amp;"")),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52" s="1" t="str">
        <f t="shared" si="19"/>
        <v>NA</v>
      </c>
      <c r="H1252" s="5"/>
      <c r="I1252" s="1" t="s">
        <v>35</v>
      </c>
      <c r="J1252" s="1"/>
      <c r="K1252" s="1" t="s">
        <v>3727</v>
      </c>
      <c r="L1252" s="1" t="s">
        <v>35</v>
      </c>
      <c r="M1252" s="1"/>
      <c r="N1252" s="1" t="s">
        <v>3729</v>
      </c>
      <c r="O1252" s="1" t="s">
        <v>19</v>
      </c>
      <c r="P1252" s="1" t="s">
        <v>18</v>
      </c>
      <c r="Q1252" s="1" t="s">
        <v>20</v>
      </c>
      <c r="R1252" s="1"/>
      <c r="S1252" s="1"/>
      <c r="T1252" s="1"/>
    </row>
    <row r="1253" spans="1:20">
      <c r="A1253" s="1" t="s">
        <v>3735</v>
      </c>
      <c r="B1253" s="1" t="str" cm="1">
        <f t="array" ref="B1253">IF(A1253="","",_xlfn.IFS(COUNTIF($U:$U,A1253)&gt;0,"All uploaded",COUNTIF($V:$V,A1253)&gt;0,"Partly uploaded",COUNTIF($W:$X,A1253)&gt;0,"Not uploaded",TRUE,"Not classified"))</f>
        <v>Partly uploaded</v>
      </c>
      <c r="C1253" s="1" t="str" cm="1">
        <f t="array" ref="C1253">_xlfn.SWITCH(TRIM(I1253),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53" s="1"/>
      <c r="E1253" s="1"/>
      <c r="F1253" s="1" t="str" cm="1">
        <f t="array" ref="F1253">_xlfn.LET(
_xlpm.status,UPPER(TRIM(B1253&amp;"")),
_xlpm.risk,UPPER(TRIM(C1253&amp;"")),
_xlpm.notify,UPPER(TRIM(D1253&amp;"")),
_xlpm.form,UPPER(TRIM(E1253&amp;"")),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53" s="1" t="str">
        <f t="shared" si="19"/>
        <v>NA</v>
      </c>
      <c r="H1253" s="5"/>
      <c r="I1253" s="1" t="s">
        <v>23</v>
      </c>
      <c r="J1253" s="1"/>
      <c r="K1253" s="1" t="s">
        <v>3734</v>
      </c>
      <c r="L1253" s="1" t="s">
        <v>23</v>
      </c>
      <c r="M1253" s="1"/>
      <c r="N1253" s="1" t="s">
        <v>2246</v>
      </c>
      <c r="O1253" s="1" t="s">
        <v>19</v>
      </c>
      <c r="P1253" s="1" t="s">
        <v>18</v>
      </c>
      <c r="Q1253" s="1" t="s">
        <v>20</v>
      </c>
      <c r="R1253" s="1"/>
      <c r="S1253" s="1"/>
      <c r="T1253" s="1"/>
    </row>
    <row r="1254" spans="1:20">
      <c r="A1254" s="1" t="s">
        <v>3740</v>
      </c>
      <c r="B1254" s="1" t="str" cm="1">
        <f t="array" ref="B1254">IF(A1254="","",_xlfn.IFS(COUNTIF($U:$U,A1254)&gt;0,"All uploaded",COUNTIF($V:$V,A1254)&gt;0,"Partly uploaded",COUNTIF($W:$X,A1254)&gt;0,"Not uploaded",TRUE,"Not classified"))</f>
        <v>Not uploaded</v>
      </c>
      <c r="C1254" s="1" t="str" cm="1">
        <f t="array" ref="C1254">_xlfn.SWITCH(TRIM(I1254),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54" s="1"/>
      <c r="E1254" s="1"/>
      <c r="F1254" s="1" t="str" cm="1">
        <f t="array" ref="F1254">_xlfn.LET(
_xlpm.status,UPPER(TRIM(B1254&amp;"")),
_xlpm.risk,UPPER(TRIM(C1254&amp;"")),
_xlpm.notify,UPPER(TRIM(D1254&amp;"")),
_xlpm.form,UPPER(TRIM(E1254&amp;"")),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54" s="1" t="str">
        <f t="shared" si="19"/>
        <v>Required</v>
      </c>
      <c r="H1254" s="5"/>
      <c r="I1254" s="1" t="s">
        <v>27</v>
      </c>
      <c r="J1254" s="1"/>
      <c r="K1254" s="1" t="s">
        <v>3739</v>
      </c>
      <c r="L1254" s="1" t="s">
        <v>27</v>
      </c>
      <c r="M1254" s="1"/>
      <c r="N1254" s="1" t="s">
        <v>3741</v>
      </c>
      <c r="O1254" s="1" t="s">
        <v>19</v>
      </c>
      <c r="P1254" s="1" t="s">
        <v>18</v>
      </c>
      <c r="Q1254" s="1" t="s">
        <v>20</v>
      </c>
      <c r="R1254" s="1"/>
      <c r="S1254" s="1"/>
      <c r="T1254" s="1"/>
    </row>
    <row r="1255" spans="1:20">
      <c r="A1255" s="1" t="s">
        <v>3742</v>
      </c>
      <c r="B1255" s="1" t="str" cm="1">
        <f t="array" ref="B1255">IF(A1255="","",_xlfn.IFS(COUNTIF($U:$U,A1255)&gt;0,"All uploaded",COUNTIF($V:$V,A1255)&gt;0,"Partly uploaded",COUNTIF($W:$X,A1255)&gt;0,"Not uploaded",TRUE,"Not classified"))</f>
        <v>Not uploaded</v>
      </c>
      <c r="C1255" s="1" t="str" cm="1">
        <f t="array" ref="C1255">_xlfn.SWITCH(TRIM(I1255),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55" s="1"/>
      <c r="E1255" s="1"/>
      <c r="F1255" s="1" t="str" cm="1">
        <f t="array" ref="F1255">_xlfn.LET(
_xlpm.status,UPPER(TRIM(B1255&amp;"")),
_xlpm.risk,UPPER(TRIM(C1255&amp;"")),
_xlpm.notify,UPPER(TRIM(D1255&amp;"")),
_xlpm.form,UPPER(TRIM(E1255&amp;"")),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55" s="1" t="str">
        <f t="shared" si="19"/>
        <v>NA</v>
      </c>
      <c r="H1255" s="5"/>
      <c r="I1255" s="1" t="s">
        <v>22</v>
      </c>
      <c r="J1255" s="1"/>
      <c r="K1255" s="1" t="s">
        <v>3739</v>
      </c>
      <c r="L1255" s="1" t="s">
        <v>22</v>
      </c>
      <c r="M1255" s="1"/>
      <c r="N1255" s="1" t="s">
        <v>3743</v>
      </c>
      <c r="O1255" s="1" t="s">
        <v>19</v>
      </c>
      <c r="P1255" s="1" t="s">
        <v>18</v>
      </c>
      <c r="Q1255" s="1" t="s">
        <v>20</v>
      </c>
      <c r="R1255" s="1"/>
      <c r="S1255" s="1"/>
      <c r="T1255" s="1"/>
    </row>
    <row r="1256" spans="1:20">
      <c r="A1256" s="1" t="s">
        <v>3745</v>
      </c>
      <c r="B1256" s="1" t="str" cm="1">
        <f t="array" ref="B1256">IF(A1256="","",_xlfn.IFS(COUNTIF($U:$U,A1256)&gt;0,"All uploaded",COUNTIF($V:$V,A1256)&gt;0,"Partly uploaded",COUNTIF($W:$X,A1256)&gt;0,"Not uploaded",TRUE,"Not classified"))</f>
        <v>Not uploaded</v>
      </c>
      <c r="C1256" s="1" t="str" cm="1">
        <f t="array" ref="C1256">_xlfn.SWITCH(TRIM(I1256),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56" s="1"/>
      <c r="E1256" s="1"/>
      <c r="F1256" s="1" t="str" cm="1">
        <f t="array" ref="F1256">_xlfn.LET(
_xlpm.status,UPPER(TRIM(B1256&amp;"")),
_xlpm.risk,UPPER(TRIM(C1256&amp;"")),
_xlpm.notify,UPPER(TRIM(D1256&amp;"")),
_xlpm.form,UPPER(TRIM(E1256&amp;"")),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56" s="1" t="str">
        <f t="shared" si="19"/>
        <v>NA</v>
      </c>
      <c r="H1256" s="5"/>
      <c r="I1256" s="1" t="s">
        <v>22</v>
      </c>
      <c r="J1256" s="1"/>
      <c r="K1256" s="1" t="s">
        <v>3744</v>
      </c>
      <c r="L1256" s="1" t="s">
        <v>22</v>
      </c>
      <c r="M1256" s="1"/>
      <c r="N1256" s="1" t="s">
        <v>3746</v>
      </c>
      <c r="O1256" s="1" t="s">
        <v>19</v>
      </c>
      <c r="P1256" s="1" t="s">
        <v>18</v>
      </c>
      <c r="Q1256" s="1" t="s">
        <v>20</v>
      </c>
      <c r="R1256" s="1"/>
      <c r="S1256" s="1"/>
      <c r="T1256" s="1"/>
    </row>
    <row r="1257" spans="1:20">
      <c r="A1257" s="1" t="s">
        <v>3747</v>
      </c>
      <c r="B1257" s="1" t="str" cm="1">
        <f t="array" ref="B1257">IF(A1257="","",_xlfn.IFS(COUNTIF($U:$U,A1257)&gt;0,"All uploaded",COUNTIF($V:$V,A1257)&gt;0,"Partly uploaded",COUNTIF($W:$X,A1257)&gt;0,"Not uploaded",TRUE,"Not classified"))</f>
        <v>Not uploaded</v>
      </c>
      <c r="C1257" s="1" t="str" cm="1">
        <f t="array" ref="C1257">_xlfn.SWITCH(TRIM(I1257),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57" s="1"/>
      <c r="E1257" s="1"/>
      <c r="F1257" s="1" t="str" cm="1">
        <f t="array" ref="F1257">_xlfn.LET(
_xlpm.status,UPPER(TRIM(B1257&amp;"")),
_xlpm.risk,UPPER(TRIM(C1257&amp;"")),
_xlpm.notify,UPPER(TRIM(D1257&amp;"")),
_xlpm.form,UPPER(TRIM(E1257&amp;"")),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57" s="1" t="str">
        <f t="shared" si="19"/>
        <v>NA</v>
      </c>
      <c r="H1257" s="5"/>
      <c r="I1257" s="1" t="s">
        <v>23</v>
      </c>
      <c r="J1257" s="1"/>
      <c r="K1257" s="1" t="s">
        <v>3744</v>
      </c>
      <c r="L1257" s="1" t="s">
        <v>23</v>
      </c>
      <c r="M1257" s="1"/>
      <c r="N1257" s="1" t="s">
        <v>3748</v>
      </c>
      <c r="O1257" s="1" t="s">
        <v>19</v>
      </c>
      <c r="P1257" s="1" t="s">
        <v>18</v>
      </c>
      <c r="Q1257" s="1" t="s">
        <v>20</v>
      </c>
      <c r="R1257" s="1"/>
      <c r="S1257" s="1"/>
      <c r="T1257" s="1"/>
    </row>
    <row r="1258" spans="1:20">
      <c r="A1258" s="1" t="s">
        <v>3750</v>
      </c>
      <c r="B1258" s="1" t="str" cm="1">
        <f t="array" ref="B1258">IF(A1258="","",_xlfn.IFS(COUNTIF($U:$U,A1258)&gt;0,"All uploaded",COUNTIF($V:$V,A1258)&gt;0,"Partly uploaded",COUNTIF($W:$X,A1258)&gt;0,"Not uploaded",TRUE,"Not classified"))</f>
        <v>Not uploaded</v>
      </c>
      <c r="C1258" s="1" t="str" cm="1">
        <f t="array" ref="C1258">_xlfn.SWITCH(TRIM(I1258),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58" s="1"/>
      <c r="E1258" s="1"/>
      <c r="F1258" s="1" t="str" cm="1">
        <f t="array" ref="F1258">_xlfn.LET(
_xlpm.status,UPPER(TRIM(B1258&amp;"")),
_xlpm.risk,UPPER(TRIM(C1258&amp;"")),
_xlpm.notify,UPPER(TRIM(D1258&amp;"")),
_xlpm.form,UPPER(TRIM(E1258&amp;"")),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58" s="1" t="str">
        <f t="shared" si="19"/>
        <v>NA</v>
      </c>
      <c r="H1258" s="5"/>
      <c r="I1258" s="1" t="s">
        <v>23</v>
      </c>
      <c r="J1258" s="1"/>
      <c r="K1258" s="1" t="s">
        <v>3749</v>
      </c>
      <c r="L1258" s="1" t="s">
        <v>23</v>
      </c>
      <c r="M1258" s="1"/>
      <c r="N1258" s="1" t="s">
        <v>3751</v>
      </c>
      <c r="O1258" s="1" t="s">
        <v>19</v>
      </c>
      <c r="P1258" s="1" t="s">
        <v>18</v>
      </c>
      <c r="Q1258" s="1" t="s">
        <v>20</v>
      </c>
      <c r="R1258" s="1"/>
      <c r="S1258" s="1"/>
      <c r="T1258" s="1"/>
    </row>
    <row r="1259" spans="1:20">
      <c r="A1259" s="1" t="s">
        <v>3752</v>
      </c>
      <c r="B1259" s="1" t="str" cm="1">
        <f t="array" ref="B1259">IF(A1259="","",_xlfn.IFS(COUNTIF($U:$U,A1259)&gt;0,"All uploaded",COUNTIF($V:$V,A1259)&gt;0,"Partly uploaded",COUNTIF($W:$X,A1259)&gt;0,"Not uploaded",TRUE,"Not classified"))</f>
        <v>Not uploaded</v>
      </c>
      <c r="C1259" s="1" t="str" cm="1">
        <f t="array" ref="C1259">_xlfn.SWITCH(TRIM(I1259),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59" s="1"/>
      <c r="E1259" s="1"/>
      <c r="F1259" s="1" t="str" cm="1">
        <f t="array" ref="F1259">_xlfn.LET(
_xlpm.status,UPPER(TRIM(B1259&amp;"")),
_xlpm.risk,UPPER(TRIM(C1259&amp;"")),
_xlpm.notify,UPPER(TRIM(D1259&amp;"")),
_xlpm.form,UPPER(TRIM(E1259&amp;"")),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59" s="1" t="str">
        <f t="shared" si="19"/>
        <v>Required</v>
      </c>
      <c r="H1259" s="5"/>
      <c r="I1259" s="1" t="s">
        <v>25</v>
      </c>
      <c r="J1259" s="1"/>
      <c r="K1259" s="1" t="s">
        <v>3749</v>
      </c>
      <c r="L1259" s="1" t="s">
        <v>25</v>
      </c>
      <c r="M1259" s="1"/>
      <c r="N1259" s="1" t="s">
        <v>3753</v>
      </c>
      <c r="O1259" s="1" t="s">
        <v>19</v>
      </c>
      <c r="P1259" s="1" t="s">
        <v>18</v>
      </c>
      <c r="Q1259" s="1" t="s">
        <v>20</v>
      </c>
      <c r="R1259" s="1"/>
      <c r="S1259" s="1"/>
      <c r="T1259" s="1"/>
    </row>
    <row r="1260" spans="1:20">
      <c r="A1260" s="1" t="s">
        <v>3755</v>
      </c>
      <c r="B1260" s="1" t="str" cm="1">
        <f t="array" ref="B1260">IF(A1260="","",_xlfn.IFS(COUNTIF($U:$U,A1260)&gt;0,"All uploaded",COUNTIF($V:$V,A1260)&gt;0,"Partly uploaded",COUNTIF($W:$X,A1260)&gt;0,"Not uploaded",TRUE,"Not classified"))</f>
        <v>Not uploaded</v>
      </c>
      <c r="C1260" s="1" t="str" cm="1">
        <f t="array" ref="C1260">_xlfn.SWITCH(TRIM(I1260),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60" s="1"/>
      <c r="E1260" s="1"/>
      <c r="F1260" s="1" t="str" cm="1">
        <f t="array" ref="F1260">_xlfn.LET(
_xlpm.status,UPPER(TRIM(B1260&amp;"")),
_xlpm.risk,UPPER(TRIM(C1260&amp;"")),
_xlpm.notify,UPPER(TRIM(D1260&amp;"")),
_xlpm.form,UPPER(TRIM(E1260&amp;"")),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60" s="1" t="str">
        <f t="shared" si="19"/>
        <v>Required</v>
      </c>
      <c r="H1260" s="5"/>
      <c r="I1260" s="1" t="s">
        <v>27</v>
      </c>
      <c r="J1260" s="1"/>
      <c r="K1260" s="1" t="s">
        <v>3754</v>
      </c>
      <c r="L1260" s="1" t="s">
        <v>27</v>
      </c>
      <c r="M1260" s="1"/>
      <c r="N1260" s="1" t="s">
        <v>3756</v>
      </c>
      <c r="O1260" s="1" t="s">
        <v>19</v>
      </c>
      <c r="P1260" s="1" t="s">
        <v>18</v>
      </c>
      <c r="Q1260" s="1" t="s">
        <v>20</v>
      </c>
      <c r="R1260" s="1"/>
      <c r="S1260" s="1"/>
      <c r="T1260" s="1"/>
    </row>
    <row r="1261" spans="1:20">
      <c r="A1261" s="1" t="s">
        <v>3758</v>
      </c>
      <c r="B1261" s="1" t="str" cm="1">
        <f t="array" ref="B1261">IF(A1261="","",_xlfn.IFS(COUNTIF($U:$U,A1261)&gt;0,"All uploaded",COUNTIF($V:$V,A1261)&gt;0,"Partly uploaded",COUNTIF($W:$X,A1261)&gt;0,"Not uploaded",TRUE,"Not classified"))</f>
        <v>Not uploaded</v>
      </c>
      <c r="C1261" s="1" t="str" cm="1">
        <f t="array" ref="C1261">_xlfn.SWITCH(TRIM(I1261),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61" s="1"/>
      <c r="E1261" s="1"/>
      <c r="F1261" s="1" t="str" cm="1">
        <f t="array" ref="F1261">_xlfn.LET(
_xlpm.status,UPPER(TRIM(B1261&amp;"")),
_xlpm.risk,UPPER(TRIM(C1261&amp;"")),
_xlpm.notify,UPPER(TRIM(D1261&amp;"")),
_xlpm.form,UPPER(TRIM(E1261&amp;"")),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61" s="1" t="str">
        <f t="shared" si="19"/>
        <v>Required</v>
      </c>
      <c r="H1261" s="5"/>
      <c r="I1261" s="1" t="s">
        <v>33</v>
      </c>
      <c r="J1261" s="1"/>
      <c r="K1261" s="1" t="s">
        <v>3757</v>
      </c>
      <c r="L1261" s="1" t="s">
        <v>33</v>
      </c>
      <c r="M1261" s="1"/>
      <c r="N1261" s="1" t="s">
        <v>3759</v>
      </c>
      <c r="O1261" s="1" t="s">
        <v>19</v>
      </c>
      <c r="P1261" s="1" t="s">
        <v>18</v>
      </c>
      <c r="Q1261" s="1" t="s">
        <v>20</v>
      </c>
      <c r="R1261" s="1"/>
      <c r="S1261" s="1"/>
      <c r="T1261" s="1"/>
    </row>
    <row r="1262" spans="1:20">
      <c r="A1262" s="1" t="s">
        <v>3760</v>
      </c>
      <c r="B1262" s="1" t="str" cm="1">
        <f t="array" ref="B1262">IF(A1262="","",_xlfn.IFS(COUNTIF($U:$U,A1262)&gt;0,"All uploaded",COUNTIF($V:$V,A1262)&gt;0,"Partly uploaded",COUNTIF($W:$X,A1262)&gt;0,"Not uploaded",TRUE,"Not classified"))</f>
        <v>Not uploaded</v>
      </c>
      <c r="C1262" s="1" t="str" cm="1">
        <f t="array" ref="C1262">_xlfn.SWITCH(TRIM(I1262),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62" s="1"/>
      <c r="E1262" s="1"/>
      <c r="F1262" s="1" t="str" cm="1">
        <f t="array" ref="F1262">_xlfn.LET(
_xlpm.status,UPPER(TRIM(B1262&amp;"")),
_xlpm.risk,UPPER(TRIM(C1262&amp;"")),
_xlpm.notify,UPPER(TRIM(D1262&amp;"")),
_xlpm.form,UPPER(TRIM(E1262&amp;"")),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62" s="1" t="str">
        <f t="shared" si="19"/>
        <v>Required</v>
      </c>
      <c r="H1262" s="5"/>
      <c r="I1262" s="1" t="s">
        <v>27</v>
      </c>
      <c r="J1262" s="1"/>
      <c r="K1262" s="1" t="s">
        <v>3757</v>
      </c>
      <c r="L1262" s="1" t="s">
        <v>27</v>
      </c>
      <c r="M1262" s="1"/>
      <c r="N1262" s="1" t="s">
        <v>3761</v>
      </c>
      <c r="O1262" s="1" t="s">
        <v>19</v>
      </c>
      <c r="P1262" s="1" t="s">
        <v>18</v>
      </c>
      <c r="Q1262" s="1" t="s">
        <v>20</v>
      </c>
      <c r="R1262" s="1"/>
      <c r="S1262" s="1"/>
      <c r="T1262" s="1"/>
    </row>
    <row r="1263" spans="1:20">
      <c r="A1263" s="1" t="s">
        <v>3767</v>
      </c>
      <c r="B1263" s="1" t="str" cm="1">
        <f t="array" ref="B1263">IF(A1263="","",_xlfn.IFS(COUNTIF($U:$U,A1263)&gt;0,"All uploaded",COUNTIF($V:$V,A1263)&gt;0,"Partly uploaded",COUNTIF($W:$X,A1263)&gt;0,"Not uploaded",TRUE,"Not classified"))</f>
        <v>Not uploaded</v>
      </c>
      <c r="C1263" s="1" t="str" cm="1">
        <f t="array" ref="C1263">_xlfn.SWITCH(TRIM(I1263),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63" s="1"/>
      <c r="E1263" s="1"/>
      <c r="F1263" s="1" t="str" cm="1">
        <f t="array" ref="F1263">_xlfn.LET(
_xlpm.status,UPPER(TRIM(B1263&amp;"")),
_xlpm.risk,UPPER(TRIM(C1263&amp;"")),
_xlpm.notify,UPPER(TRIM(D1263&amp;"")),
_xlpm.form,UPPER(TRIM(E1263&amp;"")),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63" s="1" t="str">
        <f t="shared" si="19"/>
        <v>NA</v>
      </c>
      <c r="H1263" s="5"/>
      <c r="I1263" s="1" t="s">
        <v>22</v>
      </c>
      <c r="J1263" s="1"/>
      <c r="K1263" s="1" t="s">
        <v>3757</v>
      </c>
      <c r="L1263" s="1" t="s">
        <v>22</v>
      </c>
      <c r="M1263" s="1"/>
      <c r="N1263" s="1" t="s">
        <v>3768</v>
      </c>
      <c r="O1263" s="1" t="s">
        <v>19</v>
      </c>
      <c r="P1263" s="1" t="s">
        <v>18</v>
      </c>
      <c r="Q1263" s="1" t="s">
        <v>20</v>
      </c>
      <c r="R1263" s="1"/>
      <c r="S1263" s="1"/>
      <c r="T1263" s="1"/>
    </row>
    <row r="1264" spans="1:20">
      <c r="A1264" s="1" t="s">
        <v>3762</v>
      </c>
      <c r="B1264" s="1" t="str" cm="1">
        <f t="array" ref="B1264">IF(A1264="","",_xlfn.IFS(COUNTIF($U:$U,A1264)&gt;0,"All uploaded",COUNTIF($V:$V,A1264)&gt;0,"Partly uploaded",COUNTIF($W:$X,A1264)&gt;0,"Not uploaded",TRUE,"Not classified"))</f>
        <v>Partly uploaded</v>
      </c>
      <c r="C1264" s="1" t="str" cm="1">
        <f t="array" ref="C1264">_xlfn.SWITCH(TRIM(I1264),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64" s="1"/>
      <c r="E1264" s="1"/>
      <c r="F1264" s="1" t="str" cm="1">
        <f t="array" ref="F1264">_xlfn.LET(
_xlpm.status,UPPER(TRIM(B1264&amp;"")),
_xlpm.risk,UPPER(TRIM(C1264&amp;"")),
_xlpm.notify,UPPER(TRIM(D1264&amp;"")),
_xlpm.form,UPPER(TRIM(E1264&amp;"")),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64" s="1" t="str">
        <f t="shared" si="19"/>
        <v>NA</v>
      </c>
      <c r="H1264" s="5"/>
      <c r="I1264" s="1" t="s">
        <v>35</v>
      </c>
      <c r="J1264" s="1"/>
      <c r="K1264" s="1" t="s">
        <v>3757</v>
      </c>
      <c r="L1264" s="1" t="s">
        <v>35</v>
      </c>
      <c r="M1264" s="1"/>
      <c r="N1264" s="1" t="s">
        <v>3763</v>
      </c>
      <c r="O1264" s="1" t="s">
        <v>19</v>
      </c>
      <c r="P1264" s="1" t="s">
        <v>18</v>
      </c>
      <c r="Q1264" s="1" t="s">
        <v>20</v>
      </c>
      <c r="R1264" s="1"/>
      <c r="S1264" s="1"/>
      <c r="T1264" s="1"/>
    </row>
    <row r="1265" spans="1:20">
      <c r="A1265" s="1" t="s">
        <v>3152</v>
      </c>
      <c r="B1265" s="1" t="str" cm="1">
        <f t="array" ref="B1265">IF(A1265="","",_xlfn.IFS(COUNTIF($U:$U,A1265)&gt;0,"All uploaded",COUNTIF($V:$V,A1265)&gt;0,"Partly uploaded",COUNTIF($W:$X,A1265)&gt;0,"Not uploaded",TRUE,"Not classified"))</f>
        <v>Partly uploaded</v>
      </c>
      <c r="C1265" s="1" t="str" cm="1">
        <f t="array" ref="C1265">_xlfn.SWITCH(TRIM(I1265),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65" s="1"/>
      <c r="E1265" s="1"/>
      <c r="F1265" s="1" t="str" cm="1">
        <f t="array" ref="F1265">_xlfn.LET(
_xlpm.status,UPPER(TRIM(B1265&amp;"")),
_xlpm.risk,UPPER(TRIM(C1265&amp;"")),
_xlpm.notify,UPPER(TRIM(D1265&amp;"")),
_xlpm.form,UPPER(TRIM(E1265&amp;"")),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65" s="1" t="str">
        <f t="shared" si="19"/>
        <v>NA</v>
      </c>
      <c r="H1265" s="5"/>
      <c r="I1265" s="1" t="s">
        <v>22</v>
      </c>
      <c r="J1265" s="1"/>
      <c r="K1265" s="1" t="s">
        <v>3769</v>
      </c>
      <c r="L1265" s="1" t="s">
        <v>22</v>
      </c>
      <c r="M1265" s="1"/>
      <c r="N1265" s="1" t="s">
        <v>3153</v>
      </c>
      <c r="O1265" s="1" t="s">
        <v>19</v>
      </c>
      <c r="P1265" s="1" t="s">
        <v>18</v>
      </c>
      <c r="Q1265" s="1" t="s">
        <v>20</v>
      </c>
      <c r="R1265" s="1"/>
      <c r="S1265" s="1"/>
      <c r="T1265" s="1"/>
    </row>
    <row r="1266" spans="1:20">
      <c r="A1266" s="1" t="s">
        <v>3771</v>
      </c>
      <c r="B1266" s="1" t="str" cm="1">
        <f t="array" ref="B1266">IF(A1266="","",_xlfn.IFS(COUNTIF($U:$U,A1266)&gt;0,"All uploaded",COUNTIF($V:$V,A1266)&gt;0,"Partly uploaded",COUNTIF($W:$X,A1266)&gt;0,"Not uploaded",TRUE,"Not classified"))</f>
        <v>Not uploaded</v>
      </c>
      <c r="C1266" s="1" t="str" cm="1">
        <f t="array" ref="C1266">_xlfn.SWITCH(TRIM(I1266),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66" s="1"/>
      <c r="E1266" s="1"/>
      <c r="F1266" s="1" t="str" cm="1">
        <f t="array" ref="F1266">_xlfn.LET(
_xlpm.status,UPPER(TRIM(B1266&amp;"")),
_xlpm.risk,UPPER(TRIM(C1266&amp;"")),
_xlpm.notify,UPPER(TRIM(D1266&amp;"")),
_xlpm.form,UPPER(TRIM(E1266&amp;"")),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66" s="1" t="str">
        <f t="shared" si="19"/>
        <v>Required</v>
      </c>
      <c r="H1266" s="5"/>
      <c r="I1266" s="1" t="s">
        <v>27</v>
      </c>
      <c r="J1266" s="1"/>
      <c r="K1266" s="1" t="s">
        <v>3770</v>
      </c>
      <c r="L1266" s="1" t="s">
        <v>27</v>
      </c>
      <c r="M1266" s="1"/>
      <c r="N1266" s="1" t="s">
        <v>3772</v>
      </c>
      <c r="O1266" s="1" t="s">
        <v>19</v>
      </c>
      <c r="P1266" s="1" t="s">
        <v>18</v>
      </c>
      <c r="Q1266" s="1" t="s">
        <v>20</v>
      </c>
      <c r="R1266" s="1"/>
      <c r="S1266" s="1"/>
      <c r="T1266" s="1"/>
    </row>
    <row r="1267" spans="1:20">
      <c r="A1267" s="1" t="s">
        <v>3779</v>
      </c>
      <c r="B1267" s="1" t="str" cm="1">
        <f t="array" ref="B1267">IF(A1267="","",_xlfn.IFS(COUNTIF($U:$U,A1267)&gt;0,"All uploaded",COUNTIF($V:$V,A1267)&gt;0,"Partly uploaded",COUNTIF($W:$X,A1267)&gt;0,"Not uploaded",TRUE,"Not classified"))</f>
        <v>Not uploaded</v>
      </c>
      <c r="C1267" s="1" t="str" cm="1">
        <f t="array" ref="C1267">_xlfn.SWITCH(TRIM(I1267),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67" s="1"/>
      <c r="E1267" s="1"/>
      <c r="F1267" s="1" t="str" cm="1">
        <f t="array" ref="F1267">_xlfn.LET(
_xlpm.status,UPPER(TRIM(B1267&amp;"")),
_xlpm.risk,UPPER(TRIM(C1267&amp;"")),
_xlpm.notify,UPPER(TRIM(D1267&amp;"")),
_xlpm.form,UPPER(TRIM(E1267&amp;"")),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67" s="1" t="str">
        <f t="shared" si="19"/>
        <v>Required</v>
      </c>
      <c r="H1267" s="5"/>
      <c r="I1267" s="1" t="s">
        <v>27</v>
      </c>
      <c r="J1267" s="1"/>
      <c r="K1267" s="1" t="s">
        <v>3773</v>
      </c>
      <c r="L1267" s="1" t="s">
        <v>27</v>
      </c>
      <c r="M1267" s="1"/>
      <c r="N1267" s="1" t="s">
        <v>3780</v>
      </c>
      <c r="O1267" s="1" t="s">
        <v>19</v>
      </c>
      <c r="P1267" s="1" t="s">
        <v>18</v>
      </c>
      <c r="Q1267" s="1" t="s">
        <v>20</v>
      </c>
      <c r="R1267" s="1"/>
      <c r="S1267" s="1"/>
      <c r="T1267" s="1"/>
    </row>
    <row r="1268" spans="1:20">
      <c r="A1268" s="1" t="s">
        <v>3774</v>
      </c>
      <c r="B1268" s="1" t="str" cm="1">
        <f t="array" ref="B1268">IF(A1268="","",_xlfn.IFS(COUNTIF($U:$U,A1268)&gt;0,"All uploaded",COUNTIF($V:$V,A1268)&gt;0,"Partly uploaded",COUNTIF($W:$X,A1268)&gt;0,"Not uploaded",TRUE,"Not classified"))</f>
        <v>Partly uploaded</v>
      </c>
      <c r="C1268" s="1" t="str" cm="1">
        <f t="array" ref="C1268">_xlfn.SWITCH(TRIM(I1268),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68" s="1"/>
      <c r="E1268" s="1"/>
      <c r="F1268" s="1" t="str" cm="1">
        <f t="array" ref="F1268">_xlfn.LET(
_xlpm.status,UPPER(TRIM(B1268&amp;"")),
_xlpm.risk,UPPER(TRIM(C1268&amp;"")),
_xlpm.notify,UPPER(TRIM(D1268&amp;"")),
_xlpm.form,UPPER(TRIM(E1268&amp;"")),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68" s="1" t="str">
        <f t="shared" si="19"/>
        <v>NA</v>
      </c>
      <c r="H1268" s="5"/>
      <c r="I1268" s="1" t="s">
        <v>23</v>
      </c>
      <c r="J1268" s="1"/>
      <c r="K1268" s="1" t="s">
        <v>3773</v>
      </c>
      <c r="L1268" s="1" t="s">
        <v>23</v>
      </c>
      <c r="M1268" s="1"/>
      <c r="N1268" s="1" t="s">
        <v>3775</v>
      </c>
      <c r="O1268" s="1" t="s">
        <v>30</v>
      </c>
      <c r="P1268" s="1" t="s">
        <v>73</v>
      </c>
      <c r="Q1268" s="1" t="s">
        <v>74</v>
      </c>
      <c r="R1268" s="1"/>
      <c r="S1268" s="1"/>
      <c r="T1268" s="1"/>
    </row>
    <row r="1269" spans="1:20">
      <c r="A1269" s="1" t="s">
        <v>3783</v>
      </c>
      <c r="B1269" s="1" t="str" cm="1">
        <f t="array" ref="B1269">IF(A1269="","",_xlfn.IFS(COUNTIF($U:$U,A1269)&gt;0,"All uploaded",COUNTIF($V:$V,A1269)&gt;0,"Partly uploaded",COUNTIF($W:$X,A1269)&gt;0,"Not uploaded",TRUE,"Not classified"))</f>
        <v>Not uploaded</v>
      </c>
      <c r="C1269" s="1" t="str" cm="1">
        <f t="array" ref="C1269">_xlfn.SWITCH(TRIM(I1269),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69" s="1"/>
      <c r="E1269" s="1"/>
      <c r="F1269" s="1" t="str" cm="1">
        <f t="array" ref="F1269">_xlfn.LET(
_xlpm.status,UPPER(TRIM(B1269&amp;"")),
_xlpm.risk,UPPER(TRIM(C1269&amp;"")),
_xlpm.notify,UPPER(TRIM(D1269&amp;"")),
_xlpm.form,UPPER(TRIM(E1269&amp;"")),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69" s="1" t="str">
        <f t="shared" si="19"/>
        <v>Required</v>
      </c>
      <c r="H1269" s="5"/>
      <c r="I1269" s="1" t="s">
        <v>27</v>
      </c>
      <c r="J1269" s="1"/>
      <c r="K1269" s="1" t="s">
        <v>3782</v>
      </c>
      <c r="L1269" s="1" t="s">
        <v>27</v>
      </c>
      <c r="M1269" s="1"/>
      <c r="N1269" s="1" t="s">
        <v>3784</v>
      </c>
      <c r="O1269" s="1" t="s">
        <v>19</v>
      </c>
      <c r="P1269" s="1" t="s">
        <v>18</v>
      </c>
      <c r="Q1269" s="1" t="s">
        <v>20</v>
      </c>
      <c r="R1269" s="1"/>
      <c r="S1269" s="1"/>
      <c r="T1269" s="1"/>
    </row>
    <row r="1270" spans="1:20">
      <c r="A1270" s="1" t="s">
        <v>3786</v>
      </c>
      <c r="B1270" s="1" t="str" cm="1">
        <f t="array" ref="B1270">IF(A1270="","",_xlfn.IFS(COUNTIF($U:$U,A1270)&gt;0,"All uploaded",COUNTIF($V:$V,A1270)&gt;0,"Partly uploaded",COUNTIF($W:$X,A1270)&gt;0,"Not uploaded",TRUE,"Not classified"))</f>
        <v>Partly uploaded</v>
      </c>
      <c r="C1270" s="1" t="str" cm="1">
        <f t="array" ref="C1270">_xlfn.SWITCH(TRIM(I1270),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70" s="1"/>
      <c r="E1270" s="1"/>
      <c r="F1270" s="1" t="str" cm="1">
        <f t="array" ref="F1270">_xlfn.LET(
_xlpm.status,UPPER(TRIM(B1270&amp;"")),
_xlpm.risk,UPPER(TRIM(C1270&amp;"")),
_xlpm.notify,UPPER(TRIM(D1270&amp;"")),
_xlpm.form,UPPER(TRIM(E1270&amp;"")),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70" s="1" t="str">
        <f t="shared" si="19"/>
        <v>NA</v>
      </c>
      <c r="H1270" s="5"/>
      <c r="I1270" s="1" t="s">
        <v>23</v>
      </c>
      <c r="J1270" s="1"/>
      <c r="K1270" s="1" t="s">
        <v>3785</v>
      </c>
      <c r="L1270" s="1" t="s">
        <v>23</v>
      </c>
      <c r="M1270" s="1"/>
      <c r="N1270" s="1" t="s">
        <v>3463</v>
      </c>
      <c r="O1270" s="1" t="s">
        <v>19</v>
      </c>
      <c r="P1270" s="1" t="s">
        <v>18</v>
      </c>
      <c r="Q1270" s="1" t="s">
        <v>20</v>
      </c>
      <c r="R1270" s="1"/>
      <c r="S1270" s="1"/>
      <c r="T1270" s="1"/>
    </row>
    <row r="1271" spans="1:20">
      <c r="A1271" s="1" t="s">
        <v>3792</v>
      </c>
      <c r="B1271" s="1" t="str" cm="1">
        <f t="array" ref="B1271">IF(A1271="","",_xlfn.IFS(COUNTIF($U:$U,A1271)&gt;0,"All uploaded",COUNTIF($V:$V,A1271)&gt;0,"Partly uploaded",COUNTIF($W:$X,A1271)&gt;0,"Not uploaded",TRUE,"Not classified"))</f>
        <v>Not uploaded</v>
      </c>
      <c r="C1271" s="1" t="str" cm="1">
        <f t="array" ref="C1271">_xlfn.SWITCH(TRIM(I1271),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71" s="1"/>
      <c r="E1271" s="1"/>
      <c r="F1271" s="1" t="str" cm="1">
        <f t="array" ref="F1271">_xlfn.LET(
_xlpm.status,UPPER(TRIM(B1271&amp;"")),
_xlpm.risk,UPPER(TRIM(C1271&amp;"")),
_xlpm.notify,UPPER(TRIM(D1271&amp;"")),
_xlpm.form,UPPER(TRIM(E1271&amp;"")),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71" s="1" t="str">
        <f t="shared" si="19"/>
        <v>Required</v>
      </c>
      <c r="H1271" s="5"/>
      <c r="I1271" s="1" t="s">
        <v>25</v>
      </c>
      <c r="J1271" s="1"/>
      <c r="K1271" s="1" t="s">
        <v>3791</v>
      </c>
      <c r="L1271" s="1" t="s">
        <v>25</v>
      </c>
      <c r="M1271" s="1"/>
      <c r="N1271" s="1" t="s">
        <v>3793</v>
      </c>
      <c r="O1271" s="1" t="s">
        <v>19</v>
      </c>
      <c r="P1271" s="1" t="s">
        <v>18</v>
      </c>
      <c r="Q1271" s="1" t="s">
        <v>20</v>
      </c>
      <c r="R1271" s="1"/>
      <c r="S1271" s="1"/>
      <c r="T1271" s="1"/>
    </row>
    <row r="1272" spans="1:20">
      <c r="A1272" s="1" t="s">
        <v>3794</v>
      </c>
      <c r="B1272" s="1" t="str" cm="1">
        <f t="array" ref="B1272">IF(A1272="","",_xlfn.IFS(COUNTIF($U:$U,A1272)&gt;0,"All uploaded",COUNTIF($V:$V,A1272)&gt;0,"Partly uploaded",COUNTIF($W:$X,A1272)&gt;0,"Not uploaded",TRUE,"Not classified"))</f>
        <v>Not uploaded</v>
      </c>
      <c r="C1272" s="1" t="str" cm="1">
        <f t="array" ref="C1272">_xlfn.SWITCH(TRIM(I1272),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72" s="1"/>
      <c r="E1272" s="1"/>
      <c r="F1272" s="1" t="str" cm="1">
        <f t="array" ref="F1272">_xlfn.LET(
_xlpm.status,UPPER(TRIM(B1272&amp;"")),
_xlpm.risk,UPPER(TRIM(C1272&amp;"")),
_xlpm.notify,UPPER(TRIM(D1272&amp;"")),
_xlpm.form,UPPER(TRIM(E1272&amp;"")),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72" s="1" t="str">
        <f t="shared" si="19"/>
        <v>NA</v>
      </c>
      <c r="H1272" s="5"/>
      <c r="I1272" s="1" t="s">
        <v>22</v>
      </c>
      <c r="J1272" s="1"/>
      <c r="K1272" s="1" t="s">
        <v>3791</v>
      </c>
      <c r="L1272" s="1" t="s">
        <v>22</v>
      </c>
      <c r="M1272" s="1"/>
      <c r="N1272" s="1" t="s">
        <v>3795</v>
      </c>
      <c r="O1272" s="1" t="s">
        <v>19</v>
      </c>
      <c r="P1272" s="1" t="s">
        <v>18</v>
      </c>
      <c r="Q1272" s="1" t="s">
        <v>20</v>
      </c>
      <c r="R1272" s="1"/>
      <c r="S1272" s="1"/>
      <c r="T1272" s="1"/>
    </row>
    <row r="1273" spans="1:20">
      <c r="A1273" s="1" t="s">
        <v>3797</v>
      </c>
      <c r="B1273" s="1" t="str" cm="1">
        <f t="array" ref="B1273">IF(A1273="","",_xlfn.IFS(COUNTIF($U:$U,A1273)&gt;0,"All uploaded",COUNTIF($V:$V,A1273)&gt;0,"Partly uploaded",COUNTIF($W:$X,A1273)&gt;0,"Not uploaded",TRUE,"Not classified"))</f>
        <v>Not uploaded</v>
      </c>
      <c r="C1273" s="1" t="str" cm="1">
        <f t="array" ref="C1273">_xlfn.SWITCH(TRIM(I1273),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73" s="1"/>
      <c r="E1273" s="1"/>
      <c r="F1273" s="1" t="str" cm="1">
        <f t="array" ref="F1273">_xlfn.LET(
_xlpm.status,UPPER(TRIM(B1273&amp;"")),
_xlpm.risk,UPPER(TRIM(C1273&amp;"")),
_xlpm.notify,UPPER(TRIM(D1273&amp;"")),
_xlpm.form,UPPER(TRIM(E1273&amp;"")),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73" s="1" t="str">
        <f t="shared" si="19"/>
        <v>Required</v>
      </c>
      <c r="H1273" s="5"/>
      <c r="I1273" s="1" t="s">
        <v>25</v>
      </c>
      <c r="J1273" s="1"/>
      <c r="K1273" s="1" t="s">
        <v>3796</v>
      </c>
      <c r="L1273" s="1" t="s">
        <v>25</v>
      </c>
      <c r="M1273" s="1"/>
      <c r="N1273" s="1" t="s">
        <v>3798</v>
      </c>
      <c r="O1273" s="1" t="s">
        <v>19</v>
      </c>
      <c r="P1273" s="1" t="s">
        <v>18</v>
      </c>
      <c r="Q1273" s="1" t="s">
        <v>20</v>
      </c>
      <c r="R1273" s="1"/>
      <c r="S1273" s="1"/>
      <c r="T1273" s="1"/>
    </row>
    <row r="1274" spans="1:20">
      <c r="A1274" s="1" t="s">
        <v>3800</v>
      </c>
      <c r="B1274" s="1" t="str" cm="1">
        <f t="array" ref="B1274">IF(A1274="","",_xlfn.IFS(COUNTIF($U:$U,A1274)&gt;0,"All uploaded",COUNTIF($V:$V,A1274)&gt;0,"Partly uploaded",COUNTIF($W:$X,A1274)&gt;0,"Not uploaded",TRUE,"Not classified"))</f>
        <v>Partly uploaded</v>
      </c>
      <c r="C1274" s="1" t="str" cm="1">
        <f t="array" ref="C1274">_xlfn.SWITCH(TRIM(I1274),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74" s="1"/>
      <c r="E1274" s="1"/>
      <c r="F1274" s="1" t="str" cm="1">
        <f t="array" ref="F1274">_xlfn.LET(
_xlpm.status,UPPER(TRIM(B1274&amp;"")),
_xlpm.risk,UPPER(TRIM(C1274&amp;"")),
_xlpm.notify,UPPER(TRIM(D1274&amp;"")),
_xlpm.form,UPPER(TRIM(E1274&amp;"")),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74" s="1" t="str">
        <f t="shared" si="19"/>
        <v>NA</v>
      </c>
      <c r="H1274" s="5"/>
      <c r="I1274" s="1" t="s">
        <v>23</v>
      </c>
      <c r="J1274" s="1"/>
      <c r="K1274" s="1" t="s">
        <v>3799</v>
      </c>
      <c r="L1274" s="1" t="s">
        <v>23</v>
      </c>
      <c r="M1274" s="1"/>
      <c r="N1274" s="1" t="s">
        <v>3801</v>
      </c>
      <c r="O1274" s="1" t="s">
        <v>19</v>
      </c>
      <c r="P1274" s="1" t="s">
        <v>18</v>
      </c>
      <c r="Q1274" s="1" t="s">
        <v>20</v>
      </c>
      <c r="R1274" s="1"/>
      <c r="S1274" s="1"/>
      <c r="T1274" s="1"/>
    </row>
    <row r="1275" spans="1:20">
      <c r="A1275" s="1" t="s">
        <v>3812</v>
      </c>
      <c r="B1275" s="1" t="str" cm="1">
        <f t="array" ref="B1275">IF(A1275="","",_xlfn.IFS(COUNTIF($U:$U,A1275)&gt;0,"All uploaded",COUNTIF($V:$V,A1275)&gt;0,"Partly uploaded",COUNTIF($W:$X,A1275)&gt;0,"Not uploaded",TRUE,"Not classified"))</f>
        <v>Not uploaded</v>
      </c>
      <c r="C1275" s="1" t="str" cm="1">
        <f t="array" ref="C1275">_xlfn.SWITCH(TRIM(I1275),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75" s="1"/>
      <c r="E1275" s="1"/>
      <c r="F1275" s="1" t="str" cm="1">
        <f t="array" ref="F1275">_xlfn.LET(
_xlpm.status,UPPER(TRIM(B1275&amp;"")),
_xlpm.risk,UPPER(TRIM(C1275&amp;"")),
_xlpm.notify,UPPER(TRIM(D1275&amp;"")),
_xlpm.form,UPPER(TRIM(E1275&amp;"")),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75" s="1" t="str">
        <f t="shared" si="19"/>
        <v>NA</v>
      </c>
      <c r="H1275" s="5"/>
      <c r="I1275" s="1" t="s">
        <v>23</v>
      </c>
      <c r="J1275" s="1"/>
      <c r="K1275" s="1" t="s">
        <v>3806</v>
      </c>
      <c r="L1275" s="1" t="s">
        <v>23</v>
      </c>
      <c r="M1275" s="1"/>
      <c r="N1275" s="1" t="s">
        <v>3813</v>
      </c>
      <c r="O1275" s="1" t="s">
        <v>19</v>
      </c>
      <c r="P1275" s="1" t="s">
        <v>18</v>
      </c>
      <c r="Q1275" s="1" t="s">
        <v>20</v>
      </c>
      <c r="R1275" s="1"/>
      <c r="S1275" s="1"/>
      <c r="T1275" s="1"/>
    </row>
    <row r="1276" spans="1:20">
      <c r="A1276" s="1" t="s">
        <v>3814</v>
      </c>
      <c r="B1276" s="1" t="str" cm="1">
        <f t="array" ref="B1276">IF(A1276="","",_xlfn.IFS(COUNTIF($U:$U,A1276)&gt;0,"All uploaded",COUNTIF($V:$V,A1276)&gt;0,"Partly uploaded",COUNTIF($W:$X,A1276)&gt;0,"Not uploaded",TRUE,"Not classified"))</f>
        <v>Not uploaded</v>
      </c>
      <c r="C1276" s="1" t="str" cm="1">
        <f t="array" ref="C1276">_xlfn.SWITCH(TRIM(I1276),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76" s="1"/>
      <c r="E1276" s="1"/>
      <c r="F1276" s="1" t="str" cm="1">
        <f t="array" ref="F1276">_xlfn.LET(
_xlpm.status,UPPER(TRIM(B1276&amp;"")),
_xlpm.risk,UPPER(TRIM(C1276&amp;"")),
_xlpm.notify,UPPER(TRIM(D1276&amp;"")),
_xlpm.form,UPPER(TRIM(E1276&amp;"")),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76" s="1" t="str">
        <f t="shared" si="19"/>
        <v>NA</v>
      </c>
      <c r="H1276" s="5"/>
      <c r="I1276" s="1" t="s">
        <v>22</v>
      </c>
      <c r="J1276" s="1"/>
      <c r="K1276" s="1" t="s">
        <v>3806</v>
      </c>
      <c r="L1276" s="1" t="s">
        <v>22</v>
      </c>
      <c r="M1276" s="1"/>
      <c r="N1276" s="1" t="s">
        <v>3815</v>
      </c>
      <c r="O1276" s="1" t="s">
        <v>30</v>
      </c>
      <c r="P1276" s="1" t="s">
        <v>63</v>
      </c>
      <c r="Q1276" s="1" t="s">
        <v>3781</v>
      </c>
      <c r="R1276" s="1"/>
      <c r="S1276" s="1"/>
      <c r="T1276" s="1"/>
    </row>
    <row r="1277" spans="1:20">
      <c r="A1277" s="1" t="s">
        <v>3817</v>
      </c>
      <c r="B1277" s="1" t="str" cm="1">
        <f t="array" ref="B1277">IF(A1277="","",_xlfn.IFS(COUNTIF($U:$U,A1277)&gt;0,"All uploaded",COUNTIF($V:$V,A1277)&gt;0,"Partly uploaded",COUNTIF($W:$X,A1277)&gt;0,"Not uploaded",TRUE,"Not classified"))</f>
        <v>Not uploaded</v>
      </c>
      <c r="C1277" s="1" t="str" cm="1">
        <f t="array" ref="C1277">_xlfn.SWITCH(TRIM(I1277),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77" s="1"/>
      <c r="E1277" s="1"/>
      <c r="F1277" s="1" t="str" cm="1">
        <f t="array" ref="F1277">_xlfn.LET(
_xlpm.status,UPPER(TRIM(B1277&amp;"")),
_xlpm.risk,UPPER(TRIM(C1277&amp;"")),
_xlpm.notify,UPPER(TRIM(D1277&amp;"")),
_xlpm.form,UPPER(TRIM(E1277&amp;"")),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77" s="1" t="str">
        <f t="shared" si="19"/>
        <v>Required</v>
      </c>
      <c r="H1277" s="5"/>
      <c r="I1277" s="1" t="s">
        <v>33</v>
      </c>
      <c r="J1277" s="1"/>
      <c r="K1277" s="1" t="s">
        <v>3816</v>
      </c>
      <c r="L1277" s="1" t="s">
        <v>33</v>
      </c>
      <c r="M1277" s="1"/>
      <c r="N1277" s="1" t="s">
        <v>3818</v>
      </c>
      <c r="O1277" s="1" t="s">
        <v>19</v>
      </c>
      <c r="P1277" s="1" t="s">
        <v>18</v>
      </c>
      <c r="Q1277" s="1" t="s">
        <v>20</v>
      </c>
      <c r="R1277" s="1"/>
      <c r="S1277" s="1"/>
      <c r="T1277" s="1"/>
    </row>
    <row r="1278" spans="1:20">
      <c r="A1278" s="1" t="s">
        <v>3820</v>
      </c>
      <c r="B1278" s="1" t="str" cm="1">
        <f t="array" ref="B1278">IF(A1278="","",_xlfn.IFS(COUNTIF($U:$U,A1278)&gt;0,"All uploaded",COUNTIF($V:$V,A1278)&gt;0,"Partly uploaded",COUNTIF($W:$X,A1278)&gt;0,"Not uploaded",TRUE,"Not classified"))</f>
        <v>Not uploaded</v>
      </c>
      <c r="C1278" s="1" t="str" cm="1">
        <f t="array" ref="C1278">_xlfn.SWITCH(TRIM(I1278),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78" s="1"/>
      <c r="E1278" s="1"/>
      <c r="F1278" s="1" t="str" cm="1">
        <f t="array" ref="F1278">_xlfn.LET(
_xlpm.status,UPPER(TRIM(B1278&amp;"")),
_xlpm.risk,UPPER(TRIM(C1278&amp;"")),
_xlpm.notify,UPPER(TRIM(D1278&amp;"")),
_xlpm.form,UPPER(TRIM(E1278&amp;"")),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78" s="1" t="str">
        <f t="shared" si="19"/>
        <v>NA</v>
      </c>
      <c r="H1278" s="5"/>
      <c r="I1278" s="1" t="s">
        <v>23</v>
      </c>
      <c r="J1278" s="1"/>
      <c r="K1278" s="1" t="s">
        <v>3819</v>
      </c>
      <c r="L1278" s="1" t="s">
        <v>23</v>
      </c>
      <c r="M1278" s="1"/>
      <c r="N1278" s="1" t="s">
        <v>3821</v>
      </c>
      <c r="O1278" s="1" t="s">
        <v>19</v>
      </c>
      <c r="P1278" s="1" t="s">
        <v>18</v>
      </c>
      <c r="Q1278" s="1" t="s">
        <v>20</v>
      </c>
      <c r="R1278" s="1"/>
      <c r="S1278" s="1"/>
      <c r="T1278" s="1"/>
    </row>
    <row r="1279" spans="1:20">
      <c r="A1279" s="1" t="s">
        <v>3823</v>
      </c>
      <c r="B1279" s="1" t="str" cm="1">
        <f t="array" ref="B1279">IF(A1279="","",_xlfn.IFS(COUNTIF($U:$U,A1279)&gt;0,"All uploaded",COUNTIF($V:$V,A1279)&gt;0,"Partly uploaded",COUNTIF($W:$X,A1279)&gt;0,"Not uploaded",TRUE,"Not classified"))</f>
        <v>Not uploaded</v>
      </c>
      <c r="C1279" s="1" t="str" cm="1">
        <f t="array" ref="C1279">_xlfn.SWITCH(TRIM(I1279),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79" s="1"/>
      <c r="E1279" s="1"/>
      <c r="F1279" s="1" t="str" cm="1">
        <f t="array" ref="F1279">_xlfn.LET(
_xlpm.status,UPPER(TRIM(B1279&amp;"")),
_xlpm.risk,UPPER(TRIM(C1279&amp;"")),
_xlpm.notify,UPPER(TRIM(D1279&amp;"")),
_xlpm.form,UPPER(TRIM(E1279&amp;"")),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79" s="1" t="str">
        <f t="shared" si="19"/>
        <v>NA</v>
      </c>
      <c r="H1279" s="5"/>
      <c r="I1279" s="1" t="s">
        <v>48</v>
      </c>
      <c r="J1279" s="1"/>
      <c r="K1279" s="1" t="s">
        <v>3822</v>
      </c>
      <c r="L1279" s="1" t="s">
        <v>48</v>
      </c>
      <c r="M1279" s="1"/>
      <c r="N1279" s="1" t="s">
        <v>3604</v>
      </c>
      <c r="O1279" s="1" t="s">
        <v>19</v>
      </c>
      <c r="P1279" s="1" t="s">
        <v>18</v>
      </c>
      <c r="Q1279" s="1" t="s">
        <v>20</v>
      </c>
      <c r="R1279" s="1"/>
      <c r="S1279" s="1"/>
      <c r="T1279" s="1"/>
    </row>
    <row r="1280" spans="1:20">
      <c r="A1280" s="1" t="s">
        <v>3824</v>
      </c>
      <c r="B1280" s="1" t="str" cm="1">
        <f t="array" ref="B1280">IF(A1280="","",_xlfn.IFS(COUNTIF($U:$U,A1280)&gt;0,"All uploaded",COUNTIF($V:$V,A1280)&gt;0,"Partly uploaded",COUNTIF($W:$X,A1280)&gt;0,"Not uploaded",TRUE,"Not classified"))</f>
        <v>Not uploaded</v>
      </c>
      <c r="C1280" s="1" t="str" cm="1">
        <f t="array" ref="C1280">_xlfn.SWITCH(TRIM(I1280),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80" s="1"/>
      <c r="E1280" s="1"/>
      <c r="F1280" s="1" t="str" cm="1">
        <f t="array" ref="F1280">_xlfn.LET(
_xlpm.status,UPPER(TRIM(B1280&amp;"")),
_xlpm.risk,UPPER(TRIM(C1280&amp;"")),
_xlpm.notify,UPPER(TRIM(D1280&amp;"")),
_xlpm.form,UPPER(TRIM(E1280&amp;"")),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80" s="1" t="str">
        <f t="shared" si="19"/>
        <v>NA</v>
      </c>
      <c r="H1280" s="5"/>
      <c r="I1280" s="1" t="s">
        <v>22</v>
      </c>
      <c r="J1280" s="1"/>
      <c r="K1280" s="1" t="s">
        <v>3822</v>
      </c>
      <c r="L1280" s="1" t="s">
        <v>22</v>
      </c>
      <c r="M1280" s="1"/>
      <c r="N1280" s="1" t="s">
        <v>3825</v>
      </c>
      <c r="O1280" s="1" t="s">
        <v>19</v>
      </c>
      <c r="P1280" s="1" t="s">
        <v>18</v>
      </c>
      <c r="Q1280" s="1" t="s">
        <v>20</v>
      </c>
      <c r="R1280" s="1"/>
      <c r="S1280" s="1"/>
      <c r="T1280" s="1"/>
    </row>
    <row r="1281" spans="1:20">
      <c r="A1281" s="1" t="s">
        <v>3826</v>
      </c>
      <c r="B1281" s="1" t="str" cm="1">
        <f t="array" ref="B1281">IF(A1281="","",_xlfn.IFS(COUNTIF($U:$U,A1281)&gt;0,"All uploaded",COUNTIF($V:$V,A1281)&gt;0,"Partly uploaded",COUNTIF($W:$X,A1281)&gt;0,"Not uploaded",TRUE,"Not classified"))</f>
        <v>Not uploaded</v>
      </c>
      <c r="C1281" s="1" t="str" cm="1">
        <f t="array" ref="C1281">_xlfn.SWITCH(TRIM(I1281),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81" s="1"/>
      <c r="E1281" s="1"/>
      <c r="F1281" s="1" t="str" cm="1">
        <f t="array" ref="F1281">_xlfn.LET(
_xlpm.status,UPPER(TRIM(B1281&amp;"")),
_xlpm.risk,UPPER(TRIM(C1281&amp;"")),
_xlpm.notify,UPPER(TRIM(D1281&amp;"")),
_xlpm.form,UPPER(TRIM(E1281&amp;"")),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81" s="1" t="str">
        <f t="shared" ref="G1281:G1286" si="20">IF(AND(UPPER(TRIM(C1281&amp;""))="MAJOR",OR(TRIM(D1281&amp;"")="",UPPER(TRIM(E1281&amp;""))="REJECT")),"Required","NA")</f>
        <v>Required</v>
      </c>
      <c r="H1281" s="5"/>
      <c r="I1281" s="1" t="s">
        <v>10</v>
      </c>
      <c r="J1281" s="1"/>
      <c r="K1281" s="1" t="s">
        <v>3822</v>
      </c>
      <c r="L1281" s="1" t="s">
        <v>10</v>
      </c>
      <c r="M1281" s="1"/>
      <c r="N1281" s="1" t="s">
        <v>2707</v>
      </c>
      <c r="O1281" s="1" t="s">
        <v>19</v>
      </c>
      <c r="P1281" s="1" t="s">
        <v>18</v>
      </c>
      <c r="Q1281" s="1" t="s">
        <v>20</v>
      </c>
      <c r="R1281" s="1"/>
      <c r="S1281" s="1"/>
      <c r="T1281" s="1"/>
    </row>
    <row r="1282" spans="1:20">
      <c r="A1282" s="1" t="s">
        <v>3828</v>
      </c>
      <c r="B1282" s="1" t="str" cm="1">
        <f t="array" ref="B1282">IF(A1282="","",_xlfn.IFS(COUNTIF($U:$U,A1282)&gt;0,"All uploaded",COUNTIF($V:$V,A1282)&gt;0,"Partly uploaded",COUNTIF($W:$X,A1282)&gt;0,"Not uploaded",TRUE,"Not classified"))</f>
        <v>Not uploaded</v>
      </c>
      <c r="C1282" s="1" t="str" cm="1">
        <f t="array" ref="C1282">_xlfn.SWITCH(TRIM(I1282),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82" s="1"/>
      <c r="E1282" s="1"/>
      <c r="F1282" s="1" t="str" cm="1">
        <f t="array" ref="F1282">_xlfn.LET(
_xlpm.status,UPPER(TRIM(B1282&amp;"")),
_xlpm.risk,UPPER(TRIM(C1282&amp;"")),
_xlpm.notify,UPPER(TRIM(D1282&amp;"")),
_xlpm.form,UPPER(TRIM(E1282&amp;"")),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82" s="1" t="str">
        <f t="shared" si="20"/>
        <v>Required</v>
      </c>
      <c r="H1282" s="5"/>
      <c r="I1282" s="1" t="s">
        <v>27</v>
      </c>
      <c r="J1282" s="1"/>
      <c r="K1282" s="1" t="s">
        <v>3827</v>
      </c>
      <c r="L1282" s="1" t="s">
        <v>27</v>
      </c>
      <c r="M1282" s="1"/>
      <c r="N1282" s="1" t="s">
        <v>3829</v>
      </c>
      <c r="O1282" s="1" t="s">
        <v>19</v>
      </c>
      <c r="P1282" s="1" t="s">
        <v>18</v>
      </c>
      <c r="Q1282" s="1" t="s">
        <v>20</v>
      </c>
      <c r="R1282" s="1"/>
      <c r="S1282" s="1"/>
      <c r="T1282" s="1"/>
    </row>
    <row r="1283" spans="1:20">
      <c r="A1283" s="1" t="s">
        <v>3831</v>
      </c>
      <c r="B1283" s="1" t="str" cm="1">
        <f t="array" ref="B1283">IF(A1283="","",_xlfn.IFS(COUNTIF($U:$U,A1283)&gt;0,"All uploaded",COUNTIF($V:$V,A1283)&gt;0,"Partly uploaded",COUNTIF($W:$X,A1283)&gt;0,"Not uploaded",TRUE,"Not classified"))</f>
        <v>Not uploaded</v>
      </c>
      <c r="C1283" s="1" t="str" cm="1">
        <f t="array" ref="C1283">_xlfn.SWITCH(TRIM(I1283),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83" s="1"/>
      <c r="E1283" s="1"/>
      <c r="F1283" s="1" t="str" cm="1">
        <f t="array" ref="F1283">_xlfn.LET(
_xlpm.status,UPPER(TRIM(B1283&amp;"")),
_xlpm.risk,UPPER(TRIM(C1283&amp;"")),
_xlpm.notify,UPPER(TRIM(D1283&amp;"")),
_xlpm.form,UPPER(TRIM(E1283&amp;"")),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83" s="1" t="str">
        <f t="shared" si="20"/>
        <v>NA</v>
      </c>
      <c r="H1283" s="5"/>
      <c r="I1283" s="1" t="s">
        <v>22</v>
      </c>
      <c r="J1283" s="1"/>
      <c r="K1283" s="1" t="s">
        <v>3830</v>
      </c>
      <c r="L1283" s="1" t="s">
        <v>22</v>
      </c>
      <c r="M1283" s="1"/>
      <c r="N1283" s="1" t="s">
        <v>3832</v>
      </c>
      <c r="O1283" s="1" t="s">
        <v>19</v>
      </c>
      <c r="P1283" s="1" t="s">
        <v>18</v>
      </c>
      <c r="Q1283" s="1" t="s">
        <v>20</v>
      </c>
      <c r="R1283" s="1"/>
      <c r="S1283" s="1"/>
      <c r="T1283" s="1"/>
    </row>
    <row r="1284" spans="1:20">
      <c r="A1284" s="1" t="s">
        <v>3833</v>
      </c>
      <c r="B1284" s="1" t="str" cm="1">
        <f t="array" ref="B1284">IF(A1284="","",_xlfn.IFS(COUNTIF($U:$U,A1284)&gt;0,"All uploaded",COUNTIF($V:$V,A1284)&gt;0,"Partly uploaded",COUNTIF($W:$X,A1284)&gt;0,"Not uploaded",TRUE,"Not classified"))</f>
        <v>Not uploaded</v>
      </c>
      <c r="C1284" s="1" t="str" cm="1">
        <f t="array" ref="C1284">_xlfn.SWITCH(TRIM(I1284),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84" s="1"/>
      <c r="E1284" s="1"/>
      <c r="F1284" s="1" t="str" cm="1">
        <f t="array" ref="F1284">_xlfn.LET(
_xlpm.status,UPPER(TRIM(B1284&amp;"")),
_xlpm.risk,UPPER(TRIM(C1284&amp;"")),
_xlpm.notify,UPPER(TRIM(D1284&amp;"")),
_xlpm.form,UPPER(TRIM(E1284&amp;"")),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84" s="1" t="str">
        <f t="shared" si="20"/>
        <v>Required</v>
      </c>
      <c r="H1284" s="5"/>
      <c r="I1284" s="1" t="s">
        <v>27</v>
      </c>
      <c r="J1284" s="1"/>
      <c r="K1284" s="1" t="s">
        <v>3830</v>
      </c>
      <c r="L1284" s="1" t="s">
        <v>27</v>
      </c>
      <c r="M1284" s="1"/>
      <c r="N1284" s="1" t="s">
        <v>3834</v>
      </c>
      <c r="O1284" s="1" t="s">
        <v>19</v>
      </c>
      <c r="P1284" s="1" t="s">
        <v>18</v>
      </c>
      <c r="Q1284" s="1" t="s">
        <v>20</v>
      </c>
      <c r="R1284" s="1"/>
      <c r="S1284" s="1"/>
      <c r="T1284" s="1"/>
    </row>
    <row r="1285" spans="1:20">
      <c r="A1285" s="1" t="s">
        <v>3835</v>
      </c>
      <c r="B1285" s="1" t="str" cm="1">
        <f t="array" ref="B1285">IF(A1285="","",_xlfn.IFS(COUNTIF($U:$U,A1285)&gt;0,"All uploaded",COUNTIF($V:$V,A1285)&gt;0,"Partly uploaded",COUNTIF($W:$X,A1285)&gt;0,"Not uploaded",TRUE,"Not classified"))</f>
        <v>Not uploaded</v>
      </c>
      <c r="C1285" s="1" t="str" cm="1">
        <f t="array" ref="C1285">_xlfn.SWITCH(TRIM(I1285),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major</v>
      </c>
      <c r="D1285" s="1"/>
      <c r="E1285" s="1"/>
      <c r="F1285" s="1" t="str" cm="1">
        <f t="array" ref="F1285">_xlfn.LET(
_xlpm.status,UPPER(TRIM(B1285&amp;"")),
_xlpm.risk,UPPER(TRIM(C1285&amp;"")),
_xlpm.notify,UPPER(TRIM(D1285&amp;"")),
_xlpm.form,UPPER(TRIM(E1285&amp;"")),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85" s="1" t="str">
        <f t="shared" si="20"/>
        <v>Required</v>
      </c>
      <c r="H1285" s="5"/>
      <c r="I1285" s="1" t="s">
        <v>27</v>
      </c>
      <c r="J1285" s="1"/>
      <c r="K1285" s="1" t="s">
        <v>3830</v>
      </c>
      <c r="L1285" s="1" t="s">
        <v>27</v>
      </c>
      <c r="M1285" s="1"/>
      <c r="N1285" s="1" t="s">
        <v>3836</v>
      </c>
      <c r="O1285" s="1" t="s">
        <v>19</v>
      </c>
      <c r="P1285" s="1" t="s">
        <v>18</v>
      </c>
      <c r="Q1285" s="1" t="s">
        <v>20</v>
      </c>
      <c r="R1285" s="1"/>
      <c r="S1285" s="1"/>
      <c r="T1285" s="1"/>
    </row>
    <row r="1286" spans="1:20">
      <c r="A1286" s="1" t="s">
        <v>3842</v>
      </c>
      <c r="B1286" s="1" t="str" cm="1">
        <f t="array" ref="B1286">IF(A1286="","",_xlfn.IFS(COUNTIF($U:$U,A1286)&gt;0,"All uploaded",COUNTIF($V:$V,A1286)&gt;0,"Partly uploaded",COUNTIF($W:$X,A1286)&gt;0,"Not uploaded",TRUE,"Not classified"))</f>
        <v>Not uploaded</v>
      </c>
      <c r="C1286" s="1" t="str" cm="1">
        <f t="array" ref="C1286">_xlfn.SWITCH(TRIM(I1286),
"Assembly","minor",
"Assembly, Packing / Shipping","minor",
"Data Sheet Change","major",
"Product Obsolescence/End Of Life","EOL",
"Assembly, Design, Packing / Shipping, Wafer Fab Site","major",
"Assembly, Design, Wafer Fab Site","major",
"Wafer Fab Site","major",
"Assembly, Test","minor",
"Packing / Shipping","minor",
"Assembly, Assembly Site, Wafer Fab Site","major",
"Assembly, Data Sheet Change, Design, Wafer Fab Site","major",
"Assembly, Data Sheet Change, Design, Test, Wafer Fab Site","major",
"Test, Wafer Fab Site","major",
"Assembly, Design, Test","major",
"Design, Wafer Fab Site","major",
"Wafer Fab Process","major",
"Assembly, Design","major",
"Assembly, Data Sheet Change, Design","major",
"Assembly, Design, Test, Wafer Fab Site","major",
"Assembly, Data Sheet Change, Design, Test","major",
"Test","minor",
"Assembly, Design, Wafer Fab Process, Wafer Fab Site","major",
"End of Life","EOL",
"Informational","minor",
"Fab and Assembly/Test Sites","major",
"Fab Site","major",
"Cu","minor",
"Test Site","minor",
"Data Sheet","major",
"Material","major",
"Assembly Site","minor",
"uBOM","minor",
"Die Revision","major",
"Packing","minor",
"Package Marking","minor",
"review")</f>
        <v>minor</v>
      </c>
      <c r="D1286" s="1"/>
      <c r="E1286" s="1"/>
      <c r="F1286" s="1" t="str" cm="1">
        <f t="array" ref="F1286">_xlfn.LET(
_xlpm.status,UPPER(TRIM(B1286&amp;"")),
_xlpm.risk,UPPER(TRIM(C1286&amp;"")),
_xlpm.notify,UPPER(TRIM(D1286&amp;"")),
_xlpm.form,UPPER(TRIM(E1286&amp;"")),
_xlfn.IFS(
OR(_xlpm.status="EOL",_xlpm.risk="EOL"),"EOL",
_xlpm.status="NOT UPLOADED","TI not uploaded",
AND(_xlpm.status="PARTLY UPLOADED",_xlpm.notify=""),"TI not uploaded",
_xlpm.form="COMPLETE","Delta processing completed",
_xlpm.form="CANCEL","Delta processing canceled",
AND(_xlpm.form="PROCESSING",_xlpm.notify="MAJOR"),"Delta not yet processed for unknown reason",
AND(_xlpm.form="PROCESSING",_xlpm.notify="MINOR",_xlpm.risk="MAJOR"),"Delta not yet processed with potentially wrong risk level",
_xlpm.form="PROCESSING","Delta not yet processed for unknown reason",
AND(_xlpm.form="REJECT",_xlpm.risk=_xlpm.notify),"Delta rejected for unknown reason",
AND(_xlpm.form="REJECT",_xlpm.notify="MAJOR"),"Delta rejected for unknown reason",
AND(_xlpm.form="REJECT",_xlpm.notify="MINOR",_xlpm.risk="MAJOR"),"Delta rejected with potentially wrong risk level",
TRUE,"Needs manual review"
))</f>
        <v>TI not uploaded</v>
      </c>
      <c r="G1286" s="1" t="str">
        <f t="shared" si="20"/>
        <v>NA</v>
      </c>
      <c r="H1286" s="5"/>
      <c r="I1286" s="1" t="s">
        <v>22</v>
      </c>
      <c r="J1286" s="1"/>
      <c r="K1286" s="1" t="s">
        <v>3830</v>
      </c>
      <c r="L1286" s="1" t="s">
        <v>22</v>
      </c>
      <c r="M1286" s="1"/>
      <c r="N1286" s="1" t="s">
        <v>481</v>
      </c>
      <c r="O1286" s="1" t="s">
        <v>19</v>
      </c>
      <c r="P1286" s="1" t="s">
        <v>18</v>
      </c>
      <c r="Q1286" s="1" t="s">
        <v>20</v>
      </c>
      <c r="R1286" s="1"/>
      <c r="S1286" s="1"/>
      <c r="T1286" s="1"/>
    </row>
    <row r="1288" spans="1:20">
      <c r="A1288" s="35" t="s">
        <v>3862</v>
      </c>
      <c r="B1288" s="18" t="s">
        <v>3861</v>
      </c>
    </row>
    <row r="1289" spans="1:20">
      <c r="A1289" s="36" t="str" cm="1">
        <f t="array" ref="A1289:B1296">_xlfn.LET(_xlpm.items,_xlfn.VSTACK("EOL","TI not uploaded","Delta processing completed","Delta processing canceled","Delta not yet processed for unknown reason","Delta not yet processed with potentially wrong risk level","Delta rejected for unknown reason","Delta rejected with potentially wrong risk level"),_xlfn.HSTACK(_xlpm.items,COUNTIF($F$2:$F$1286,_xlpm.items)))</f>
        <v>EOL</v>
      </c>
      <c r="B1289" s="19">
        <v>83</v>
      </c>
    </row>
    <row r="1290" spans="1:20">
      <c r="A1290" s="35" t="str">
        <v>TI not uploaded</v>
      </c>
      <c r="B1290" s="19">
        <v>637</v>
      </c>
    </row>
    <row r="1291" spans="1:20">
      <c r="A1291" s="35" t="str">
        <v>Delta processing completed</v>
      </c>
      <c r="B1291" s="19">
        <v>80</v>
      </c>
    </row>
    <row r="1292" spans="1:20">
      <c r="A1292" s="35" t="str">
        <v>Delta processing canceled</v>
      </c>
      <c r="B1292" s="19">
        <v>3</v>
      </c>
    </row>
    <row r="1293" spans="1:20">
      <c r="A1293" s="6" t="str">
        <v>Delta not yet processed for unknown reason</v>
      </c>
      <c r="B1293" s="19">
        <v>117</v>
      </c>
    </row>
    <row r="1294" spans="1:20">
      <c r="A1294" s="35" t="str">
        <v>Delta not yet processed with potentially wrong risk level</v>
      </c>
      <c r="B1294" s="22">
        <v>17</v>
      </c>
    </row>
    <row r="1295" spans="1:20">
      <c r="A1295" s="35" t="str">
        <v>Delta rejected for unknown reason</v>
      </c>
      <c r="B1295" s="19">
        <v>194</v>
      </c>
    </row>
    <row r="1296" spans="1:20">
      <c r="A1296" s="35" t="str">
        <v>Delta rejected with potentially wrong risk level</v>
      </c>
      <c r="B1296" s="19">
        <v>154</v>
      </c>
    </row>
    <row r="1297" spans="1:4">
      <c r="A1297" s="20"/>
      <c r="B1297" s="21">
        <f>SUM(B1289:B1296)</f>
        <v>1285</v>
      </c>
    </row>
    <row r="1299" spans="1:4">
      <c r="A1299" s="48"/>
      <c r="B1299" s="48"/>
      <c r="C1299" s="48"/>
      <c r="D1299" s="48"/>
    </row>
  </sheetData>
  <autoFilter ref="A1:T1286" xr:uid="{00000000-0009-0000-0000-000001000000}"/>
  <phoneticPr fontId="4" type="noConversion"/>
  <conditionalFormatting sqref="A1:B1288 A1290:A1292 A1295:A1296 A1297:B1298 A1311:B1048576">
    <cfRule type="expression" dxfId="37" priority="50">
      <formula>AND($A1&lt;&gt;"",COUNTIF($W:$W,$A1)&gt;0)</formula>
    </cfRule>
    <cfRule type="expression" dxfId="36" priority="49">
      <formula>AND($A1&lt;&gt;"",COUNTIF($U:$U,$A1)&gt;0)</formula>
    </cfRule>
    <cfRule type="expression" dxfId="35" priority="48">
      <formula>AND($A1&lt;&gt;"",COUNTIF($V:$V,$A1)&gt;0)</formula>
    </cfRule>
  </conditionalFormatting>
  <conditionalFormatting sqref="C1:C1286 I1:I1286 L1:M1286">
    <cfRule type="cellIs" dxfId="34" priority="25" operator="equal">
      <formula>"NOT REQUIRED"</formula>
    </cfRule>
    <cfRule type="cellIs" dxfId="33" priority="24" operator="equal">
      <formula>"ASSUMED PREVIOUSLY UPLOADED"</formula>
    </cfRule>
    <cfRule type="cellIs" dxfId="30" priority="35" operator="equal">
      <formula>"FALSE"</formula>
    </cfRule>
    <cfRule type="cellIs" dxfId="29" priority="34" operator="equal">
      <formula>"TRUE"</formula>
    </cfRule>
    <cfRule type="cellIs" dxfId="28" priority="27" operator="equal">
      <formula>"MANUAL REVIEW"</formula>
    </cfRule>
    <cfRule type="cellIs" dxfId="27" priority="26" operator="equal">
      <formula>"REQUIRED"</formula>
    </cfRule>
  </conditionalFormatting>
  <conditionalFormatting sqref="C1:C1286 I1:I1286">
    <cfRule type="cellIs" dxfId="24" priority="16" operator="equal">
      <formula>""</formula>
    </cfRule>
  </conditionalFormatting>
  <conditionalFormatting sqref="C1:C1286">
    <cfRule type="cellIs" dxfId="23" priority="28" operator="equal">
      <formula>"MAJOR_D"</formula>
    </cfRule>
    <cfRule type="cellIs" dxfId="22" priority="31" operator="equal">
      <formula>"EOL"</formula>
    </cfRule>
  </conditionalFormatting>
  <conditionalFormatting sqref="C2:C1286 I2:I1286 L2:N1286">
    <cfRule type="expression" dxfId="20" priority="36">
      <formula>OR(ISNUMBER(SEARCH("MISMATCH",C2)),ISNUMBER(SEARCH("MISSING",C2)),ISNUMBER(SEARCH("UNMAPPED",C2)),ISNUMBER(SEARCH("CORRECT",C2)))</formula>
    </cfRule>
    <cfRule type="expression" dxfId="19" priority="46">
      <formula>OR(ISNUMBER(SEARCH("REVIEW",C2)),ISNUMBER(SEARCH("NOT LISTED",C2)),ISNUMBER(SEARCH("PARTIALLY",C2)),ISNUMBER(SEARCH("OBTAIN",C2)))</formula>
    </cfRule>
    <cfRule type="expression" dxfId="18" priority="47">
      <formula>OR(C2="MATCH",C2="FULLY MAPPED",C2="EXACT MATERIAL MATCH",C2="NONE")</formula>
    </cfRule>
  </conditionalFormatting>
  <conditionalFormatting sqref="C2:C1286 I2:I1286">
    <cfRule type="expression" dxfId="17" priority="37">
      <formula>OR(ISNUMBER(SEARCH("REVIEW",C2)),ISNUMBER(SEARCH("NOT LISTED",C2)),ISNUMBER(SEARCH("PARTIALLY",C2)),ISNUMBER(SEARCH("OBTAIN",C2)))</formula>
    </cfRule>
    <cfRule type="expression" dxfId="16" priority="38">
      <formula>OR(C2="MATCH",C2="FULLY MAPPED",C2="EXACT MATERIAL MATCH",C2="NONE")</formula>
    </cfRule>
    <cfRule type="expression" dxfId="15" priority="45">
      <formula>OR(ISNUMBER(SEARCH("MISMATCH",C2)),ISNUMBER(SEARCH("MISSING",C2)),ISNUMBER(SEARCH("UNMAPPED",C2)),ISNUMBER(SEARCH("CORRECT",C2)))</formula>
    </cfRule>
  </conditionalFormatting>
  <conditionalFormatting sqref="C1:D1286">
    <cfRule type="cellIs" dxfId="14" priority="15" operator="equal">
      <formula>"MINOR"</formula>
    </cfRule>
    <cfRule type="cellIs" dxfId="13" priority="14" operator="equal">
      <formula>"MAJOR"</formula>
    </cfRule>
  </conditionalFormatting>
  <conditionalFormatting sqref="D1:D1286">
    <cfRule type="cellIs" dxfId="12" priority="10" operator="equal">
      <formula>""</formula>
    </cfRule>
  </conditionalFormatting>
  <conditionalFormatting sqref="E1:E1048576">
    <cfRule type="cellIs" dxfId="11" priority="23" operator="equal">
      <formula>"REJECT"</formula>
    </cfRule>
    <cfRule type="cellIs" dxfId="10" priority="22" operator="equal">
      <formula>"COMPLETE"</formula>
    </cfRule>
    <cfRule type="cellIs" dxfId="9" priority="21" operator="equal">
      <formula>"PROCESSING"</formula>
    </cfRule>
    <cfRule type="cellIs" dxfId="8" priority="20" operator="equal">
      <formula>"CANCEL"</formula>
    </cfRule>
  </conditionalFormatting>
  <conditionalFormatting sqref="E2:E1286">
    <cfRule type="cellIs" dxfId="7" priority="9" operator="equal">
      <formula>""</formula>
    </cfRule>
  </conditionalFormatting>
  <pageMargins left="0.75" right="0.75" top="1" bottom="1" header="0.5" footer="0.5"/>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3" operator="containsText" id="{8B8E284C-0CD2-4566-8930-F91E6266B08E}">
            <xm:f>NOT(ISERROR(SEARCH("AVAILABLE",C1)))</xm:f>
            <xm:f>"AVAILABLE"</xm:f>
            <x14:dxf>
              <fill>
                <patternFill>
                  <bgColor rgb="FF99FF66"/>
                </patternFill>
              </fill>
            </x14:dxf>
          </x14:cfRule>
          <x14:cfRule type="containsText" priority="8" operator="containsText" id="{88CA3C68-F314-4D84-BD6C-B837EB087792}">
            <xm:f>NOT(ISERROR(SEARCH("MANUALLY CLASSIFY",C1)))</xm:f>
            <xm:f>"MANUALLY CLASSIFY"</xm:f>
            <x14:dxf>
              <fill>
                <patternFill>
                  <bgColor rgb="FF66CCFF"/>
                </patternFill>
              </fill>
            </x14:dxf>
          </x14:cfRule>
          <x14:cfRule type="containsText" priority="11" operator="containsText" id="{5DEBCE3B-E77E-424D-9561-166A01C66198}">
            <xm:f>NOT(ISERROR(SEARCH("NONE — VERIFY HISTORICAL RA IF AUDITED",C1)))</xm:f>
            <xm:f>"NONE — VERIFY HISTORICAL RA IF AUDITED"</xm:f>
            <x14:dxf>
              <fill>
                <patternFill>
                  <bgColor rgb="FFCCFFFF"/>
                </patternFill>
              </fill>
            </x14:dxf>
          </x14:cfRule>
          <x14:cfRule type="containsText" priority="12" operator="containsText" id="{9A413333-4BBF-41A8-A8F5-97F85BB7E31A}">
            <xm:f>NOT(ISERROR(SEARCH("UPLOAD / RESUBMIT MAPPED RA",C1)))</xm:f>
            <xm:f>"UPLOAD / RESUBMIT MAPPED RA"</xm:f>
            <x14:dxf>
              <fill>
                <patternFill>
                  <bgColor rgb="FFFFFF00"/>
                </patternFill>
              </fill>
            </x14:dxf>
          </x14:cfRule>
          <xm:sqref>C1:C1286 I1:I1286 L1:M1286</xm:sqref>
        </x14:conditionalFormatting>
        <x14:conditionalFormatting xmlns:xm="http://schemas.microsoft.com/office/excel/2006/main">
          <x14:cfRule type="containsText" priority="19" operator="containsText" id="{11EF4298-C8D1-42F2-A369-326CC441E941}">
            <xm:f>NOT(ISERROR(SEARCH("MINOR",C2)))</xm:f>
            <xm:f>"MINOR"</xm:f>
            <x14:dxf>
              <font>
                <color theme="1"/>
              </font>
              <fill>
                <patternFill patternType="solid">
                  <fgColor rgb="FFE2F0D9"/>
                  <bgColor rgb="FF99FF99"/>
                </patternFill>
              </fill>
            </x14:dxf>
          </x14:cfRule>
          <xm:sqref>C2:C1286 I2:I1286 L2:N1286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E910E-DC60-4256-A993-ADF6B9EF00A3}">
  <dimension ref="A1:I185"/>
  <sheetViews>
    <sheetView zoomScale="144" workbookViewId="0">
      <selection activeCell="B2" sqref="B2"/>
    </sheetView>
  </sheetViews>
  <sheetFormatPr baseColWidth="10" defaultColWidth="8.83203125" defaultRowHeight="15"/>
  <cols>
    <col min="1" max="1" width="11.1640625" bestFit="1" customWidth="1"/>
    <col min="2" max="2" width="16.33203125" bestFit="1" customWidth="1"/>
    <col min="3" max="3" width="34.83203125" bestFit="1" customWidth="1"/>
    <col min="4" max="4" width="14.6640625" bestFit="1" customWidth="1"/>
    <col min="5" max="6" width="24.6640625" bestFit="1" customWidth="1"/>
    <col min="7" max="7" width="19.83203125" bestFit="1" customWidth="1"/>
    <col min="8" max="8" width="13.33203125" bestFit="1" customWidth="1"/>
    <col min="9" max="9" width="120.83203125" style="25" customWidth="1"/>
  </cols>
  <sheetData>
    <row r="1" spans="1:9" ht="16" customHeight="1">
      <c r="A1" s="23" t="s">
        <v>3866</v>
      </c>
      <c r="B1" s="23" t="s">
        <v>3867</v>
      </c>
      <c r="C1" s="23" t="s">
        <v>3868</v>
      </c>
      <c r="D1" s="23" t="s">
        <v>3869</v>
      </c>
      <c r="E1" s="23" t="s">
        <v>11</v>
      </c>
      <c r="F1" s="23" t="s">
        <v>3870</v>
      </c>
      <c r="G1" s="23" t="s">
        <v>3871</v>
      </c>
      <c r="H1" s="23" t="s">
        <v>12</v>
      </c>
      <c r="I1" s="32" t="s">
        <v>3872</v>
      </c>
    </row>
    <row r="2" spans="1:9" ht="16" customHeight="1">
      <c r="A2" s="24">
        <v>1</v>
      </c>
      <c r="B2" s="25" t="s">
        <v>3873</v>
      </c>
      <c r="C2" s="26" t="s">
        <v>3874</v>
      </c>
      <c r="D2" s="24">
        <v>1</v>
      </c>
      <c r="E2" t="s">
        <v>25</v>
      </c>
      <c r="F2" t="s">
        <v>26</v>
      </c>
      <c r="G2" s="27" t="s">
        <v>3875</v>
      </c>
      <c r="H2" s="26" t="s">
        <v>40</v>
      </c>
      <c r="I2" s="33" t="s">
        <v>3876</v>
      </c>
    </row>
    <row r="3" spans="1:9" ht="16" customHeight="1">
      <c r="A3" s="24">
        <v>2</v>
      </c>
      <c r="B3" s="25" t="s">
        <v>702</v>
      </c>
      <c r="C3" s="26" t="s">
        <v>3877</v>
      </c>
      <c r="D3" s="24">
        <v>1</v>
      </c>
      <c r="E3" t="s">
        <v>25</v>
      </c>
      <c r="F3" t="s">
        <v>510</v>
      </c>
      <c r="G3" s="27" t="s">
        <v>684</v>
      </c>
      <c r="H3" s="26" t="s">
        <v>703</v>
      </c>
      <c r="I3" s="33" t="s">
        <v>3878</v>
      </c>
    </row>
    <row r="4" spans="1:9" ht="16" customHeight="1">
      <c r="A4" s="24">
        <v>3</v>
      </c>
      <c r="B4" s="25" t="s">
        <v>1135</v>
      </c>
      <c r="C4" s="26" t="s">
        <v>3879</v>
      </c>
      <c r="D4" s="24">
        <v>2</v>
      </c>
      <c r="E4" t="s">
        <v>35</v>
      </c>
      <c r="F4" t="s">
        <v>35</v>
      </c>
      <c r="G4" s="27" t="s">
        <v>1128</v>
      </c>
      <c r="H4" s="26" t="s">
        <v>1136</v>
      </c>
      <c r="I4" s="33" t="s">
        <v>3880</v>
      </c>
    </row>
    <row r="5" spans="1:9" ht="16" customHeight="1">
      <c r="A5" s="24">
        <v>4</v>
      </c>
      <c r="B5" s="25" t="s">
        <v>1181</v>
      </c>
      <c r="C5" s="26" t="s">
        <v>3881</v>
      </c>
      <c r="D5" s="24">
        <v>2</v>
      </c>
      <c r="E5" t="s">
        <v>10</v>
      </c>
      <c r="F5" t="s">
        <v>10</v>
      </c>
      <c r="G5" s="27" t="s">
        <v>1180</v>
      </c>
      <c r="H5" s="26" t="s">
        <v>51</v>
      </c>
      <c r="I5" s="33" t="s">
        <v>3882</v>
      </c>
    </row>
    <row r="6" spans="1:9" ht="16" customHeight="1">
      <c r="A6" s="24">
        <v>5</v>
      </c>
      <c r="B6" s="25" t="s">
        <v>1181</v>
      </c>
      <c r="C6" s="26" t="s">
        <v>3883</v>
      </c>
      <c r="D6" s="24">
        <v>1</v>
      </c>
      <c r="E6" t="s">
        <v>10</v>
      </c>
      <c r="F6" t="s">
        <v>10</v>
      </c>
      <c r="G6" s="27" t="s">
        <v>1180</v>
      </c>
      <c r="H6" s="26" t="s">
        <v>51</v>
      </c>
      <c r="I6" s="33" t="s">
        <v>3884</v>
      </c>
    </row>
    <row r="7" spans="1:9" ht="16" customHeight="1">
      <c r="A7" s="24">
        <v>6</v>
      </c>
      <c r="B7" s="25" t="s">
        <v>1181</v>
      </c>
      <c r="C7" s="26" t="s">
        <v>3885</v>
      </c>
      <c r="D7" s="24">
        <v>1</v>
      </c>
      <c r="E7" t="s">
        <v>10</v>
      </c>
      <c r="F7" t="s">
        <v>10</v>
      </c>
      <c r="G7" s="27" t="s">
        <v>1180</v>
      </c>
      <c r="H7" s="26" t="s">
        <v>51</v>
      </c>
      <c r="I7" s="33" t="s">
        <v>3886</v>
      </c>
    </row>
    <row r="8" spans="1:9" ht="16" customHeight="1">
      <c r="A8" s="24">
        <v>7</v>
      </c>
      <c r="B8" s="25" t="s">
        <v>1181</v>
      </c>
      <c r="C8" s="26" t="s">
        <v>3887</v>
      </c>
      <c r="D8" s="24">
        <v>1</v>
      </c>
      <c r="E8" t="s">
        <v>10</v>
      </c>
      <c r="F8" t="s">
        <v>10</v>
      </c>
      <c r="G8" s="27" t="s">
        <v>1180</v>
      </c>
      <c r="H8" s="26" t="s">
        <v>51</v>
      </c>
      <c r="I8" s="33" t="s">
        <v>3888</v>
      </c>
    </row>
    <row r="9" spans="1:9" ht="16" customHeight="1">
      <c r="A9" s="24">
        <v>8</v>
      </c>
      <c r="B9" s="25" t="s">
        <v>1181</v>
      </c>
      <c r="C9" s="26" t="s">
        <v>3889</v>
      </c>
      <c r="D9" s="24">
        <v>1</v>
      </c>
      <c r="E9" t="s">
        <v>10</v>
      </c>
      <c r="F9" t="s">
        <v>10</v>
      </c>
      <c r="G9" s="27" t="s">
        <v>1180</v>
      </c>
      <c r="H9" s="26" t="s">
        <v>51</v>
      </c>
      <c r="I9" s="33" t="s">
        <v>3890</v>
      </c>
    </row>
    <row r="10" spans="1:9" ht="16" customHeight="1">
      <c r="A10" s="24">
        <v>9</v>
      </c>
      <c r="B10" s="25" t="s">
        <v>1181</v>
      </c>
      <c r="C10" s="26" t="s">
        <v>3891</v>
      </c>
      <c r="D10" s="24">
        <v>1</v>
      </c>
      <c r="E10" t="s">
        <v>10</v>
      </c>
      <c r="F10" t="s">
        <v>10</v>
      </c>
      <c r="G10" s="27" t="s">
        <v>1180</v>
      </c>
      <c r="H10" s="26" t="s">
        <v>51</v>
      </c>
      <c r="I10" s="33" t="s">
        <v>3892</v>
      </c>
    </row>
    <row r="11" spans="1:9" ht="16" customHeight="1">
      <c r="A11" s="24">
        <v>10</v>
      </c>
      <c r="B11" s="25" t="s">
        <v>1181</v>
      </c>
      <c r="C11" s="26" t="s">
        <v>3893</v>
      </c>
      <c r="D11" s="24">
        <v>2</v>
      </c>
      <c r="E11" t="s">
        <v>10</v>
      </c>
      <c r="F11" t="s">
        <v>10</v>
      </c>
      <c r="G11" s="27" t="s">
        <v>1180</v>
      </c>
      <c r="H11" s="26" t="s">
        <v>51</v>
      </c>
      <c r="I11" s="33" t="s">
        <v>3894</v>
      </c>
    </row>
    <row r="12" spans="1:9" ht="16" customHeight="1">
      <c r="A12" s="24">
        <v>11</v>
      </c>
      <c r="B12" s="25" t="s">
        <v>1227</v>
      </c>
      <c r="C12" s="26" t="s">
        <v>3895</v>
      </c>
      <c r="D12" s="24">
        <v>1</v>
      </c>
      <c r="E12" t="s">
        <v>50</v>
      </c>
      <c r="F12" t="s">
        <v>50</v>
      </c>
      <c r="G12" s="27" t="s">
        <v>1226</v>
      </c>
      <c r="H12" s="26" t="s">
        <v>51</v>
      </c>
      <c r="I12" s="33" t="s">
        <v>3896</v>
      </c>
    </row>
    <row r="13" spans="1:9" ht="16" customHeight="1">
      <c r="A13" s="24">
        <v>12</v>
      </c>
      <c r="B13" s="25" t="s">
        <v>1212</v>
      </c>
      <c r="C13" s="26" t="s">
        <v>3897</v>
      </c>
      <c r="D13" s="24">
        <v>1</v>
      </c>
      <c r="E13" t="s">
        <v>10</v>
      </c>
      <c r="F13" t="s">
        <v>10</v>
      </c>
      <c r="G13" s="27" t="s">
        <v>1211</v>
      </c>
      <c r="H13" s="26" t="s">
        <v>1213</v>
      </c>
      <c r="I13" s="33" t="s">
        <v>3898</v>
      </c>
    </row>
    <row r="14" spans="1:9" ht="16" customHeight="1">
      <c r="A14" s="24">
        <v>13</v>
      </c>
      <c r="B14" s="25" t="s">
        <v>1212</v>
      </c>
      <c r="C14" s="26" t="s">
        <v>3899</v>
      </c>
      <c r="D14" s="24">
        <v>1</v>
      </c>
      <c r="E14" t="s">
        <v>10</v>
      </c>
      <c r="F14" t="s">
        <v>10</v>
      </c>
      <c r="G14" s="27" t="s">
        <v>1211</v>
      </c>
      <c r="H14" s="26" t="s">
        <v>1213</v>
      </c>
      <c r="I14" s="33" t="s">
        <v>3900</v>
      </c>
    </row>
    <row r="15" spans="1:9" ht="16" customHeight="1">
      <c r="A15" s="24">
        <v>14</v>
      </c>
      <c r="B15" s="25" t="s">
        <v>1212</v>
      </c>
      <c r="C15" s="26" t="s">
        <v>3901</v>
      </c>
      <c r="D15" s="24">
        <v>2</v>
      </c>
      <c r="E15" t="s">
        <v>10</v>
      </c>
      <c r="F15" t="s">
        <v>10</v>
      </c>
      <c r="G15" s="27" t="s">
        <v>1211</v>
      </c>
      <c r="H15" s="26" t="s">
        <v>1213</v>
      </c>
      <c r="I15" s="33" t="s">
        <v>3902</v>
      </c>
    </row>
    <row r="16" spans="1:9" ht="16" customHeight="1">
      <c r="A16" s="24">
        <v>15</v>
      </c>
      <c r="B16" s="25" t="s">
        <v>1212</v>
      </c>
      <c r="C16" s="26" t="s">
        <v>3903</v>
      </c>
      <c r="D16" s="24">
        <v>1</v>
      </c>
      <c r="E16" t="s">
        <v>10</v>
      </c>
      <c r="F16" t="s">
        <v>10</v>
      </c>
      <c r="G16" s="27" t="s">
        <v>1211</v>
      </c>
      <c r="H16" s="26" t="s">
        <v>1213</v>
      </c>
      <c r="I16" s="33" t="s">
        <v>3904</v>
      </c>
    </row>
    <row r="17" spans="1:9" ht="16" customHeight="1">
      <c r="A17" s="24">
        <v>16</v>
      </c>
      <c r="B17" s="25" t="s">
        <v>1212</v>
      </c>
      <c r="C17" s="26" t="s">
        <v>3905</v>
      </c>
      <c r="D17" s="24">
        <v>1</v>
      </c>
      <c r="E17" t="s">
        <v>10</v>
      </c>
      <c r="F17" t="s">
        <v>10</v>
      </c>
      <c r="G17" s="27" t="s">
        <v>1211</v>
      </c>
      <c r="H17" s="26" t="s">
        <v>1213</v>
      </c>
      <c r="I17" s="33" t="s">
        <v>3906</v>
      </c>
    </row>
    <row r="18" spans="1:9" ht="16" customHeight="1">
      <c r="A18" s="24">
        <v>17</v>
      </c>
      <c r="B18" s="25" t="s">
        <v>1212</v>
      </c>
      <c r="C18" s="26" t="s">
        <v>3907</v>
      </c>
      <c r="D18" s="24">
        <v>1</v>
      </c>
      <c r="E18" t="s">
        <v>10</v>
      </c>
      <c r="F18" t="s">
        <v>10</v>
      </c>
      <c r="G18" s="27" t="s">
        <v>1211</v>
      </c>
      <c r="H18" s="26" t="s">
        <v>1213</v>
      </c>
      <c r="I18" s="33" t="s">
        <v>3908</v>
      </c>
    </row>
    <row r="19" spans="1:9" ht="16" customHeight="1">
      <c r="A19" s="24">
        <v>18</v>
      </c>
      <c r="B19" s="25" t="s">
        <v>1212</v>
      </c>
      <c r="C19" s="26" t="s">
        <v>3909</v>
      </c>
      <c r="D19" s="24">
        <v>1</v>
      </c>
      <c r="E19" t="s">
        <v>10</v>
      </c>
      <c r="F19" t="s">
        <v>10</v>
      </c>
      <c r="G19" s="27" t="s">
        <v>1211</v>
      </c>
      <c r="H19" s="26" t="s">
        <v>1213</v>
      </c>
      <c r="I19" s="33" t="s">
        <v>3910</v>
      </c>
    </row>
    <row r="20" spans="1:9" ht="16" customHeight="1">
      <c r="A20" s="24">
        <v>19</v>
      </c>
      <c r="B20" s="25" t="s">
        <v>1212</v>
      </c>
      <c r="C20" s="26" t="s">
        <v>3911</v>
      </c>
      <c r="D20" s="24">
        <v>1</v>
      </c>
      <c r="E20" t="s">
        <v>10</v>
      </c>
      <c r="F20" t="s">
        <v>10</v>
      </c>
      <c r="G20" s="27" t="s">
        <v>1211</v>
      </c>
      <c r="H20" s="26" t="s">
        <v>1213</v>
      </c>
      <c r="I20" s="33" t="s">
        <v>3912</v>
      </c>
    </row>
    <row r="21" spans="1:9" ht="16" customHeight="1">
      <c r="A21" s="24">
        <v>20</v>
      </c>
      <c r="B21" s="25" t="s">
        <v>1212</v>
      </c>
      <c r="C21" s="26" t="s">
        <v>3913</v>
      </c>
      <c r="D21" s="24">
        <v>1</v>
      </c>
      <c r="E21" t="s">
        <v>10</v>
      </c>
      <c r="F21" t="s">
        <v>10</v>
      </c>
      <c r="G21" s="27" t="s">
        <v>1211</v>
      </c>
      <c r="H21" s="26" t="s">
        <v>1213</v>
      </c>
      <c r="I21" s="33" t="s">
        <v>3914</v>
      </c>
    </row>
    <row r="22" spans="1:9" ht="16" customHeight="1">
      <c r="A22" s="24">
        <v>21</v>
      </c>
      <c r="B22" s="25" t="s">
        <v>1212</v>
      </c>
      <c r="C22" s="26" t="s">
        <v>3915</v>
      </c>
      <c r="D22" s="24">
        <v>1</v>
      </c>
      <c r="E22" t="s">
        <v>10</v>
      </c>
      <c r="F22" t="s">
        <v>10</v>
      </c>
      <c r="G22" s="27" t="s">
        <v>1211</v>
      </c>
      <c r="H22" s="26" t="s">
        <v>1213</v>
      </c>
      <c r="I22" s="33" t="s">
        <v>3916</v>
      </c>
    </row>
    <row r="23" spans="1:9" ht="16" customHeight="1">
      <c r="A23" s="24">
        <v>22</v>
      </c>
      <c r="B23" s="25" t="s">
        <v>1212</v>
      </c>
      <c r="C23" s="26" t="s">
        <v>3917</v>
      </c>
      <c r="D23" s="24">
        <v>1</v>
      </c>
      <c r="E23" t="s">
        <v>10</v>
      </c>
      <c r="F23" t="s">
        <v>10</v>
      </c>
      <c r="G23" s="27" t="s">
        <v>1211</v>
      </c>
      <c r="H23" s="26" t="s">
        <v>1213</v>
      </c>
      <c r="I23" s="33" t="s">
        <v>3918</v>
      </c>
    </row>
    <row r="24" spans="1:9" ht="16" customHeight="1">
      <c r="A24" s="24">
        <v>23</v>
      </c>
      <c r="B24" s="25" t="s">
        <v>1237</v>
      </c>
      <c r="C24" s="26" t="s">
        <v>3919</v>
      </c>
      <c r="D24" s="24">
        <v>1</v>
      </c>
      <c r="E24" t="s">
        <v>27</v>
      </c>
      <c r="F24" t="s">
        <v>27</v>
      </c>
      <c r="G24" s="27" t="s">
        <v>1231</v>
      </c>
      <c r="H24" s="26" t="s">
        <v>1238</v>
      </c>
      <c r="I24" s="33" t="s">
        <v>3920</v>
      </c>
    </row>
    <row r="25" spans="1:9" ht="16" customHeight="1">
      <c r="A25" s="24">
        <v>24</v>
      </c>
      <c r="B25" s="25" t="s">
        <v>1249</v>
      </c>
      <c r="C25" s="26" t="s">
        <v>3921</v>
      </c>
      <c r="D25" s="24">
        <v>2</v>
      </c>
      <c r="E25" t="s">
        <v>10</v>
      </c>
      <c r="F25" t="s">
        <v>10</v>
      </c>
      <c r="G25" s="27" t="s">
        <v>1248</v>
      </c>
      <c r="H25" s="26" t="s">
        <v>724</v>
      </c>
      <c r="I25" s="33" t="s">
        <v>3922</v>
      </c>
    </row>
    <row r="26" spans="1:9" ht="16" customHeight="1">
      <c r="A26" s="24">
        <v>25</v>
      </c>
      <c r="B26" s="25" t="s">
        <v>1249</v>
      </c>
      <c r="C26" s="26" t="s">
        <v>3923</v>
      </c>
      <c r="D26" s="24">
        <v>10</v>
      </c>
      <c r="E26" t="s">
        <v>10</v>
      </c>
      <c r="F26" t="s">
        <v>10</v>
      </c>
      <c r="G26" s="27" t="s">
        <v>1248</v>
      </c>
      <c r="H26" s="26" t="s">
        <v>724</v>
      </c>
      <c r="I26" s="33" t="s">
        <v>3924</v>
      </c>
    </row>
    <row r="27" spans="1:9" ht="16" customHeight="1">
      <c r="A27" s="24">
        <v>26</v>
      </c>
      <c r="B27" s="25" t="s">
        <v>1249</v>
      </c>
      <c r="C27" s="26" t="s">
        <v>3925</v>
      </c>
      <c r="D27" s="24">
        <v>1</v>
      </c>
      <c r="E27" t="s">
        <v>10</v>
      </c>
      <c r="F27" t="s">
        <v>10</v>
      </c>
      <c r="G27" s="27" t="s">
        <v>1248</v>
      </c>
      <c r="H27" s="26" t="s">
        <v>724</v>
      </c>
      <c r="I27" s="33" t="s">
        <v>3926</v>
      </c>
    </row>
    <row r="28" spans="1:9" ht="16" customHeight="1">
      <c r="A28" s="24">
        <v>27</v>
      </c>
      <c r="B28" s="25" t="s">
        <v>1249</v>
      </c>
      <c r="C28" s="26" t="s">
        <v>3927</v>
      </c>
      <c r="D28" s="24">
        <v>1</v>
      </c>
      <c r="E28" t="s">
        <v>10</v>
      </c>
      <c r="F28" t="s">
        <v>10</v>
      </c>
      <c r="G28" s="27" t="s">
        <v>1248</v>
      </c>
      <c r="H28" s="26" t="s">
        <v>724</v>
      </c>
      <c r="I28" s="33" t="s">
        <v>3928</v>
      </c>
    </row>
    <row r="29" spans="1:9" ht="16" customHeight="1">
      <c r="A29" s="24">
        <v>28</v>
      </c>
      <c r="B29" s="25" t="s">
        <v>1304</v>
      </c>
      <c r="C29" s="26" t="s">
        <v>3929</v>
      </c>
      <c r="D29" s="24">
        <v>1</v>
      </c>
      <c r="E29" t="s">
        <v>10</v>
      </c>
      <c r="F29" t="s">
        <v>10</v>
      </c>
      <c r="G29" s="27" t="s">
        <v>1303</v>
      </c>
      <c r="H29" s="26" t="s">
        <v>1305</v>
      </c>
      <c r="I29" s="33" t="s">
        <v>3930</v>
      </c>
    </row>
    <row r="30" spans="1:9" ht="16" customHeight="1">
      <c r="A30" s="24">
        <v>29</v>
      </c>
      <c r="B30" s="25" t="s">
        <v>1346</v>
      </c>
      <c r="C30" s="26" t="s">
        <v>3931</v>
      </c>
      <c r="D30" s="24">
        <v>6</v>
      </c>
      <c r="E30" t="s">
        <v>35</v>
      </c>
      <c r="F30" t="s">
        <v>35</v>
      </c>
      <c r="G30" s="27" t="s">
        <v>1345</v>
      </c>
      <c r="H30" s="26" t="s">
        <v>85</v>
      </c>
      <c r="I30" s="33" t="s">
        <v>3932</v>
      </c>
    </row>
    <row r="31" spans="1:9" ht="16" customHeight="1">
      <c r="A31" s="24">
        <v>30</v>
      </c>
      <c r="B31" s="25" t="s">
        <v>1424</v>
      </c>
      <c r="C31" s="26" t="s">
        <v>3933</v>
      </c>
      <c r="D31" s="24">
        <v>1</v>
      </c>
      <c r="E31" t="s">
        <v>25</v>
      </c>
      <c r="F31" t="s">
        <v>25</v>
      </c>
      <c r="G31" s="27" t="s">
        <v>1416</v>
      </c>
      <c r="H31" s="26" t="s">
        <v>1425</v>
      </c>
      <c r="I31" s="33" t="s">
        <v>3934</v>
      </c>
    </row>
    <row r="32" spans="1:9" ht="16" customHeight="1">
      <c r="A32" s="24">
        <v>31</v>
      </c>
      <c r="B32" s="25" t="s">
        <v>1447</v>
      </c>
      <c r="C32" s="26" t="s">
        <v>3935</v>
      </c>
      <c r="D32" s="24">
        <v>2</v>
      </c>
      <c r="E32" t="s">
        <v>27</v>
      </c>
      <c r="F32" t="s">
        <v>27</v>
      </c>
      <c r="G32" s="27" t="s">
        <v>1446</v>
      </c>
      <c r="H32" s="26" t="s">
        <v>440</v>
      </c>
      <c r="I32" s="33" t="s">
        <v>3936</v>
      </c>
    </row>
    <row r="33" spans="1:9" ht="16" customHeight="1">
      <c r="A33" s="24">
        <v>32</v>
      </c>
      <c r="B33" s="25" t="s">
        <v>1456</v>
      </c>
      <c r="C33" s="26" t="s">
        <v>3937</v>
      </c>
      <c r="D33" s="24">
        <v>1</v>
      </c>
      <c r="E33" t="s">
        <v>23</v>
      </c>
      <c r="F33" t="s">
        <v>23</v>
      </c>
      <c r="G33" s="27" t="s">
        <v>1455</v>
      </c>
      <c r="H33" s="26" t="s">
        <v>1457</v>
      </c>
      <c r="I33" s="33" t="s">
        <v>3938</v>
      </c>
    </row>
    <row r="34" spans="1:9" ht="16" customHeight="1">
      <c r="A34" s="24">
        <v>33</v>
      </c>
      <c r="B34" s="25" t="s">
        <v>1521</v>
      </c>
      <c r="C34" s="26" t="s">
        <v>3897</v>
      </c>
      <c r="D34" s="24">
        <v>1</v>
      </c>
      <c r="E34" t="s">
        <v>10</v>
      </c>
      <c r="F34" t="s">
        <v>10</v>
      </c>
      <c r="G34" s="27" t="s">
        <v>1520</v>
      </c>
      <c r="H34" s="26" t="s">
        <v>36</v>
      </c>
      <c r="I34" s="33" t="s">
        <v>3939</v>
      </c>
    </row>
    <row r="35" spans="1:9" ht="16" customHeight="1">
      <c r="A35" s="24">
        <v>34</v>
      </c>
      <c r="B35" s="25" t="s">
        <v>1521</v>
      </c>
      <c r="C35" s="26" t="s">
        <v>3899</v>
      </c>
      <c r="D35" s="24">
        <v>1</v>
      </c>
      <c r="E35" t="s">
        <v>10</v>
      </c>
      <c r="F35" t="s">
        <v>10</v>
      </c>
      <c r="G35" s="27" t="s">
        <v>1520</v>
      </c>
      <c r="H35" s="26" t="s">
        <v>36</v>
      </c>
      <c r="I35" s="33" t="s">
        <v>3940</v>
      </c>
    </row>
    <row r="36" spans="1:9" ht="16" customHeight="1">
      <c r="A36" s="24">
        <v>35</v>
      </c>
      <c r="B36" s="25" t="s">
        <v>1521</v>
      </c>
      <c r="C36" s="26" t="s">
        <v>3941</v>
      </c>
      <c r="D36" s="24">
        <v>1</v>
      </c>
      <c r="E36" t="s">
        <v>10</v>
      </c>
      <c r="F36" t="s">
        <v>10</v>
      </c>
      <c r="G36" s="27" t="s">
        <v>1520</v>
      </c>
      <c r="H36" s="26" t="s">
        <v>36</v>
      </c>
      <c r="I36" s="33" t="s">
        <v>3942</v>
      </c>
    </row>
    <row r="37" spans="1:9" ht="16" customHeight="1">
      <c r="A37" s="24">
        <v>36</v>
      </c>
      <c r="B37" s="25" t="s">
        <v>1521</v>
      </c>
      <c r="C37" s="26" t="s">
        <v>3943</v>
      </c>
      <c r="D37" s="24">
        <v>1</v>
      </c>
      <c r="E37" t="s">
        <v>10</v>
      </c>
      <c r="F37" t="s">
        <v>10</v>
      </c>
      <c r="G37" s="27" t="s">
        <v>1520</v>
      </c>
      <c r="H37" s="26" t="s">
        <v>36</v>
      </c>
      <c r="I37" s="33" t="s">
        <v>3944</v>
      </c>
    </row>
    <row r="38" spans="1:9" ht="16" customHeight="1">
      <c r="A38" s="24">
        <v>37</v>
      </c>
      <c r="B38" s="25" t="s">
        <v>1521</v>
      </c>
      <c r="C38" s="26" t="s">
        <v>3945</v>
      </c>
      <c r="D38" s="24">
        <v>1</v>
      </c>
      <c r="E38" t="s">
        <v>10</v>
      </c>
      <c r="F38" t="s">
        <v>10</v>
      </c>
      <c r="G38" s="27" t="s">
        <v>1520</v>
      </c>
      <c r="H38" s="26" t="s">
        <v>36</v>
      </c>
      <c r="I38" s="33" t="s">
        <v>3946</v>
      </c>
    </row>
    <row r="39" spans="1:9" ht="16" customHeight="1">
      <c r="A39" s="24">
        <v>38</v>
      </c>
      <c r="B39" s="25" t="s">
        <v>1521</v>
      </c>
      <c r="C39" s="26" t="s">
        <v>3907</v>
      </c>
      <c r="D39" s="24">
        <v>1</v>
      </c>
      <c r="E39" t="s">
        <v>10</v>
      </c>
      <c r="F39" t="s">
        <v>10</v>
      </c>
      <c r="G39" s="27" t="s">
        <v>1520</v>
      </c>
      <c r="H39" s="26" t="s">
        <v>36</v>
      </c>
      <c r="I39" s="33" t="s">
        <v>3947</v>
      </c>
    </row>
    <row r="40" spans="1:9" ht="16" customHeight="1">
      <c r="A40" s="24">
        <v>39</v>
      </c>
      <c r="B40" s="25" t="s">
        <v>1521</v>
      </c>
      <c r="C40" s="26" t="s">
        <v>3909</v>
      </c>
      <c r="D40" s="24">
        <v>1</v>
      </c>
      <c r="E40" t="s">
        <v>10</v>
      </c>
      <c r="F40" t="s">
        <v>10</v>
      </c>
      <c r="G40" s="27" t="s">
        <v>1520</v>
      </c>
      <c r="H40" s="26" t="s">
        <v>36</v>
      </c>
      <c r="I40" s="33" t="s">
        <v>3948</v>
      </c>
    </row>
    <row r="41" spans="1:9" ht="16" customHeight="1">
      <c r="A41" s="24">
        <v>40</v>
      </c>
      <c r="B41" s="25" t="s">
        <v>1521</v>
      </c>
      <c r="C41" s="26" t="s">
        <v>3911</v>
      </c>
      <c r="D41" s="24">
        <v>1</v>
      </c>
      <c r="E41" t="s">
        <v>10</v>
      </c>
      <c r="F41" t="s">
        <v>10</v>
      </c>
      <c r="G41" s="27" t="s">
        <v>1520</v>
      </c>
      <c r="H41" s="26" t="s">
        <v>36</v>
      </c>
      <c r="I41" s="33" t="s">
        <v>3949</v>
      </c>
    </row>
    <row r="42" spans="1:9" ht="16" customHeight="1">
      <c r="A42" s="24">
        <v>41</v>
      </c>
      <c r="B42" s="25" t="s">
        <v>1521</v>
      </c>
      <c r="C42" s="26" t="s">
        <v>3913</v>
      </c>
      <c r="D42" s="24">
        <v>1</v>
      </c>
      <c r="E42" t="s">
        <v>10</v>
      </c>
      <c r="F42" t="s">
        <v>10</v>
      </c>
      <c r="G42" s="27" t="s">
        <v>1520</v>
      </c>
      <c r="H42" s="26" t="s">
        <v>36</v>
      </c>
      <c r="I42" s="33" t="s">
        <v>3950</v>
      </c>
    </row>
    <row r="43" spans="1:9" ht="16" customHeight="1">
      <c r="A43" s="24">
        <v>42</v>
      </c>
      <c r="B43" s="25" t="s">
        <v>1521</v>
      </c>
      <c r="C43" s="26" t="s">
        <v>3915</v>
      </c>
      <c r="D43" s="24">
        <v>1</v>
      </c>
      <c r="E43" t="s">
        <v>10</v>
      </c>
      <c r="F43" t="s">
        <v>10</v>
      </c>
      <c r="G43" s="27" t="s">
        <v>1520</v>
      </c>
      <c r="H43" s="26" t="s">
        <v>36</v>
      </c>
      <c r="I43" s="33" t="s">
        <v>3951</v>
      </c>
    </row>
    <row r="44" spans="1:9" ht="16" customHeight="1">
      <c r="A44" s="24">
        <v>43</v>
      </c>
      <c r="B44" s="25" t="s">
        <v>1521</v>
      </c>
      <c r="C44" s="26" t="s">
        <v>3952</v>
      </c>
      <c r="D44" s="24">
        <v>1</v>
      </c>
      <c r="E44" t="s">
        <v>10</v>
      </c>
      <c r="F44" t="s">
        <v>10</v>
      </c>
      <c r="G44" s="27" t="s">
        <v>1520</v>
      </c>
      <c r="H44" s="26" t="s">
        <v>36</v>
      </c>
      <c r="I44" s="33" t="s">
        <v>3953</v>
      </c>
    </row>
    <row r="45" spans="1:9" ht="16" customHeight="1">
      <c r="A45" s="24">
        <v>44</v>
      </c>
      <c r="B45" s="25" t="s">
        <v>1521</v>
      </c>
      <c r="C45" s="26" t="s">
        <v>3954</v>
      </c>
      <c r="D45" s="24">
        <v>1</v>
      </c>
      <c r="E45" t="s">
        <v>10</v>
      </c>
      <c r="F45" t="s">
        <v>10</v>
      </c>
      <c r="G45" s="27" t="s">
        <v>1520</v>
      </c>
      <c r="H45" s="26" t="s">
        <v>36</v>
      </c>
      <c r="I45" s="33" t="s">
        <v>3955</v>
      </c>
    </row>
    <row r="46" spans="1:9" ht="16" customHeight="1">
      <c r="A46" s="24">
        <v>45</v>
      </c>
      <c r="B46" s="25" t="s">
        <v>1521</v>
      </c>
      <c r="C46" s="26" t="s">
        <v>3917</v>
      </c>
      <c r="D46" s="24">
        <v>1</v>
      </c>
      <c r="E46" t="s">
        <v>10</v>
      </c>
      <c r="F46" t="s">
        <v>10</v>
      </c>
      <c r="G46" s="27" t="s">
        <v>1520</v>
      </c>
      <c r="H46" s="26" t="s">
        <v>36</v>
      </c>
      <c r="I46" s="33" t="s">
        <v>3956</v>
      </c>
    </row>
    <row r="47" spans="1:9" ht="16" customHeight="1">
      <c r="A47" s="24">
        <v>46</v>
      </c>
      <c r="B47" s="25" t="s">
        <v>1537</v>
      </c>
      <c r="C47" s="26" t="s">
        <v>3957</v>
      </c>
      <c r="D47" s="24">
        <v>6</v>
      </c>
      <c r="E47" t="s">
        <v>23</v>
      </c>
      <c r="F47" t="s">
        <v>23</v>
      </c>
      <c r="G47" s="27" t="s">
        <v>1536</v>
      </c>
      <c r="H47" s="26" t="s">
        <v>1538</v>
      </c>
      <c r="I47" s="33" t="s">
        <v>3958</v>
      </c>
    </row>
    <row r="48" spans="1:9" ht="16" customHeight="1">
      <c r="A48" s="24">
        <v>47</v>
      </c>
      <c r="B48" s="25" t="s">
        <v>1595</v>
      </c>
      <c r="C48" s="26" t="s">
        <v>3959</v>
      </c>
      <c r="D48" s="24">
        <v>1</v>
      </c>
      <c r="E48" t="s">
        <v>25</v>
      </c>
      <c r="F48" t="s">
        <v>25</v>
      </c>
      <c r="G48" s="27" t="s">
        <v>1594</v>
      </c>
      <c r="H48" s="26" t="s">
        <v>1596</v>
      </c>
      <c r="I48" s="33" t="s">
        <v>3960</v>
      </c>
    </row>
    <row r="49" spans="1:9" ht="16" customHeight="1">
      <c r="A49" s="24">
        <v>48</v>
      </c>
      <c r="B49" s="25" t="s">
        <v>1634</v>
      </c>
      <c r="C49" s="26" t="s">
        <v>3961</v>
      </c>
      <c r="D49" s="24">
        <v>5</v>
      </c>
      <c r="E49" t="s">
        <v>10</v>
      </c>
      <c r="F49" t="s">
        <v>10</v>
      </c>
      <c r="G49" s="27" t="s">
        <v>1620</v>
      </c>
      <c r="H49" s="26" t="s">
        <v>1635</v>
      </c>
      <c r="I49" s="33" t="s">
        <v>3962</v>
      </c>
    </row>
    <row r="50" spans="1:9" ht="16" customHeight="1">
      <c r="A50" s="24">
        <v>49</v>
      </c>
      <c r="B50" s="25" t="s">
        <v>1625</v>
      </c>
      <c r="C50" s="26" t="s">
        <v>3963</v>
      </c>
      <c r="D50" s="24">
        <v>6</v>
      </c>
      <c r="E50" t="s">
        <v>27</v>
      </c>
      <c r="F50" t="s">
        <v>27</v>
      </c>
      <c r="G50" s="27" t="s">
        <v>1620</v>
      </c>
      <c r="H50" s="26" t="s">
        <v>1626</v>
      </c>
      <c r="I50" s="33" t="s">
        <v>3964</v>
      </c>
    </row>
    <row r="51" spans="1:9" ht="16" customHeight="1">
      <c r="A51" s="24">
        <v>50</v>
      </c>
      <c r="B51" s="25" t="s">
        <v>1688</v>
      </c>
      <c r="C51" s="26" t="s">
        <v>3965</v>
      </c>
      <c r="D51" s="24">
        <v>2</v>
      </c>
      <c r="E51" t="s">
        <v>35</v>
      </c>
      <c r="F51" t="s">
        <v>35</v>
      </c>
      <c r="G51" s="27" t="s">
        <v>1683</v>
      </c>
      <c r="H51" s="26" t="s">
        <v>36</v>
      </c>
      <c r="I51" s="33" t="s">
        <v>3966</v>
      </c>
    </row>
    <row r="52" spans="1:9" ht="16" customHeight="1">
      <c r="A52" s="24">
        <v>51</v>
      </c>
      <c r="B52" s="25" t="s">
        <v>1688</v>
      </c>
      <c r="C52" s="26" t="s">
        <v>3967</v>
      </c>
      <c r="D52" s="24">
        <v>1</v>
      </c>
      <c r="E52" t="s">
        <v>35</v>
      </c>
      <c r="F52" t="s">
        <v>35</v>
      </c>
      <c r="G52" s="27" t="s">
        <v>1683</v>
      </c>
      <c r="H52" s="26" t="s">
        <v>36</v>
      </c>
      <c r="I52" s="33" t="s">
        <v>3968</v>
      </c>
    </row>
    <row r="53" spans="1:9" ht="16" customHeight="1">
      <c r="A53" s="24">
        <v>52</v>
      </c>
      <c r="B53" s="25" t="s">
        <v>1684</v>
      </c>
      <c r="C53" s="26" t="s">
        <v>3969</v>
      </c>
      <c r="D53" s="24">
        <v>3</v>
      </c>
      <c r="E53" t="s">
        <v>50</v>
      </c>
      <c r="F53" t="s">
        <v>50</v>
      </c>
      <c r="G53" s="27" t="s">
        <v>1683</v>
      </c>
      <c r="H53" s="26" t="s">
        <v>51</v>
      </c>
      <c r="I53" s="33" t="s">
        <v>3970</v>
      </c>
    </row>
    <row r="54" spans="1:9" ht="16" customHeight="1">
      <c r="A54" s="24">
        <v>53</v>
      </c>
      <c r="B54" s="25" t="s">
        <v>1684</v>
      </c>
      <c r="C54" s="26" t="s">
        <v>3971</v>
      </c>
      <c r="D54" s="24">
        <v>1</v>
      </c>
      <c r="E54" t="s">
        <v>50</v>
      </c>
      <c r="F54" t="s">
        <v>50</v>
      </c>
      <c r="G54" s="27" t="s">
        <v>1683</v>
      </c>
      <c r="H54" s="26" t="s">
        <v>51</v>
      </c>
      <c r="I54" s="33" t="s">
        <v>3972</v>
      </c>
    </row>
    <row r="55" spans="1:9" ht="16" customHeight="1">
      <c r="A55" s="24">
        <v>54</v>
      </c>
      <c r="B55" s="25" t="s">
        <v>1684</v>
      </c>
      <c r="C55" s="26" t="s">
        <v>3973</v>
      </c>
      <c r="D55" s="24">
        <v>1</v>
      </c>
      <c r="E55" t="s">
        <v>50</v>
      </c>
      <c r="F55" t="s">
        <v>50</v>
      </c>
      <c r="G55" s="27" t="s">
        <v>1683</v>
      </c>
      <c r="H55" s="26" t="s">
        <v>51</v>
      </c>
      <c r="I55" s="33" t="s">
        <v>3974</v>
      </c>
    </row>
    <row r="56" spans="1:9" ht="16" customHeight="1">
      <c r="A56" s="24">
        <v>55</v>
      </c>
      <c r="B56" s="25" t="s">
        <v>1684</v>
      </c>
      <c r="C56" s="26" t="s">
        <v>3975</v>
      </c>
      <c r="D56" s="24">
        <v>1</v>
      </c>
      <c r="E56" t="s">
        <v>50</v>
      </c>
      <c r="F56" t="s">
        <v>50</v>
      </c>
      <c r="G56" s="27" t="s">
        <v>1683</v>
      </c>
      <c r="H56" s="26" t="s">
        <v>51</v>
      </c>
      <c r="I56" s="33" t="s">
        <v>3976</v>
      </c>
    </row>
    <row r="57" spans="1:9" ht="16" customHeight="1">
      <c r="A57" s="24">
        <v>56</v>
      </c>
      <c r="B57" s="25" t="s">
        <v>1684</v>
      </c>
      <c r="C57" s="26" t="s">
        <v>3977</v>
      </c>
      <c r="D57" s="24">
        <v>1</v>
      </c>
      <c r="E57" t="s">
        <v>50</v>
      </c>
      <c r="F57" t="s">
        <v>50</v>
      </c>
      <c r="G57" s="27" t="s">
        <v>1683</v>
      </c>
      <c r="H57" s="26" t="s">
        <v>51</v>
      </c>
      <c r="I57" s="33" t="s">
        <v>3978</v>
      </c>
    </row>
    <row r="58" spans="1:9" ht="16" customHeight="1">
      <c r="A58" s="24">
        <v>57</v>
      </c>
      <c r="B58" s="25" t="s">
        <v>1684</v>
      </c>
      <c r="C58" s="26" t="s">
        <v>3979</v>
      </c>
      <c r="D58" s="24">
        <v>7</v>
      </c>
      <c r="E58" t="s">
        <v>50</v>
      </c>
      <c r="F58" t="s">
        <v>50</v>
      </c>
      <c r="G58" s="27" t="s">
        <v>1683</v>
      </c>
      <c r="H58" s="26" t="s">
        <v>51</v>
      </c>
      <c r="I58" s="33" t="s">
        <v>3980</v>
      </c>
    </row>
    <row r="59" spans="1:9" ht="16" customHeight="1">
      <c r="A59" s="24">
        <v>58</v>
      </c>
      <c r="B59" s="25" t="s">
        <v>1684</v>
      </c>
      <c r="C59" s="26" t="s">
        <v>3981</v>
      </c>
      <c r="D59" s="24">
        <v>1</v>
      </c>
      <c r="E59" t="s">
        <v>50</v>
      </c>
      <c r="F59" t="s">
        <v>50</v>
      </c>
      <c r="G59" s="27" t="s">
        <v>1683</v>
      </c>
      <c r="H59" s="26" t="s">
        <v>51</v>
      </c>
      <c r="I59" s="33" t="s">
        <v>3982</v>
      </c>
    </row>
    <row r="60" spans="1:9" ht="16" customHeight="1">
      <c r="A60" s="24">
        <v>59</v>
      </c>
      <c r="B60" s="25" t="s">
        <v>1684</v>
      </c>
      <c r="C60" s="26" t="s">
        <v>3983</v>
      </c>
      <c r="D60" s="24">
        <v>1</v>
      </c>
      <c r="E60" t="s">
        <v>50</v>
      </c>
      <c r="F60" t="s">
        <v>50</v>
      </c>
      <c r="G60" s="27" t="s">
        <v>1683</v>
      </c>
      <c r="H60" s="26" t="s">
        <v>51</v>
      </c>
      <c r="I60" s="33" t="s">
        <v>3984</v>
      </c>
    </row>
    <row r="61" spans="1:9" ht="16" customHeight="1">
      <c r="A61" s="24">
        <v>60</v>
      </c>
      <c r="B61" s="25" t="s">
        <v>1713</v>
      </c>
      <c r="C61" s="26" t="s">
        <v>3985</v>
      </c>
      <c r="D61" s="24">
        <v>12</v>
      </c>
      <c r="E61" t="s">
        <v>27</v>
      </c>
      <c r="F61" t="s">
        <v>27</v>
      </c>
      <c r="G61" s="27" t="s">
        <v>1710</v>
      </c>
      <c r="H61" s="26" t="s">
        <v>1714</v>
      </c>
      <c r="I61" s="33" t="s">
        <v>3986</v>
      </c>
    </row>
    <row r="62" spans="1:9" ht="16" customHeight="1">
      <c r="A62" s="24">
        <v>61</v>
      </c>
      <c r="B62" s="25" t="s">
        <v>1732</v>
      </c>
      <c r="C62" s="26" t="s">
        <v>3987</v>
      </c>
      <c r="D62" s="24">
        <v>1</v>
      </c>
      <c r="E62" t="s">
        <v>10</v>
      </c>
      <c r="F62" t="s">
        <v>10</v>
      </c>
      <c r="G62" s="27" t="s">
        <v>1731</v>
      </c>
      <c r="H62" s="26" t="s">
        <v>1733</v>
      </c>
      <c r="I62" s="33" t="s">
        <v>3988</v>
      </c>
    </row>
    <row r="63" spans="1:9" ht="16" customHeight="1">
      <c r="A63" s="24">
        <v>62</v>
      </c>
      <c r="B63" s="25" t="s">
        <v>1732</v>
      </c>
      <c r="C63" s="26" t="s">
        <v>3989</v>
      </c>
      <c r="D63" s="24">
        <v>2</v>
      </c>
      <c r="E63" t="s">
        <v>10</v>
      </c>
      <c r="F63" t="s">
        <v>10</v>
      </c>
      <c r="G63" s="27" t="s">
        <v>1731</v>
      </c>
      <c r="H63" s="26" t="s">
        <v>1733</v>
      </c>
      <c r="I63" s="33" t="s">
        <v>3990</v>
      </c>
    </row>
    <row r="64" spans="1:9" ht="16" customHeight="1">
      <c r="A64" s="24">
        <v>63</v>
      </c>
      <c r="B64" s="25" t="s">
        <v>1732</v>
      </c>
      <c r="C64" s="26" t="s">
        <v>3991</v>
      </c>
      <c r="D64" s="24">
        <v>1</v>
      </c>
      <c r="E64" t="s">
        <v>10</v>
      </c>
      <c r="F64" t="s">
        <v>10</v>
      </c>
      <c r="G64" s="27" t="s">
        <v>1731</v>
      </c>
      <c r="H64" s="26" t="s">
        <v>1733</v>
      </c>
      <c r="I64" s="33" t="s">
        <v>3992</v>
      </c>
    </row>
    <row r="65" spans="1:9" ht="16" customHeight="1">
      <c r="A65" s="24">
        <v>64</v>
      </c>
      <c r="B65" s="25" t="s">
        <v>1781</v>
      </c>
      <c r="C65" s="26" t="s">
        <v>3993</v>
      </c>
      <c r="D65" s="24">
        <v>2</v>
      </c>
      <c r="E65" t="s">
        <v>25</v>
      </c>
      <c r="F65" t="s">
        <v>25</v>
      </c>
      <c r="G65" s="27" t="s">
        <v>1780</v>
      </c>
      <c r="H65" s="26" t="s">
        <v>1782</v>
      </c>
      <c r="I65" s="33" t="s">
        <v>3994</v>
      </c>
    </row>
    <row r="66" spans="1:9" ht="16" customHeight="1">
      <c r="A66" s="24">
        <v>65</v>
      </c>
      <c r="B66" s="25" t="s">
        <v>1805</v>
      </c>
      <c r="C66" s="26" t="s">
        <v>3995</v>
      </c>
      <c r="D66" s="24">
        <v>7</v>
      </c>
      <c r="E66" t="s">
        <v>10</v>
      </c>
      <c r="F66" t="s">
        <v>10</v>
      </c>
      <c r="G66" s="27" t="s">
        <v>1802</v>
      </c>
      <c r="H66" s="26" t="s">
        <v>1806</v>
      </c>
      <c r="I66" s="33" t="s">
        <v>3996</v>
      </c>
    </row>
    <row r="67" spans="1:9" ht="16" customHeight="1">
      <c r="A67" s="24">
        <v>66</v>
      </c>
      <c r="B67" s="25" t="s">
        <v>2019</v>
      </c>
      <c r="C67" s="26" t="s">
        <v>3997</v>
      </c>
      <c r="D67" s="24">
        <v>1</v>
      </c>
      <c r="E67" t="s">
        <v>33</v>
      </c>
      <c r="F67" t="s">
        <v>33</v>
      </c>
      <c r="G67" s="27" t="s">
        <v>2016</v>
      </c>
      <c r="H67" s="26" t="s">
        <v>2020</v>
      </c>
      <c r="I67" s="33" t="s">
        <v>3998</v>
      </c>
    </row>
    <row r="68" spans="1:9" ht="16" customHeight="1">
      <c r="A68" s="24">
        <v>67</v>
      </c>
      <c r="B68" s="25" t="s">
        <v>2019</v>
      </c>
      <c r="C68" s="26" t="s">
        <v>3999</v>
      </c>
      <c r="D68" s="24">
        <v>1</v>
      </c>
      <c r="E68" t="s">
        <v>33</v>
      </c>
      <c r="F68" t="s">
        <v>33</v>
      </c>
      <c r="G68" s="27" t="s">
        <v>2016</v>
      </c>
      <c r="H68" s="26" t="s">
        <v>2020</v>
      </c>
      <c r="I68" s="33" t="s">
        <v>4000</v>
      </c>
    </row>
    <row r="69" spans="1:9" ht="16" customHeight="1">
      <c r="A69" s="24">
        <v>68</v>
      </c>
      <c r="B69" s="25" t="s">
        <v>2019</v>
      </c>
      <c r="C69" s="26" t="s">
        <v>4001</v>
      </c>
      <c r="D69" s="24">
        <v>1</v>
      </c>
      <c r="E69" t="s">
        <v>33</v>
      </c>
      <c r="F69" t="s">
        <v>33</v>
      </c>
      <c r="G69" s="27" t="s">
        <v>2016</v>
      </c>
      <c r="H69" s="26" t="s">
        <v>2020</v>
      </c>
      <c r="I69" s="33" t="s">
        <v>4002</v>
      </c>
    </row>
    <row r="70" spans="1:9" ht="16" customHeight="1">
      <c r="A70" s="24">
        <v>69</v>
      </c>
      <c r="B70" s="25" t="s">
        <v>2019</v>
      </c>
      <c r="C70" s="26" t="s">
        <v>4003</v>
      </c>
      <c r="D70" s="24">
        <v>1</v>
      </c>
      <c r="E70" t="s">
        <v>33</v>
      </c>
      <c r="F70" t="s">
        <v>33</v>
      </c>
      <c r="G70" s="27" t="s">
        <v>2016</v>
      </c>
      <c r="H70" s="26" t="s">
        <v>2020</v>
      </c>
      <c r="I70" s="33" t="s">
        <v>4004</v>
      </c>
    </row>
    <row r="71" spans="1:9" ht="16" customHeight="1">
      <c r="A71" s="24">
        <v>70</v>
      </c>
      <c r="B71" s="25" t="s">
        <v>2019</v>
      </c>
      <c r="C71" s="26" t="s">
        <v>4005</v>
      </c>
      <c r="D71" s="24">
        <v>1</v>
      </c>
      <c r="E71" t="s">
        <v>33</v>
      </c>
      <c r="F71" t="s">
        <v>33</v>
      </c>
      <c r="G71" s="27" t="s">
        <v>2016</v>
      </c>
      <c r="H71" s="26" t="s">
        <v>2020</v>
      </c>
      <c r="I71" s="33" t="s">
        <v>4006</v>
      </c>
    </row>
    <row r="72" spans="1:9" ht="16" customHeight="1">
      <c r="A72" s="24">
        <v>71</v>
      </c>
      <c r="B72" s="25" t="s">
        <v>2019</v>
      </c>
      <c r="C72" s="26" t="s">
        <v>4007</v>
      </c>
      <c r="D72" s="24">
        <v>1</v>
      </c>
      <c r="E72" t="s">
        <v>33</v>
      </c>
      <c r="F72" t="s">
        <v>33</v>
      </c>
      <c r="G72" s="27" t="s">
        <v>2016</v>
      </c>
      <c r="H72" s="26" t="s">
        <v>2020</v>
      </c>
      <c r="I72" s="33" t="s">
        <v>4008</v>
      </c>
    </row>
    <row r="73" spans="1:9" ht="16" customHeight="1">
      <c r="A73" s="24">
        <v>72</v>
      </c>
      <c r="B73" s="25" t="s">
        <v>2019</v>
      </c>
      <c r="C73" s="26" t="s">
        <v>4009</v>
      </c>
      <c r="D73" s="24">
        <v>1</v>
      </c>
      <c r="E73" t="s">
        <v>33</v>
      </c>
      <c r="F73" t="s">
        <v>33</v>
      </c>
      <c r="G73" s="27" t="s">
        <v>2016</v>
      </c>
      <c r="H73" s="26" t="s">
        <v>2020</v>
      </c>
      <c r="I73" s="33" t="s">
        <v>4010</v>
      </c>
    </row>
    <row r="74" spans="1:9" ht="16" customHeight="1">
      <c r="A74" s="24">
        <v>73</v>
      </c>
      <c r="B74" s="25" t="s">
        <v>2019</v>
      </c>
      <c r="C74" s="26" t="s">
        <v>4011</v>
      </c>
      <c r="D74" s="24">
        <v>1</v>
      </c>
      <c r="E74" t="s">
        <v>33</v>
      </c>
      <c r="F74" t="s">
        <v>33</v>
      </c>
      <c r="G74" s="27" t="s">
        <v>2016</v>
      </c>
      <c r="H74" s="26" t="s">
        <v>2020</v>
      </c>
      <c r="I74" s="33" t="s">
        <v>4012</v>
      </c>
    </row>
    <row r="75" spans="1:9" ht="16" customHeight="1">
      <c r="A75" s="24">
        <v>74</v>
      </c>
      <c r="B75" s="25" t="s">
        <v>2019</v>
      </c>
      <c r="C75" s="26" t="s">
        <v>4013</v>
      </c>
      <c r="D75" s="24">
        <v>1</v>
      </c>
      <c r="E75" t="s">
        <v>33</v>
      </c>
      <c r="F75" t="s">
        <v>33</v>
      </c>
      <c r="G75" s="27" t="s">
        <v>2016</v>
      </c>
      <c r="H75" s="26" t="s">
        <v>2020</v>
      </c>
      <c r="I75" s="33" t="s">
        <v>4014</v>
      </c>
    </row>
    <row r="76" spans="1:9" ht="16" customHeight="1">
      <c r="A76" s="24">
        <v>75</v>
      </c>
      <c r="B76" s="25" t="s">
        <v>2019</v>
      </c>
      <c r="C76" s="26" t="s">
        <v>4015</v>
      </c>
      <c r="D76" s="24">
        <v>1</v>
      </c>
      <c r="E76" t="s">
        <v>33</v>
      </c>
      <c r="F76" t="s">
        <v>33</v>
      </c>
      <c r="G76" s="27" t="s">
        <v>2016</v>
      </c>
      <c r="H76" s="26" t="s">
        <v>2020</v>
      </c>
      <c r="I76" s="33" t="s">
        <v>4016</v>
      </c>
    </row>
    <row r="77" spans="1:9" ht="16" customHeight="1">
      <c r="A77" s="24">
        <v>76</v>
      </c>
      <c r="B77" s="25" t="s">
        <v>2019</v>
      </c>
      <c r="C77" s="26" t="s">
        <v>4017</v>
      </c>
      <c r="D77" s="24">
        <v>1</v>
      </c>
      <c r="E77" t="s">
        <v>33</v>
      </c>
      <c r="F77" t="s">
        <v>33</v>
      </c>
      <c r="G77" s="27" t="s">
        <v>2016</v>
      </c>
      <c r="H77" s="26" t="s">
        <v>2020</v>
      </c>
      <c r="I77" s="33" t="s">
        <v>4018</v>
      </c>
    </row>
    <row r="78" spans="1:9" ht="16" customHeight="1">
      <c r="A78" s="24">
        <v>77</v>
      </c>
      <c r="B78" s="25" t="s">
        <v>2019</v>
      </c>
      <c r="C78" s="26" t="s">
        <v>4019</v>
      </c>
      <c r="D78" s="24">
        <v>1</v>
      </c>
      <c r="E78" t="s">
        <v>33</v>
      </c>
      <c r="F78" t="s">
        <v>33</v>
      </c>
      <c r="G78" s="27" t="s">
        <v>2016</v>
      </c>
      <c r="H78" s="26" t="s">
        <v>2020</v>
      </c>
      <c r="I78" s="33" t="s">
        <v>4020</v>
      </c>
    </row>
    <row r="79" spans="1:9" ht="16" customHeight="1">
      <c r="A79" s="24">
        <v>78</v>
      </c>
      <c r="B79" s="25" t="s">
        <v>2019</v>
      </c>
      <c r="C79" s="26" t="s">
        <v>4021</v>
      </c>
      <c r="D79" s="24">
        <v>1</v>
      </c>
      <c r="E79" t="s">
        <v>33</v>
      </c>
      <c r="F79" t="s">
        <v>33</v>
      </c>
      <c r="G79" s="27" t="s">
        <v>2016</v>
      </c>
      <c r="H79" s="26" t="s">
        <v>2020</v>
      </c>
      <c r="I79" s="33" t="s">
        <v>4022</v>
      </c>
    </row>
    <row r="80" spans="1:9" ht="16" customHeight="1">
      <c r="A80" s="24">
        <v>79</v>
      </c>
      <c r="B80" s="25" t="s">
        <v>2019</v>
      </c>
      <c r="C80" s="26" t="s">
        <v>4023</v>
      </c>
      <c r="D80" s="24">
        <v>1</v>
      </c>
      <c r="E80" t="s">
        <v>33</v>
      </c>
      <c r="F80" t="s">
        <v>33</v>
      </c>
      <c r="G80" s="27" t="s">
        <v>2016</v>
      </c>
      <c r="H80" s="26" t="s">
        <v>2020</v>
      </c>
      <c r="I80" s="33" t="s">
        <v>4024</v>
      </c>
    </row>
    <row r="81" spans="1:9" ht="16" customHeight="1">
      <c r="A81" s="24">
        <v>80</v>
      </c>
      <c r="B81" s="25" t="s">
        <v>2019</v>
      </c>
      <c r="C81" s="26" t="s">
        <v>4025</v>
      </c>
      <c r="D81" s="24">
        <v>1</v>
      </c>
      <c r="E81" t="s">
        <v>33</v>
      </c>
      <c r="F81" t="s">
        <v>33</v>
      </c>
      <c r="G81" s="27" t="s">
        <v>2016</v>
      </c>
      <c r="H81" s="26" t="s">
        <v>2020</v>
      </c>
      <c r="I81" s="33" t="s">
        <v>4026</v>
      </c>
    </row>
    <row r="82" spans="1:9" ht="16" customHeight="1">
      <c r="A82" s="24">
        <v>81</v>
      </c>
      <c r="B82" s="25" t="s">
        <v>2019</v>
      </c>
      <c r="C82" s="26" t="s">
        <v>4027</v>
      </c>
      <c r="D82" s="24">
        <v>1</v>
      </c>
      <c r="E82" t="s">
        <v>33</v>
      </c>
      <c r="F82" t="s">
        <v>33</v>
      </c>
      <c r="G82" s="27" t="s">
        <v>2016</v>
      </c>
      <c r="H82" s="26" t="s">
        <v>2020</v>
      </c>
      <c r="I82" s="33" t="s">
        <v>4028</v>
      </c>
    </row>
    <row r="83" spans="1:9" ht="16" customHeight="1">
      <c r="A83" s="24">
        <v>82</v>
      </c>
      <c r="B83" s="25" t="s">
        <v>2019</v>
      </c>
      <c r="C83" s="26" t="s">
        <v>4029</v>
      </c>
      <c r="D83" s="24">
        <v>1</v>
      </c>
      <c r="E83" t="s">
        <v>33</v>
      </c>
      <c r="F83" t="s">
        <v>33</v>
      </c>
      <c r="G83" s="27" t="s">
        <v>2016</v>
      </c>
      <c r="H83" s="26" t="s">
        <v>2020</v>
      </c>
      <c r="I83" s="33" t="s">
        <v>4030</v>
      </c>
    </row>
    <row r="84" spans="1:9" ht="16" customHeight="1">
      <c r="A84" s="24">
        <v>83</v>
      </c>
      <c r="B84" s="25" t="s">
        <v>2019</v>
      </c>
      <c r="C84" s="26" t="s">
        <v>4031</v>
      </c>
      <c r="D84" s="24">
        <v>1</v>
      </c>
      <c r="E84" t="s">
        <v>33</v>
      </c>
      <c r="F84" t="s">
        <v>33</v>
      </c>
      <c r="G84" s="27" t="s">
        <v>2016</v>
      </c>
      <c r="H84" s="26" t="s">
        <v>2020</v>
      </c>
      <c r="I84" s="33" t="s">
        <v>4032</v>
      </c>
    </row>
    <row r="85" spans="1:9" ht="16" customHeight="1">
      <c r="A85" s="24">
        <v>84</v>
      </c>
      <c r="B85" s="25" t="s">
        <v>2019</v>
      </c>
      <c r="C85" s="26" t="s">
        <v>4033</v>
      </c>
      <c r="D85" s="24">
        <v>1</v>
      </c>
      <c r="E85" t="s">
        <v>33</v>
      </c>
      <c r="F85" t="s">
        <v>33</v>
      </c>
      <c r="G85" s="27" t="s">
        <v>2016</v>
      </c>
      <c r="H85" s="26" t="s">
        <v>2020</v>
      </c>
      <c r="I85" s="33" t="s">
        <v>4034</v>
      </c>
    </row>
    <row r="86" spans="1:9" ht="16" customHeight="1">
      <c r="A86" s="24">
        <v>85</v>
      </c>
      <c r="B86" s="25" t="s">
        <v>2003</v>
      </c>
      <c r="C86" s="26" t="s">
        <v>4035</v>
      </c>
      <c r="D86" s="24">
        <v>1</v>
      </c>
      <c r="E86" t="s">
        <v>27</v>
      </c>
      <c r="F86" t="s">
        <v>27</v>
      </c>
      <c r="G86" s="27" t="s">
        <v>1992</v>
      </c>
      <c r="H86" s="26" t="s">
        <v>2004</v>
      </c>
      <c r="I86" s="33" t="s">
        <v>4036</v>
      </c>
    </row>
    <row r="87" spans="1:9" ht="16" customHeight="1">
      <c r="A87" s="24">
        <v>86</v>
      </c>
      <c r="B87" s="25" t="s">
        <v>2003</v>
      </c>
      <c r="C87" s="26" t="s">
        <v>4037</v>
      </c>
      <c r="D87" s="24">
        <v>1</v>
      </c>
      <c r="E87" t="s">
        <v>27</v>
      </c>
      <c r="F87" t="s">
        <v>27</v>
      </c>
      <c r="G87" s="27" t="s">
        <v>1992</v>
      </c>
      <c r="H87" s="26" t="s">
        <v>2004</v>
      </c>
      <c r="I87" s="33" t="s">
        <v>4038</v>
      </c>
    </row>
    <row r="88" spans="1:9" ht="16" customHeight="1">
      <c r="A88" s="24">
        <v>87</v>
      </c>
      <c r="B88" s="25" t="s">
        <v>2003</v>
      </c>
      <c r="C88" s="26" t="s">
        <v>4039</v>
      </c>
      <c r="D88" s="24">
        <v>1</v>
      </c>
      <c r="E88" t="s">
        <v>27</v>
      </c>
      <c r="F88" t="s">
        <v>27</v>
      </c>
      <c r="G88" s="27" t="s">
        <v>1992</v>
      </c>
      <c r="H88" s="26" t="s">
        <v>2004</v>
      </c>
      <c r="I88" s="33" t="s">
        <v>4040</v>
      </c>
    </row>
    <row r="89" spans="1:9" ht="16" customHeight="1">
      <c r="A89" s="24">
        <v>88</v>
      </c>
      <c r="B89" s="25" t="s">
        <v>2003</v>
      </c>
      <c r="C89" s="26" t="s">
        <v>4041</v>
      </c>
      <c r="D89" s="24">
        <v>1</v>
      </c>
      <c r="E89" t="s">
        <v>27</v>
      </c>
      <c r="F89" t="s">
        <v>27</v>
      </c>
      <c r="G89" s="27" t="s">
        <v>1992</v>
      </c>
      <c r="H89" s="26" t="s">
        <v>2004</v>
      </c>
      <c r="I89" s="33" t="s">
        <v>4042</v>
      </c>
    </row>
    <row r="90" spans="1:9" ht="16" customHeight="1">
      <c r="A90" s="24">
        <v>89</v>
      </c>
      <c r="B90" s="25" t="s">
        <v>2003</v>
      </c>
      <c r="C90" s="26" t="s">
        <v>4043</v>
      </c>
      <c r="D90" s="24">
        <v>1</v>
      </c>
      <c r="E90" t="s">
        <v>27</v>
      </c>
      <c r="F90" t="s">
        <v>27</v>
      </c>
      <c r="G90" s="27" t="s">
        <v>1992</v>
      </c>
      <c r="H90" s="26" t="s">
        <v>2004</v>
      </c>
      <c r="I90" s="33" t="s">
        <v>4044</v>
      </c>
    </row>
    <row r="91" spans="1:9" ht="16" customHeight="1">
      <c r="A91" s="24">
        <v>90</v>
      </c>
      <c r="B91" s="25" t="s">
        <v>2003</v>
      </c>
      <c r="C91" s="26" t="s">
        <v>4045</v>
      </c>
      <c r="D91" s="24">
        <v>1</v>
      </c>
      <c r="E91" t="s">
        <v>27</v>
      </c>
      <c r="F91" t="s">
        <v>27</v>
      </c>
      <c r="G91" s="27" t="s">
        <v>1992</v>
      </c>
      <c r="H91" s="26" t="s">
        <v>2004</v>
      </c>
      <c r="I91" s="33" t="s">
        <v>4046</v>
      </c>
    </row>
    <row r="92" spans="1:9" ht="16" customHeight="1">
      <c r="A92" s="24">
        <v>91</v>
      </c>
      <c r="B92" s="25" t="s">
        <v>2003</v>
      </c>
      <c r="C92" s="26" t="s">
        <v>4047</v>
      </c>
      <c r="D92" s="24">
        <v>1</v>
      </c>
      <c r="E92" t="s">
        <v>27</v>
      </c>
      <c r="F92" t="s">
        <v>27</v>
      </c>
      <c r="G92" s="27" t="s">
        <v>1992</v>
      </c>
      <c r="H92" s="26" t="s">
        <v>2004</v>
      </c>
      <c r="I92" s="33" t="s">
        <v>4048</v>
      </c>
    </row>
    <row r="93" spans="1:9" ht="16" customHeight="1">
      <c r="A93" s="24">
        <v>92</v>
      </c>
      <c r="B93" s="25" t="s">
        <v>2003</v>
      </c>
      <c r="C93" s="26" t="s">
        <v>4049</v>
      </c>
      <c r="D93" s="24">
        <v>1</v>
      </c>
      <c r="E93" t="s">
        <v>27</v>
      </c>
      <c r="F93" t="s">
        <v>27</v>
      </c>
      <c r="G93" s="27" t="s">
        <v>1992</v>
      </c>
      <c r="H93" s="26" t="s">
        <v>2004</v>
      </c>
      <c r="I93" s="33" t="s">
        <v>4050</v>
      </c>
    </row>
    <row r="94" spans="1:9" ht="16" customHeight="1">
      <c r="A94" s="24">
        <v>93</v>
      </c>
      <c r="B94" s="25" t="s">
        <v>2003</v>
      </c>
      <c r="C94" s="26" t="s">
        <v>4051</v>
      </c>
      <c r="D94" s="24">
        <v>1</v>
      </c>
      <c r="E94" t="s">
        <v>27</v>
      </c>
      <c r="F94" t="s">
        <v>27</v>
      </c>
      <c r="G94" s="27" t="s">
        <v>1992</v>
      </c>
      <c r="H94" s="26" t="s">
        <v>2004</v>
      </c>
      <c r="I94" s="33" t="s">
        <v>4052</v>
      </c>
    </row>
    <row r="95" spans="1:9" ht="16" customHeight="1">
      <c r="A95" s="24">
        <v>94</v>
      </c>
      <c r="B95" s="25" t="s">
        <v>2003</v>
      </c>
      <c r="C95" s="26" t="s">
        <v>4053</v>
      </c>
      <c r="D95" s="24">
        <v>1</v>
      </c>
      <c r="E95" t="s">
        <v>27</v>
      </c>
      <c r="F95" t="s">
        <v>27</v>
      </c>
      <c r="G95" s="27" t="s">
        <v>1992</v>
      </c>
      <c r="H95" s="26" t="s">
        <v>2004</v>
      </c>
      <c r="I95" s="33" t="s">
        <v>4054</v>
      </c>
    </row>
    <row r="96" spans="1:9" ht="16" customHeight="1">
      <c r="A96" s="24">
        <v>95</v>
      </c>
      <c r="B96" s="25" t="s">
        <v>2053</v>
      </c>
      <c r="C96" s="26" t="s">
        <v>4055</v>
      </c>
      <c r="D96" s="24">
        <v>3</v>
      </c>
      <c r="E96" t="s">
        <v>25</v>
      </c>
      <c r="F96" t="s">
        <v>25</v>
      </c>
      <c r="G96" s="27" t="s">
        <v>2043</v>
      </c>
      <c r="H96" s="26" t="s">
        <v>2054</v>
      </c>
      <c r="I96" s="33" t="s">
        <v>4056</v>
      </c>
    </row>
    <row r="97" spans="1:9" ht="16" customHeight="1">
      <c r="A97" s="24">
        <v>96</v>
      </c>
      <c r="B97" s="25" t="s">
        <v>2069</v>
      </c>
      <c r="C97" s="26" t="s">
        <v>4057</v>
      </c>
      <c r="D97" s="24">
        <v>3</v>
      </c>
      <c r="E97" t="s">
        <v>25</v>
      </c>
      <c r="F97" t="s">
        <v>25</v>
      </c>
      <c r="G97" s="27" t="s">
        <v>2068</v>
      </c>
      <c r="H97" s="26" t="s">
        <v>2070</v>
      </c>
      <c r="I97" s="33" t="s">
        <v>4058</v>
      </c>
    </row>
    <row r="98" spans="1:9" ht="16" customHeight="1">
      <c r="A98" s="24">
        <v>97</v>
      </c>
      <c r="B98" s="25" t="s">
        <v>2069</v>
      </c>
      <c r="C98" s="26" t="s">
        <v>4059</v>
      </c>
      <c r="D98" s="24">
        <v>2</v>
      </c>
      <c r="E98" t="s">
        <v>25</v>
      </c>
      <c r="F98" t="s">
        <v>25</v>
      </c>
      <c r="G98" s="27" t="s">
        <v>2068</v>
      </c>
      <c r="H98" s="26" t="s">
        <v>2070</v>
      </c>
      <c r="I98" s="33" t="s">
        <v>4060</v>
      </c>
    </row>
    <row r="99" spans="1:9" ht="16" customHeight="1">
      <c r="A99" s="24">
        <v>98</v>
      </c>
      <c r="B99" s="25" t="s">
        <v>2069</v>
      </c>
      <c r="C99" s="26" t="s">
        <v>4061</v>
      </c>
      <c r="D99" s="24">
        <v>1</v>
      </c>
      <c r="E99" t="s">
        <v>25</v>
      </c>
      <c r="F99" t="s">
        <v>25</v>
      </c>
      <c r="G99" s="27" t="s">
        <v>2068</v>
      </c>
      <c r="H99" s="26" t="s">
        <v>2070</v>
      </c>
      <c r="I99" s="33" t="s">
        <v>4062</v>
      </c>
    </row>
    <row r="100" spans="1:9" ht="16" customHeight="1">
      <c r="A100" s="24">
        <v>99</v>
      </c>
      <c r="B100" s="25" t="s">
        <v>2069</v>
      </c>
      <c r="C100" s="26" t="s">
        <v>4063</v>
      </c>
      <c r="D100" s="24">
        <v>2</v>
      </c>
      <c r="E100" t="s">
        <v>25</v>
      </c>
      <c r="F100" t="s">
        <v>25</v>
      </c>
      <c r="G100" s="27" t="s">
        <v>2068</v>
      </c>
      <c r="H100" s="26" t="s">
        <v>2070</v>
      </c>
      <c r="I100" s="33" t="s">
        <v>4064</v>
      </c>
    </row>
    <row r="101" spans="1:9" ht="16" customHeight="1">
      <c r="A101" s="24">
        <v>100</v>
      </c>
      <c r="B101" s="25" t="s">
        <v>2221</v>
      </c>
      <c r="C101" s="26" t="s">
        <v>4057</v>
      </c>
      <c r="D101" s="24">
        <v>3</v>
      </c>
      <c r="E101" t="s">
        <v>33</v>
      </c>
      <c r="F101" t="s">
        <v>33</v>
      </c>
      <c r="G101" s="27" t="s">
        <v>2208</v>
      </c>
      <c r="H101" s="26" t="s">
        <v>2222</v>
      </c>
      <c r="I101" s="33" t="s">
        <v>4065</v>
      </c>
    </row>
    <row r="102" spans="1:9" ht="16" customHeight="1">
      <c r="A102" s="24">
        <v>101</v>
      </c>
      <c r="B102" s="25" t="s">
        <v>2221</v>
      </c>
      <c r="C102" s="26" t="s">
        <v>4059</v>
      </c>
      <c r="D102" s="24">
        <v>2</v>
      </c>
      <c r="E102" t="s">
        <v>33</v>
      </c>
      <c r="F102" t="s">
        <v>33</v>
      </c>
      <c r="G102" s="27" t="s">
        <v>2208</v>
      </c>
      <c r="H102" s="26" t="s">
        <v>2222</v>
      </c>
      <c r="I102" s="33" t="s">
        <v>4066</v>
      </c>
    </row>
    <row r="103" spans="1:9" ht="16" customHeight="1">
      <c r="A103" s="24">
        <v>102</v>
      </c>
      <c r="B103" s="25" t="s">
        <v>2221</v>
      </c>
      <c r="C103" s="26" t="s">
        <v>4061</v>
      </c>
      <c r="D103" s="24">
        <v>1</v>
      </c>
      <c r="E103" t="s">
        <v>33</v>
      </c>
      <c r="F103" t="s">
        <v>33</v>
      </c>
      <c r="G103" s="27" t="s">
        <v>2208</v>
      </c>
      <c r="H103" s="26" t="s">
        <v>2222</v>
      </c>
      <c r="I103" s="33" t="s">
        <v>4067</v>
      </c>
    </row>
    <row r="104" spans="1:9" ht="16" customHeight="1">
      <c r="A104" s="24">
        <v>103</v>
      </c>
      <c r="B104" s="25" t="s">
        <v>2221</v>
      </c>
      <c r="C104" s="26" t="s">
        <v>4063</v>
      </c>
      <c r="D104" s="24">
        <v>2</v>
      </c>
      <c r="E104" t="s">
        <v>33</v>
      </c>
      <c r="F104" t="s">
        <v>33</v>
      </c>
      <c r="G104" s="27" t="s">
        <v>2208</v>
      </c>
      <c r="H104" s="26" t="s">
        <v>2222</v>
      </c>
      <c r="I104" s="33" t="s">
        <v>4068</v>
      </c>
    </row>
    <row r="105" spans="1:9" ht="16" customHeight="1">
      <c r="A105" s="24">
        <v>104</v>
      </c>
      <c r="B105" s="25" t="s">
        <v>2220</v>
      </c>
      <c r="C105" s="26" t="s">
        <v>4069</v>
      </c>
      <c r="D105" s="24">
        <v>1</v>
      </c>
      <c r="E105" t="s">
        <v>35</v>
      </c>
      <c r="F105" t="s">
        <v>35</v>
      </c>
      <c r="G105" s="27" t="s">
        <v>2208</v>
      </c>
      <c r="H105" s="26" t="s">
        <v>36</v>
      </c>
      <c r="I105" s="33" t="s">
        <v>4070</v>
      </c>
    </row>
    <row r="106" spans="1:9" ht="16" customHeight="1">
      <c r="A106" s="24">
        <v>105</v>
      </c>
      <c r="B106" s="25" t="s">
        <v>2209</v>
      </c>
      <c r="C106" s="26" t="s">
        <v>4071</v>
      </c>
      <c r="D106" s="24">
        <v>1</v>
      </c>
      <c r="E106" t="s">
        <v>23</v>
      </c>
      <c r="F106" t="s">
        <v>23</v>
      </c>
      <c r="G106" s="27" t="s">
        <v>2208</v>
      </c>
      <c r="H106" s="26" t="s">
        <v>2210</v>
      </c>
      <c r="I106" s="33" t="s">
        <v>4072</v>
      </c>
    </row>
    <row r="107" spans="1:9" ht="16" customHeight="1">
      <c r="A107" s="24">
        <v>106</v>
      </c>
      <c r="B107" s="25" t="s">
        <v>2286</v>
      </c>
      <c r="C107" s="26" t="s">
        <v>4073</v>
      </c>
      <c r="D107" s="24">
        <v>3</v>
      </c>
      <c r="E107" t="s">
        <v>25</v>
      </c>
      <c r="F107" t="s">
        <v>25</v>
      </c>
      <c r="G107" s="27" t="s">
        <v>2285</v>
      </c>
      <c r="H107" s="26" t="s">
        <v>2287</v>
      </c>
      <c r="I107" s="33" t="s">
        <v>4074</v>
      </c>
    </row>
    <row r="108" spans="1:9" ht="16" customHeight="1">
      <c r="A108" s="24">
        <v>107</v>
      </c>
      <c r="B108" s="25" t="s">
        <v>2313</v>
      </c>
      <c r="C108" s="26" t="s">
        <v>4075</v>
      </c>
      <c r="D108" s="24">
        <v>2</v>
      </c>
      <c r="E108" t="s">
        <v>50</v>
      </c>
      <c r="F108" t="s">
        <v>50</v>
      </c>
      <c r="G108" s="27" t="s">
        <v>2312</v>
      </c>
      <c r="H108" s="26" t="s">
        <v>2314</v>
      </c>
      <c r="I108" s="33" t="s">
        <v>4076</v>
      </c>
    </row>
    <row r="109" spans="1:9" ht="16" customHeight="1">
      <c r="A109" s="24">
        <v>108</v>
      </c>
      <c r="B109" s="25" t="s">
        <v>2313</v>
      </c>
      <c r="C109" s="26" t="s">
        <v>4077</v>
      </c>
      <c r="D109" s="24">
        <v>1</v>
      </c>
      <c r="E109" t="s">
        <v>50</v>
      </c>
      <c r="F109" t="s">
        <v>50</v>
      </c>
      <c r="G109" s="27" t="s">
        <v>2312</v>
      </c>
      <c r="H109" s="26" t="s">
        <v>2314</v>
      </c>
      <c r="I109" s="33" t="s">
        <v>4078</v>
      </c>
    </row>
    <row r="110" spans="1:9" ht="16" customHeight="1">
      <c r="A110" s="24">
        <v>109</v>
      </c>
      <c r="B110" s="25" t="s">
        <v>2357</v>
      </c>
      <c r="C110" s="26" t="s">
        <v>4079</v>
      </c>
      <c r="D110" s="24">
        <v>1</v>
      </c>
      <c r="E110" t="s">
        <v>50</v>
      </c>
      <c r="F110" t="s">
        <v>50</v>
      </c>
      <c r="G110" s="27" t="s">
        <v>2356</v>
      </c>
      <c r="H110" s="26" t="s">
        <v>2314</v>
      </c>
      <c r="I110" s="33" t="s">
        <v>4080</v>
      </c>
    </row>
    <row r="111" spans="1:9" ht="16" customHeight="1">
      <c r="A111" s="24">
        <v>110</v>
      </c>
      <c r="B111" s="25" t="s">
        <v>2357</v>
      </c>
      <c r="C111" s="26" t="s">
        <v>4081</v>
      </c>
      <c r="D111" s="24">
        <v>1</v>
      </c>
      <c r="E111" t="s">
        <v>50</v>
      </c>
      <c r="F111" t="s">
        <v>50</v>
      </c>
      <c r="G111" s="27" t="s">
        <v>2356</v>
      </c>
      <c r="H111" s="26" t="s">
        <v>2314</v>
      </c>
      <c r="I111" s="33" t="s">
        <v>4082</v>
      </c>
    </row>
    <row r="112" spans="1:9" ht="16" customHeight="1">
      <c r="A112" s="24">
        <v>111</v>
      </c>
      <c r="B112" s="25" t="s">
        <v>2357</v>
      </c>
      <c r="C112" s="26" t="s">
        <v>4083</v>
      </c>
      <c r="D112" s="24">
        <v>1</v>
      </c>
      <c r="E112" t="s">
        <v>50</v>
      </c>
      <c r="F112" t="s">
        <v>50</v>
      </c>
      <c r="G112" s="27" t="s">
        <v>2356</v>
      </c>
      <c r="H112" s="26" t="s">
        <v>2314</v>
      </c>
      <c r="I112" s="33" t="s">
        <v>4084</v>
      </c>
    </row>
    <row r="113" spans="1:9" ht="16" customHeight="1">
      <c r="A113" s="24">
        <v>112</v>
      </c>
      <c r="B113" s="25" t="s">
        <v>2379</v>
      </c>
      <c r="C113" s="26" t="s">
        <v>4085</v>
      </c>
      <c r="D113" s="24">
        <v>1</v>
      </c>
      <c r="E113" t="s">
        <v>27</v>
      </c>
      <c r="F113" t="s">
        <v>27</v>
      </c>
      <c r="G113" s="27" t="s">
        <v>2378</v>
      </c>
      <c r="H113" s="26" t="s">
        <v>2380</v>
      </c>
      <c r="I113" s="33" t="s">
        <v>4086</v>
      </c>
    </row>
    <row r="114" spans="1:9" ht="16" customHeight="1">
      <c r="A114" s="24">
        <v>113</v>
      </c>
      <c r="B114" s="25" t="s">
        <v>2425</v>
      </c>
      <c r="C114" s="26" t="s">
        <v>4087</v>
      </c>
      <c r="D114" s="24">
        <v>1</v>
      </c>
      <c r="E114" t="s">
        <v>10</v>
      </c>
      <c r="F114" t="s">
        <v>10</v>
      </c>
      <c r="G114" s="27" t="s">
        <v>2424</v>
      </c>
      <c r="H114" s="26" t="s">
        <v>2426</v>
      </c>
      <c r="I114" s="33" t="s">
        <v>4088</v>
      </c>
    </row>
    <row r="115" spans="1:9" ht="16" customHeight="1">
      <c r="A115" s="24">
        <v>114</v>
      </c>
      <c r="B115" s="25" t="s">
        <v>2470</v>
      </c>
      <c r="C115" s="26" t="s">
        <v>4089</v>
      </c>
      <c r="D115" s="24">
        <v>1</v>
      </c>
      <c r="E115" t="s">
        <v>27</v>
      </c>
      <c r="F115" t="s">
        <v>27</v>
      </c>
      <c r="G115" s="27" t="s">
        <v>2459</v>
      </c>
      <c r="H115" s="26" t="s">
        <v>2341</v>
      </c>
      <c r="I115" s="33" t="s">
        <v>4090</v>
      </c>
    </row>
    <row r="116" spans="1:9" ht="16" customHeight="1">
      <c r="A116" s="24">
        <v>115</v>
      </c>
      <c r="B116" s="25" t="s">
        <v>2468</v>
      </c>
      <c r="C116" s="26" t="s">
        <v>4091</v>
      </c>
      <c r="D116" s="24">
        <v>2</v>
      </c>
      <c r="E116" t="s">
        <v>27</v>
      </c>
      <c r="F116" t="s">
        <v>27</v>
      </c>
      <c r="G116" s="27" t="s">
        <v>2459</v>
      </c>
      <c r="H116" s="26" t="s">
        <v>2469</v>
      </c>
      <c r="I116" s="33" t="s">
        <v>4092</v>
      </c>
    </row>
    <row r="117" spans="1:9" ht="16" customHeight="1">
      <c r="A117" s="24">
        <v>116</v>
      </c>
      <c r="B117" s="25" t="s">
        <v>2488</v>
      </c>
      <c r="C117" s="26" t="s">
        <v>4093</v>
      </c>
      <c r="D117" s="24">
        <v>1</v>
      </c>
      <c r="E117" t="s">
        <v>10</v>
      </c>
      <c r="F117" t="s">
        <v>10</v>
      </c>
      <c r="G117" s="27" t="s">
        <v>2482</v>
      </c>
      <c r="H117" s="26" t="s">
        <v>2489</v>
      </c>
      <c r="I117" s="33" t="s">
        <v>4094</v>
      </c>
    </row>
    <row r="118" spans="1:9" ht="16" customHeight="1">
      <c r="A118" s="24">
        <v>117</v>
      </c>
      <c r="B118" s="25" t="s">
        <v>2726</v>
      </c>
      <c r="C118" s="26" t="s">
        <v>4095</v>
      </c>
      <c r="D118" s="24">
        <v>1</v>
      </c>
      <c r="E118" t="s">
        <v>25</v>
      </c>
      <c r="F118" t="s">
        <v>25</v>
      </c>
      <c r="G118" s="27" t="s">
        <v>2725</v>
      </c>
      <c r="H118" s="26" t="s">
        <v>2181</v>
      </c>
      <c r="I118" s="33" t="s">
        <v>4096</v>
      </c>
    </row>
    <row r="119" spans="1:9" ht="16" customHeight="1">
      <c r="A119" s="24">
        <v>118</v>
      </c>
      <c r="B119" s="25" t="s">
        <v>2726</v>
      </c>
      <c r="C119" s="26" t="s">
        <v>4097</v>
      </c>
      <c r="D119" s="24">
        <v>1</v>
      </c>
      <c r="E119" t="s">
        <v>25</v>
      </c>
      <c r="F119" t="s">
        <v>25</v>
      </c>
      <c r="G119" s="27" t="s">
        <v>2725</v>
      </c>
      <c r="H119" s="26" t="s">
        <v>2181</v>
      </c>
      <c r="I119" s="33" t="s">
        <v>4098</v>
      </c>
    </row>
    <row r="120" spans="1:9" ht="16" customHeight="1">
      <c r="A120" s="24">
        <v>119</v>
      </c>
      <c r="B120" s="25" t="s">
        <v>2726</v>
      </c>
      <c r="C120" s="26" t="s">
        <v>4099</v>
      </c>
      <c r="D120" s="24">
        <v>1</v>
      </c>
      <c r="E120" t="s">
        <v>25</v>
      </c>
      <c r="F120" t="s">
        <v>25</v>
      </c>
      <c r="G120" s="27" t="s">
        <v>2725</v>
      </c>
      <c r="H120" s="26" t="s">
        <v>2181</v>
      </c>
      <c r="I120" s="33" t="s">
        <v>4100</v>
      </c>
    </row>
    <row r="121" spans="1:9" ht="16" customHeight="1">
      <c r="A121" s="24">
        <v>120</v>
      </c>
      <c r="B121" s="25" t="s">
        <v>2726</v>
      </c>
      <c r="C121" s="26" t="s">
        <v>4101</v>
      </c>
      <c r="D121" s="24">
        <v>1</v>
      </c>
      <c r="E121" t="s">
        <v>25</v>
      </c>
      <c r="F121" t="s">
        <v>25</v>
      </c>
      <c r="G121" s="27" t="s">
        <v>2725</v>
      </c>
      <c r="H121" s="26" t="s">
        <v>2181</v>
      </c>
      <c r="I121" s="33" t="s">
        <v>4102</v>
      </c>
    </row>
    <row r="122" spans="1:9" ht="16" customHeight="1">
      <c r="A122" s="24">
        <v>121</v>
      </c>
      <c r="B122" s="25" t="s">
        <v>2816</v>
      </c>
      <c r="C122" s="26" t="s">
        <v>4103</v>
      </c>
      <c r="D122" s="24">
        <v>4</v>
      </c>
      <c r="E122" t="s">
        <v>27</v>
      </c>
      <c r="F122" t="s">
        <v>27</v>
      </c>
      <c r="G122" s="27" t="s">
        <v>2815</v>
      </c>
      <c r="H122" s="26" t="s">
        <v>1782</v>
      </c>
      <c r="I122" s="33" t="s">
        <v>4104</v>
      </c>
    </row>
    <row r="123" spans="1:9" ht="16" customHeight="1">
      <c r="A123" s="24">
        <v>122</v>
      </c>
      <c r="B123" s="25" t="s">
        <v>2590</v>
      </c>
      <c r="C123" s="26" t="s">
        <v>4105</v>
      </c>
      <c r="D123" s="24">
        <v>1</v>
      </c>
      <c r="E123" t="s">
        <v>10</v>
      </c>
      <c r="F123" t="s">
        <v>10</v>
      </c>
      <c r="G123" s="27" t="s">
        <v>2589</v>
      </c>
      <c r="H123" s="26" t="s">
        <v>2314</v>
      </c>
      <c r="I123" s="33" t="s">
        <v>4106</v>
      </c>
    </row>
    <row r="124" spans="1:9" ht="16" customHeight="1">
      <c r="A124" s="24">
        <v>123</v>
      </c>
      <c r="B124" s="25" t="s">
        <v>2630</v>
      </c>
      <c r="C124" s="26" t="s">
        <v>4107</v>
      </c>
      <c r="D124" s="24">
        <v>12</v>
      </c>
      <c r="E124" t="s">
        <v>25</v>
      </c>
      <c r="F124" t="s">
        <v>25</v>
      </c>
      <c r="G124" s="27" t="s">
        <v>2629</v>
      </c>
      <c r="H124" s="26" t="s">
        <v>104</v>
      </c>
      <c r="I124" s="33" t="s">
        <v>4108</v>
      </c>
    </row>
    <row r="125" spans="1:9" ht="16" customHeight="1">
      <c r="A125" s="24">
        <v>124</v>
      </c>
      <c r="B125" s="25" t="s">
        <v>2699</v>
      </c>
      <c r="C125" s="26" t="s">
        <v>4109</v>
      </c>
      <c r="D125" s="24">
        <v>1</v>
      </c>
      <c r="E125" t="s">
        <v>23</v>
      </c>
      <c r="F125" t="s">
        <v>23</v>
      </c>
      <c r="G125" s="27" t="s">
        <v>2698</v>
      </c>
      <c r="H125" s="26" t="s">
        <v>2700</v>
      </c>
      <c r="I125" s="33" t="s">
        <v>4110</v>
      </c>
    </row>
    <row r="126" spans="1:9" ht="16" customHeight="1">
      <c r="A126" s="24">
        <v>125</v>
      </c>
      <c r="B126" s="25" t="s">
        <v>2706</v>
      </c>
      <c r="C126" s="26" t="s">
        <v>4109</v>
      </c>
      <c r="D126" s="24">
        <v>1</v>
      </c>
      <c r="E126" t="s">
        <v>10</v>
      </c>
      <c r="F126" t="s">
        <v>10</v>
      </c>
      <c r="G126" s="27" t="s">
        <v>2705</v>
      </c>
      <c r="H126" s="26" t="s">
        <v>2707</v>
      </c>
      <c r="I126" s="33" t="s">
        <v>4111</v>
      </c>
    </row>
    <row r="127" spans="1:9" ht="16" customHeight="1">
      <c r="A127" s="24">
        <v>126</v>
      </c>
      <c r="B127" s="25" t="s">
        <v>2731</v>
      </c>
      <c r="C127" s="26" t="s">
        <v>4112</v>
      </c>
      <c r="D127" s="24">
        <v>1</v>
      </c>
      <c r="E127" t="s">
        <v>27</v>
      </c>
      <c r="F127" t="s">
        <v>27</v>
      </c>
      <c r="G127" s="27" t="s">
        <v>2725</v>
      </c>
      <c r="H127" s="26" t="s">
        <v>2599</v>
      </c>
      <c r="I127" s="33" t="s">
        <v>4113</v>
      </c>
    </row>
    <row r="128" spans="1:9" ht="16" customHeight="1">
      <c r="A128" s="24">
        <v>127</v>
      </c>
      <c r="B128" s="25" t="s">
        <v>2731</v>
      </c>
      <c r="C128" s="26" t="s">
        <v>4114</v>
      </c>
      <c r="D128" s="24">
        <v>1</v>
      </c>
      <c r="E128" t="s">
        <v>27</v>
      </c>
      <c r="F128" t="s">
        <v>27</v>
      </c>
      <c r="G128" s="27" t="s">
        <v>2725</v>
      </c>
      <c r="H128" s="26" t="s">
        <v>2599</v>
      </c>
      <c r="I128" s="33" t="s">
        <v>4115</v>
      </c>
    </row>
    <row r="129" spans="1:9" ht="16" customHeight="1">
      <c r="A129" s="24">
        <v>128</v>
      </c>
      <c r="B129" s="25" t="s">
        <v>2731</v>
      </c>
      <c r="C129" s="26" t="s">
        <v>4116</v>
      </c>
      <c r="D129" s="24">
        <v>1</v>
      </c>
      <c r="E129" t="s">
        <v>27</v>
      </c>
      <c r="F129" t="s">
        <v>27</v>
      </c>
      <c r="G129" s="27" t="s">
        <v>2725</v>
      </c>
      <c r="H129" s="26" t="s">
        <v>2599</v>
      </c>
      <c r="I129" s="33" t="s">
        <v>4117</v>
      </c>
    </row>
    <row r="130" spans="1:9" ht="16" customHeight="1">
      <c r="A130" s="24">
        <v>129</v>
      </c>
      <c r="B130" s="25" t="s">
        <v>2731</v>
      </c>
      <c r="C130" s="26" t="s">
        <v>4118</v>
      </c>
      <c r="D130" s="24">
        <v>1</v>
      </c>
      <c r="E130" t="s">
        <v>27</v>
      </c>
      <c r="F130" t="s">
        <v>27</v>
      </c>
      <c r="G130" s="27" t="s">
        <v>2725</v>
      </c>
      <c r="H130" s="26" t="s">
        <v>2599</v>
      </c>
      <c r="I130" s="33" t="s">
        <v>4119</v>
      </c>
    </row>
    <row r="131" spans="1:9" ht="16" customHeight="1">
      <c r="A131" s="24">
        <v>130</v>
      </c>
      <c r="B131" s="25" t="s">
        <v>2752</v>
      </c>
      <c r="C131" s="26" t="s">
        <v>4120</v>
      </c>
      <c r="D131" s="24">
        <v>1</v>
      </c>
      <c r="E131" t="s">
        <v>25</v>
      </c>
      <c r="F131" t="s">
        <v>25</v>
      </c>
      <c r="G131" s="27" t="s">
        <v>2751</v>
      </c>
      <c r="H131" s="26" t="s">
        <v>2753</v>
      </c>
      <c r="I131" s="33" t="s">
        <v>4121</v>
      </c>
    </row>
    <row r="132" spans="1:9" ht="16" customHeight="1">
      <c r="A132" s="24">
        <v>131</v>
      </c>
      <c r="B132" s="25" t="s">
        <v>2752</v>
      </c>
      <c r="C132" s="26" t="s">
        <v>4122</v>
      </c>
      <c r="D132" s="24">
        <v>1</v>
      </c>
      <c r="E132" t="s">
        <v>25</v>
      </c>
      <c r="F132" t="s">
        <v>25</v>
      </c>
      <c r="G132" s="27" t="s">
        <v>2751</v>
      </c>
      <c r="H132" s="26" t="s">
        <v>2753</v>
      </c>
      <c r="I132" s="33" t="s">
        <v>4123</v>
      </c>
    </row>
    <row r="133" spans="1:9" ht="16" customHeight="1">
      <c r="A133" s="24">
        <v>132</v>
      </c>
      <c r="B133" s="25" t="s">
        <v>2763</v>
      </c>
      <c r="C133" s="26" t="s">
        <v>4124</v>
      </c>
      <c r="D133" s="24">
        <v>4</v>
      </c>
      <c r="E133" t="s">
        <v>25</v>
      </c>
      <c r="F133" t="s">
        <v>25</v>
      </c>
      <c r="G133" s="27" t="s">
        <v>2762</v>
      </c>
      <c r="H133" s="26" t="s">
        <v>2764</v>
      </c>
      <c r="I133" s="33" t="s">
        <v>4125</v>
      </c>
    </row>
    <row r="134" spans="1:9" ht="16" customHeight="1">
      <c r="A134" s="24">
        <v>133</v>
      </c>
      <c r="B134" s="25" t="s">
        <v>2810</v>
      </c>
      <c r="C134" s="26" t="s">
        <v>4126</v>
      </c>
      <c r="D134" s="24">
        <v>1</v>
      </c>
      <c r="E134" t="s">
        <v>27</v>
      </c>
      <c r="F134" t="s">
        <v>27</v>
      </c>
      <c r="G134" s="27" t="s">
        <v>2809</v>
      </c>
      <c r="H134" s="26" t="s">
        <v>2811</v>
      </c>
      <c r="I134" s="33" t="s">
        <v>4127</v>
      </c>
    </row>
    <row r="135" spans="1:9" ht="16" customHeight="1">
      <c r="A135" s="24">
        <v>134</v>
      </c>
      <c r="B135" s="25" t="s">
        <v>2872</v>
      </c>
      <c r="C135" s="26" t="s">
        <v>4128</v>
      </c>
      <c r="D135" s="24">
        <v>2</v>
      </c>
      <c r="E135" t="s">
        <v>27</v>
      </c>
      <c r="F135" t="s">
        <v>27</v>
      </c>
      <c r="G135" s="27" t="s">
        <v>2860</v>
      </c>
      <c r="H135" s="26" t="s">
        <v>2873</v>
      </c>
      <c r="I135" s="33" t="s">
        <v>4129</v>
      </c>
    </row>
    <row r="136" spans="1:9" ht="16" customHeight="1">
      <c r="A136" s="24">
        <v>135</v>
      </c>
      <c r="B136" s="25" t="s">
        <v>2892</v>
      </c>
      <c r="C136" s="26" t="s">
        <v>4130</v>
      </c>
      <c r="D136" s="24">
        <v>1</v>
      </c>
      <c r="E136" t="s">
        <v>10</v>
      </c>
      <c r="F136" t="s">
        <v>10</v>
      </c>
      <c r="G136" s="27" t="s">
        <v>2891</v>
      </c>
      <c r="H136" s="26" t="s">
        <v>51</v>
      </c>
      <c r="I136" s="33" t="s">
        <v>4131</v>
      </c>
    </row>
    <row r="137" spans="1:9" ht="16" customHeight="1">
      <c r="A137" s="24">
        <v>136</v>
      </c>
      <c r="B137" s="25" t="s">
        <v>2892</v>
      </c>
      <c r="C137" s="26" t="s">
        <v>4132</v>
      </c>
      <c r="D137" s="24">
        <v>1</v>
      </c>
      <c r="E137" t="s">
        <v>10</v>
      </c>
      <c r="F137" t="s">
        <v>10</v>
      </c>
      <c r="G137" s="27" t="s">
        <v>2891</v>
      </c>
      <c r="H137" s="26" t="s">
        <v>51</v>
      </c>
      <c r="I137" s="33" t="s">
        <v>4133</v>
      </c>
    </row>
    <row r="138" spans="1:9" ht="16" customHeight="1">
      <c r="A138" s="24">
        <v>137</v>
      </c>
      <c r="B138" s="25" t="s">
        <v>2904</v>
      </c>
      <c r="C138" s="26" t="s">
        <v>4134</v>
      </c>
      <c r="D138" s="24">
        <v>1</v>
      </c>
      <c r="E138" t="s">
        <v>10</v>
      </c>
      <c r="F138" t="s">
        <v>10</v>
      </c>
      <c r="G138" s="27" t="s">
        <v>2903</v>
      </c>
      <c r="H138" s="26" t="s">
        <v>51</v>
      </c>
      <c r="I138" s="33" t="s">
        <v>4135</v>
      </c>
    </row>
    <row r="139" spans="1:9" ht="16" customHeight="1">
      <c r="A139" s="24">
        <v>138</v>
      </c>
      <c r="B139" s="25" t="s">
        <v>2948</v>
      </c>
      <c r="C139" s="26" t="s">
        <v>4136</v>
      </c>
      <c r="D139" s="24">
        <v>1</v>
      </c>
      <c r="E139" t="s">
        <v>50</v>
      </c>
      <c r="F139" t="s">
        <v>50</v>
      </c>
      <c r="G139" s="27" t="s">
        <v>2947</v>
      </c>
      <c r="H139" s="26" t="s">
        <v>51</v>
      </c>
      <c r="I139" s="33" t="s">
        <v>4137</v>
      </c>
    </row>
    <row r="140" spans="1:9" ht="16" customHeight="1">
      <c r="A140" s="24">
        <v>139</v>
      </c>
      <c r="B140" s="25" t="s">
        <v>2948</v>
      </c>
      <c r="C140" s="26" t="s">
        <v>4138</v>
      </c>
      <c r="D140" s="24">
        <v>1</v>
      </c>
      <c r="E140" t="s">
        <v>50</v>
      </c>
      <c r="F140" t="s">
        <v>50</v>
      </c>
      <c r="G140" s="27" t="s">
        <v>2947</v>
      </c>
      <c r="H140" s="26" t="s">
        <v>51</v>
      </c>
      <c r="I140" s="33" t="s">
        <v>4139</v>
      </c>
    </row>
    <row r="141" spans="1:9" ht="16" customHeight="1">
      <c r="A141" s="24">
        <v>140</v>
      </c>
      <c r="B141" s="25" t="s">
        <v>2961</v>
      </c>
      <c r="C141" s="26" t="s">
        <v>4140</v>
      </c>
      <c r="D141" s="24">
        <v>1</v>
      </c>
      <c r="E141" t="s">
        <v>25</v>
      </c>
      <c r="F141" t="s">
        <v>25</v>
      </c>
      <c r="G141" s="27" t="s">
        <v>2960</v>
      </c>
      <c r="H141" s="26" t="s">
        <v>1960</v>
      </c>
      <c r="I141" s="33" t="s">
        <v>4141</v>
      </c>
    </row>
    <row r="142" spans="1:9" ht="16" customHeight="1">
      <c r="A142" s="24">
        <v>141</v>
      </c>
      <c r="B142" s="25" t="s">
        <v>2961</v>
      </c>
      <c r="C142" s="26" t="s">
        <v>4142</v>
      </c>
      <c r="D142" s="24">
        <v>1</v>
      </c>
      <c r="E142" t="s">
        <v>25</v>
      </c>
      <c r="F142" t="s">
        <v>25</v>
      </c>
      <c r="G142" s="27" t="s">
        <v>2960</v>
      </c>
      <c r="H142" s="26" t="s">
        <v>1960</v>
      </c>
      <c r="I142" s="33" t="s">
        <v>4143</v>
      </c>
    </row>
    <row r="143" spans="1:9" ht="16" customHeight="1">
      <c r="A143" s="24">
        <v>142</v>
      </c>
      <c r="B143" s="25" t="s">
        <v>2961</v>
      </c>
      <c r="C143" s="26" t="s">
        <v>4144</v>
      </c>
      <c r="D143" s="24">
        <v>1</v>
      </c>
      <c r="E143" t="s">
        <v>25</v>
      </c>
      <c r="F143" t="s">
        <v>25</v>
      </c>
      <c r="G143" s="27" t="s">
        <v>2960</v>
      </c>
      <c r="H143" s="26" t="s">
        <v>1960</v>
      </c>
      <c r="I143" s="33" t="s">
        <v>4145</v>
      </c>
    </row>
    <row r="144" spans="1:9" ht="16" customHeight="1">
      <c r="A144" s="24">
        <v>143</v>
      </c>
      <c r="B144" s="25" t="s">
        <v>2961</v>
      </c>
      <c r="C144" s="26" t="s">
        <v>4146</v>
      </c>
      <c r="D144" s="24">
        <v>1</v>
      </c>
      <c r="E144" t="s">
        <v>25</v>
      </c>
      <c r="F144" t="s">
        <v>25</v>
      </c>
      <c r="G144" s="27" t="s">
        <v>2960</v>
      </c>
      <c r="H144" s="26" t="s">
        <v>1960</v>
      </c>
      <c r="I144" s="33" t="s">
        <v>4147</v>
      </c>
    </row>
    <row r="145" spans="1:9" ht="16" customHeight="1">
      <c r="A145" s="24">
        <v>144</v>
      </c>
      <c r="B145" s="25" t="s">
        <v>2961</v>
      </c>
      <c r="C145" s="26" t="s">
        <v>4148</v>
      </c>
      <c r="D145" s="24">
        <v>1</v>
      </c>
      <c r="E145" t="s">
        <v>25</v>
      </c>
      <c r="F145" t="s">
        <v>25</v>
      </c>
      <c r="G145" s="27" t="s">
        <v>2960</v>
      </c>
      <c r="H145" s="26" t="s">
        <v>1960</v>
      </c>
      <c r="I145" s="33" t="s">
        <v>4149</v>
      </c>
    </row>
    <row r="146" spans="1:9" ht="16" customHeight="1">
      <c r="A146" s="24">
        <v>145</v>
      </c>
      <c r="B146" s="25" t="s">
        <v>2966</v>
      </c>
      <c r="C146" s="26" t="s">
        <v>4150</v>
      </c>
      <c r="D146" s="24">
        <v>1</v>
      </c>
      <c r="E146" t="s">
        <v>25</v>
      </c>
      <c r="F146" t="s">
        <v>25</v>
      </c>
      <c r="G146" s="27" t="s">
        <v>2960</v>
      </c>
      <c r="H146" s="26" t="s">
        <v>2967</v>
      </c>
      <c r="I146" s="33" t="s">
        <v>4151</v>
      </c>
    </row>
    <row r="147" spans="1:9" ht="16" customHeight="1">
      <c r="A147" s="24">
        <v>146</v>
      </c>
      <c r="B147" s="25" t="s">
        <v>3020</v>
      </c>
      <c r="C147" s="26" t="s">
        <v>4152</v>
      </c>
      <c r="D147" s="24">
        <v>3</v>
      </c>
      <c r="E147" t="s">
        <v>10</v>
      </c>
      <c r="F147" t="s">
        <v>10</v>
      </c>
      <c r="G147" s="27" t="s">
        <v>3019</v>
      </c>
      <c r="H147" s="26" t="s">
        <v>72</v>
      </c>
      <c r="I147" s="33" t="s">
        <v>4153</v>
      </c>
    </row>
    <row r="148" spans="1:9" ht="16" customHeight="1">
      <c r="A148" s="24">
        <v>147</v>
      </c>
      <c r="B148" s="25" t="s">
        <v>3020</v>
      </c>
      <c r="C148" s="26" t="s">
        <v>4154</v>
      </c>
      <c r="D148" s="24">
        <v>1</v>
      </c>
      <c r="E148" t="s">
        <v>10</v>
      </c>
      <c r="F148" t="s">
        <v>10</v>
      </c>
      <c r="G148" s="27" t="s">
        <v>3019</v>
      </c>
      <c r="H148" s="26" t="s">
        <v>72</v>
      </c>
      <c r="I148" s="33" t="s">
        <v>4155</v>
      </c>
    </row>
    <row r="149" spans="1:9" ht="16" customHeight="1">
      <c r="A149" s="24">
        <v>148</v>
      </c>
      <c r="B149" s="25" t="s">
        <v>3020</v>
      </c>
      <c r="C149" s="26" t="s">
        <v>4156</v>
      </c>
      <c r="D149" s="24">
        <v>1</v>
      </c>
      <c r="E149" t="s">
        <v>10</v>
      </c>
      <c r="F149" t="s">
        <v>10</v>
      </c>
      <c r="G149" s="27" t="s">
        <v>3019</v>
      </c>
      <c r="H149" s="26" t="s">
        <v>72</v>
      </c>
      <c r="I149" s="33" t="s">
        <v>4157</v>
      </c>
    </row>
    <row r="150" spans="1:9" ht="16" customHeight="1">
      <c r="A150" s="24">
        <v>149</v>
      </c>
      <c r="B150" s="25" t="s">
        <v>3020</v>
      </c>
      <c r="C150" s="26" t="s">
        <v>4158</v>
      </c>
      <c r="D150" s="24">
        <v>1</v>
      </c>
      <c r="E150" t="s">
        <v>10</v>
      </c>
      <c r="F150" t="s">
        <v>10</v>
      </c>
      <c r="G150" s="27" t="s">
        <v>3019</v>
      </c>
      <c r="H150" s="26" t="s">
        <v>72</v>
      </c>
      <c r="I150" s="33" t="s">
        <v>4159</v>
      </c>
    </row>
    <row r="151" spans="1:9" ht="16" customHeight="1">
      <c r="A151" s="24">
        <v>150</v>
      </c>
      <c r="B151" s="25" t="s">
        <v>3020</v>
      </c>
      <c r="C151" s="26" t="s">
        <v>4160</v>
      </c>
      <c r="D151" s="24">
        <v>1</v>
      </c>
      <c r="E151" t="s">
        <v>10</v>
      </c>
      <c r="F151" t="s">
        <v>10</v>
      </c>
      <c r="G151" s="27" t="s">
        <v>3019</v>
      </c>
      <c r="H151" s="26" t="s">
        <v>72</v>
      </c>
      <c r="I151" s="33" t="s">
        <v>4161</v>
      </c>
    </row>
    <row r="152" spans="1:9" ht="16" customHeight="1">
      <c r="A152" s="24">
        <v>151</v>
      </c>
      <c r="B152" s="25" t="s">
        <v>3020</v>
      </c>
      <c r="C152" s="26" t="s">
        <v>4162</v>
      </c>
      <c r="D152" s="24">
        <v>1</v>
      </c>
      <c r="E152" t="s">
        <v>10</v>
      </c>
      <c r="F152" t="s">
        <v>10</v>
      </c>
      <c r="G152" s="27" t="s">
        <v>3019</v>
      </c>
      <c r="H152" s="26" t="s">
        <v>72</v>
      </c>
      <c r="I152" s="33" t="s">
        <v>4163</v>
      </c>
    </row>
    <row r="153" spans="1:9" ht="16" customHeight="1">
      <c r="A153" s="24">
        <v>152</v>
      </c>
      <c r="B153" s="25" t="s">
        <v>3020</v>
      </c>
      <c r="C153" s="26" t="s">
        <v>4164</v>
      </c>
      <c r="D153" s="24">
        <v>1</v>
      </c>
      <c r="E153" t="s">
        <v>10</v>
      </c>
      <c r="F153" t="s">
        <v>10</v>
      </c>
      <c r="G153" s="27" t="s">
        <v>3019</v>
      </c>
      <c r="H153" s="26" t="s">
        <v>72</v>
      </c>
      <c r="I153" s="33" t="s">
        <v>4165</v>
      </c>
    </row>
    <row r="154" spans="1:9" ht="16" customHeight="1">
      <c r="A154" s="24">
        <v>153</v>
      </c>
      <c r="B154" s="25" t="s">
        <v>3020</v>
      </c>
      <c r="C154" s="26" t="s">
        <v>4166</v>
      </c>
      <c r="D154" s="24">
        <v>1</v>
      </c>
      <c r="E154" t="s">
        <v>10</v>
      </c>
      <c r="F154" t="s">
        <v>10</v>
      </c>
      <c r="G154" s="27" t="s">
        <v>3019</v>
      </c>
      <c r="H154" s="26" t="s">
        <v>72</v>
      </c>
      <c r="I154" s="33" t="s">
        <v>4167</v>
      </c>
    </row>
    <row r="155" spans="1:9" ht="16" customHeight="1">
      <c r="A155" s="24">
        <v>154</v>
      </c>
      <c r="B155" s="25" t="s">
        <v>3020</v>
      </c>
      <c r="C155" s="26" t="s">
        <v>4168</v>
      </c>
      <c r="D155" s="24">
        <v>1</v>
      </c>
      <c r="E155" t="s">
        <v>10</v>
      </c>
      <c r="F155" t="s">
        <v>10</v>
      </c>
      <c r="G155" s="27" t="s">
        <v>3019</v>
      </c>
      <c r="H155" s="26" t="s">
        <v>72</v>
      </c>
      <c r="I155" s="33" t="s">
        <v>4169</v>
      </c>
    </row>
    <row r="156" spans="1:9" ht="16" customHeight="1">
      <c r="A156" s="24">
        <v>155</v>
      </c>
      <c r="B156" s="25" t="s">
        <v>3020</v>
      </c>
      <c r="C156" s="26" t="s">
        <v>4170</v>
      </c>
      <c r="D156" s="24">
        <v>1</v>
      </c>
      <c r="E156" t="s">
        <v>10</v>
      </c>
      <c r="F156" t="s">
        <v>10</v>
      </c>
      <c r="G156" s="27" t="s">
        <v>3019</v>
      </c>
      <c r="H156" s="26" t="s">
        <v>72</v>
      </c>
      <c r="I156" s="33" t="s">
        <v>4171</v>
      </c>
    </row>
    <row r="157" spans="1:9" ht="16" customHeight="1">
      <c r="A157" s="24">
        <v>156</v>
      </c>
      <c r="B157" s="25" t="s">
        <v>3020</v>
      </c>
      <c r="C157" s="26" t="s">
        <v>4172</v>
      </c>
      <c r="D157" s="24">
        <v>1</v>
      </c>
      <c r="E157" t="s">
        <v>10</v>
      </c>
      <c r="F157" t="s">
        <v>10</v>
      </c>
      <c r="G157" s="27" t="s">
        <v>3019</v>
      </c>
      <c r="H157" s="26" t="s">
        <v>72</v>
      </c>
      <c r="I157" s="33" t="s">
        <v>4173</v>
      </c>
    </row>
    <row r="158" spans="1:9" ht="16" customHeight="1">
      <c r="A158" s="24">
        <v>157</v>
      </c>
      <c r="B158" s="25" t="s">
        <v>3088</v>
      </c>
      <c r="C158" s="26" t="s">
        <v>4174</v>
      </c>
      <c r="D158" s="24">
        <v>1</v>
      </c>
      <c r="E158" t="s">
        <v>23</v>
      </c>
      <c r="F158" t="s">
        <v>23</v>
      </c>
      <c r="G158" s="27" t="s">
        <v>3087</v>
      </c>
      <c r="H158" s="26" t="s">
        <v>3089</v>
      </c>
      <c r="I158" s="33" t="s">
        <v>4175</v>
      </c>
    </row>
    <row r="159" spans="1:9" ht="16" customHeight="1">
      <c r="A159" s="24">
        <v>158</v>
      </c>
      <c r="B159" s="25" t="s">
        <v>3118</v>
      </c>
      <c r="C159" s="26" t="s">
        <v>4176</v>
      </c>
      <c r="D159" s="24">
        <v>3</v>
      </c>
      <c r="E159" t="s">
        <v>10</v>
      </c>
      <c r="F159" t="s">
        <v>10</v>
      </c>
      <c r="G159" s="27" t="s">
        <v>3117</v>
      </c>
      <c r="H159" s="26" t="s">
        <v>1733</v>
      </c>
      <c r="I159" s="33" t="s">
        <v>4177</v>
      </c>
    </row>
    <row r="160" spans="1:9" ht="16" customHeight="1">
      <c r="A160" s="24">
        <v>159</v>
      </c>
      <c r="B160" s="25" t="s">
        <v>3118</v>
      </c>
      <c r="C160" s="26" t="s">
        <v>4178</v>
      </c>
      <c r="D160" s="24">
        <v>4</v>
      </c>
      <c r="E160" t="s">
        <v>10</v>
      </c>
      <c r="F160" t="s">
        <v>10</v>
      </c>
      <c r="G160" s="27" t="s">
        <v>3117</v>
      </c>
      <c r="H160" s="26" t="s">
        <v>1733</v>
      </c>
      <c r="I160" s="33" t="s">
        <v>4179</v>
      </c>
    </row>
    <row r="161" spans="1:9" ht="16" customHeight="1">
      <c r="A161" s="24">
        <v>160</v>
      </c>
      <c r="B161" s="25" t="s">
        <v>3118</v>
      </c>
      <c r="C161" s="26" t="s">
        <v>4180</v>
      </c>
      <c r="D161" s="24">
        <v>1</v>
      </c>
      <c r="E161" t="s">
        <v>10</v>
      </c>
      <c r="F161" t="s">
        <v>10</v>
      </c>
      <c r="G161" s="27" t="s">
        <v>3117</v>
      </c>
      <c r="H161" s="26" t="s">
        <v>1733</v>
      </c>
      <c r="I161" s="33" t="s">
        <v>4181</v>
      </c>
    </row>
    <row r="162" spans="1:9" ht="16" customHeight="1">
      <c r="A162" s="24">
        <v>161</v>
      </c>
      <c r="B162" s="25" t="s">
        <v>3118</v>
      </c>
      <c r="C162" s="26" t="s">
        <v>4182</v>
      </c>
      <c r="D162" s="24">
        <v>1</v>
      </c>
      <c r="E162" t="s">
        <v>10</v>
      </c>
      <c r="F162" t="s">
        <v>10</v>
      </c>
      <c r="G162" s="27" t="s">
        <v>3117</v>
      </c>
      <c r="H162" s="26" t="s">
        <v>1733</v>
      </c>
      <c r="I162" s="33" t="s">
        <v>4183</v>
      </c>
    </row>
    <row r="163" spans="1:9" ht="16" customHeight="1">
      <c r="A163" s="24">
        <v>162</v>
      </c>
      <c r="B163" s="25" t="s">
        <v>3118</v>
      </c>
      <c r="C163" s="26" t="s">
        <v>4184</v>
      </c>
      <c r="D163" s="24">
        <v>1</v>
      </c>
      <c r="E163" t="s">
        <v>10</v>
      </c>
      <c r="F163" t="s">
        <v>10</v>
      </c>
      <c r="G163" s="27" t="s">
        <v>3117</v>
      </c>
      <c r="H163" s="26" t="s">
        <v>1733</v>
      </c>
      <c r="I163" s="33" t="s">
        <v>4185</v>
      </c>
    </row>
    <row r="164" spans="1:9" ht="16" customHeight="1">
      <c r="A164" s="24">
        <v>163</v>
      </c>
      <c r="B164" s="25" t="s">
        <v>3118</v>
      </c>
      <c r="C164" s="26" t="s">
        <v>4186</v>
      </c>
      <c r="D164" s="24">
        <v>1</v>
      </c>
      <c r="E164" t="s">
        <v>10</v>
      </c>
      <c r="F164" t="s">
        <v>10</v>
      </c>
      <c r="G164" s="27" t="s">
        <v>3117</v>
      </c>
      <c r="H164" s="26" t="s">
        <v>1733</v>
      </c>
      <c r="I164" s="33" t="s">
        <v>4187</v>
      </c>
    </row>
    <row r="165" spans="1:9" ht="16" customHeight="1">
      <c r="A165" s="24">
        <v>164</v>
      </c>
      <c r="B165" s="25" t="s">
        <v>3118</v>
      </c>
      <c r="C165" s="26" t="s">
        <v>4188</v>
      </c>
      <c r="D165" s="24">
        <v>1</v>
      </c>
      <c r="E165" t="s">
        <v>10</v>
      </c>
      <c r="F165" t="s">
        <v>10</v>
      </c>
      <c r="G165" s="27" t="s">
        <v>3117</v>
      </c>
      <c r="H165" s="26" t="s">
        <v>1733</v>
      </c>
      <c r="I165" s="33" t="s">
        <v>4189</v>
      </c>
    </row>
    <row r="166" spans="1:9" ht="16" customHeight="1">
      <c r="A166" s="24">
        <v>165</v>
      </c>
      <c r="B166" s="25" t="s">
        <v>3118</v>
      </c>
      <c r="C166" s="26" t="s">
        <v>3903</v>
      </c>
      <c r="D166" s="24">
        <v>1</v>
      </c>
      <c r="E166" t="s">
        <v>10</v>
      </c>
      <c r="F166" t="s">
        <v>10</v>
      </c>
      <c r="G166" s="27" t="s">
        <v>3117</v>
      </c>
      <c r="H166" s="26" t="s">
        <v>1733</v>
      </c>
      <c r="I166" s="33" t="s">
        <v>4190</v>
      </c>
    </row>
    <row r="167" spans="1:9" ht="16" customHeight="1">
      <c r="A167" s="24">
        <v>166</v>
      </c>
      <c r="B167" s="25" t="s">
        <v>3118</v>
      </c>
      <c r="C167" s="26" t="s">
        <v>4191</v>
      </c>
      <c r="D167" s="24">
        <v>3</v>
      </c>
      <c r="E167" t="s">
        <v>10</v>
      </c>
      <c r="F167" t="s">
        <v>10</v>
      </c>
      <c r="G167" s="27" t="s">
        <v>3117</v>
      </c>
      <c r="H167" s="26" t="s">
        <v>1733</v>
      </c>
      <c r="I167" s="33" t="s">
        <v>4192</v>
      </c>
    </row>
    <row r="168" spans="1:9" ht="16" customHeight="1">
      <c r="A168" s="24">
        <v>167</v>
      </c>
      <c r="B168" s="25" t="s">
        <v>3123</v>
      </c>
      <c r="C168" s="26" t="s">
        <v>4193</v>
      </c>
      <c r="D168" s="24">
        <v>1</v>
      </c>
      <c r="E168" t="s">
        <v>23</v>
      </c>
      <c r="F168" t="s">
        <v>23</v>
      </c>
      <c r="G168" s="27" t="s">
        <v>3117</v>
      </c>
      <c r="H168" s="26" t="s">
        <v>2825</v>
      </c>
      <c r="I168" s="33" t="s">
        <v>4194</v>
      </c>
    </row>
    <row r="169" spans="1:9" ht="16" customHeight="1">
      <c r="A169" s="24">
        <v>168</v>
      </c>
      <c r="B169" s="25" t="s">
        <v>3141</v>
      </c>
      <c r="C169" s="26" t="s">
        <v>3919</v>
      </c>
      <c r="D169" s="24">
        <v>1</v>
      </c>
      <c r="E169" t="s">
        <v>23</v>
      </c>
      <c r="F169" t="s">
        <v>23</v>
      </c>
      <c r="G169" s="27" t="s">
        <v>3124</v>
      </c>
      <c r="H169" s="26" t="s">
        <v>3142</v>
      </c>
      <c r="I169" s="33" t="s">
        <v>4195</v>
      </c>
    </row>
    <row r="170" spans="1:9" ht="16" customHeight="1">
      <c r="A170" s="24">
        <v>169</v>
      </c>
      <c r="B170" s="25" t="s">
        <v>3191</v>
      </c>
      <c r="C170" s="26" t="s">
        <v>4196</v>
      </c>
      <c r="D170" s="24">
        <v>1</v>
      </c>
      <c r="E170" t="s">
        <v>23</v>
      </c>
      <c r="F170" t="s">
        <v>23</v>
      </c>
      <c r="G170" s="27" t="s">
        <v>3190</v>
      </c>
      <c r="H170" s="26" t="s">
        <v>3192</v>
      </c>
      <c r="I170" s="33" t="s">
        <v>4197</v>
      </c>
    </row>
    <row r="171" spans="1:9" ht="16" customHeight="1">
      <c r="A171" s="24">
        <v>170</v>
      </c>
      <c r="B171" s="25" t="s">
        <v>3199</v>
      </c>
      <c r="C171" s="26" t="s">
        <v>4198</v>
      </c>
      <c r="D171" s="24">
        <v>2</v>
      </c>
      <c r="E171" t="s">
        <v>27</v>
      </c>
      <c r="F171" t="s">
        <v>27</v>
      </c>
      <c r="G171" s="27" t="s">
        <v>3198</v>
      </c>
      <c r="H171" s="26" t="s">
        <v>3200</v>
      </c>
      <c r="I171" s="33" t="s">
        <v>4199</v>
      </c>
    </row>
    <row r="172" spans="1:9" ht="16" customHeight="1">
      <c r="A172" s="24">
        <v>171</v>
      </c>
      <c r="B172" s="25" t="s">
        <v>3244</v>
      </c>
      <c r="C172" s="26" t="s">
        <v>4200</v>
      </c>
      <c r="D172" s="24">
        <v>1</v>
      </c>
      <c r="E172" t="s">
        <v>23</v>
      </c>
      <c r="F172" t="s">
        <v>23</v>
      </c>
      <c r="G172" s="27" t="s">
        <v>3241</v>
      </c>
      <c r="H172" s="26" t="s">
        <v>3245</v>
      </c>
      <c r="I172" s="33" t="s">
        <v>4201</v>
      </c>
    </row>
    <row r="173" spans="1:9" ht="16" customHeight="1">
      <c r="A173" s="24">
        <v>172</v>
      </c>
      <c r="B173" s="25" t="s">
        <v>3402</v>
      </c>
      <c r="C173" s="26" t="s">
        <v>4202</v>
      </c>
      <c r="D173" s="24">
        <v>1</v>
      </c>
      <c r="E173" t="s">
        <v>10</v>
      </c>
      <c r="F173" t="s">
        <v>10</v>
      </c>
      <c r="G173" s="27" t="s">
        <v>3401</v>
      </c>
      <c r="H173" s="26" t="s">
        <v>51</v>
      </c>
      <c r="I173" s="33" t="s">
        <v>4203</v>
      </c>
    </row>
    <row r="174" spans="1:9" ht="16" customHeight="1">
      <c r="A174" s="24">
        <v>173</v>
      </c>
      <c r="B174" s="25" t="s">
        <v>3402</v>
      </c>
      <c r="C174" s="26" t="s">
        <v>4204</v>
      </c>
      <c r="D174" s="24">
        <v>1</v>
      </c>
      <c r="E174" t="s">
        <v>10</v>
      </c>
      <c r="F174" t="s">
        <v>10</v>
      </c>
      <c r="G174" s="27" t="s">
        <v>3401</v>
      </c>
      <c r="H174" s="26" t="s">
        <v>51</v>
      </c>
      <c r="I174" s="33" t="s">
        <v>4205</v>
      </c>
    </row>
    <row r="175" spans="1:9" ht="16" customHeight="1">
      <c r="A175" s="24">
        <v>174</v>
      </c>
      <c r="B175" s="25" t="s">
        <v>3402</v>
      </c>
      <c r="C175" s="26" t="s">
        <v>4206</v>
      </c>
      <c r="D175" s="24">
        <v>1</v>
      </c>
      <c r="E175" t="s">
        <v>10</v>
      </c>
      <c r="F175" t="s">
        <v>10</v>
      </c>
      <c r="G175" s="27" t="s">
        <v>3401</v>
      </c>
      <c r="H175" s="26" t="s">
        <v>51</v>
      </c>
      <c r="I175" s="33" t="s">
        <v>4207</v>
      </c>
    </row>
    <row r="176" spans="1:9" ht="16" customHeight="1">
      <c r="A176" s="24">
        <v>175</v>
      </c>
      <c r="B176" s="25" t="s">
        <v>3418</v>
      </c>
      <c r="C176" s="26" t="s">
        <v>4208</v>
      </c>
      <c r="D176" s="24">
        <v>1</v>
      </c>
      <c r="E176" t="s">
        <v>25</v>
      </c>
      <c r="F176" t="s">
        <v>25</v>
      </c>
      <c r="G176" s="27" t="s">
        <v>3417</v>
      </c>
      <c r="H176" s="26" t="s">
        <v>3419</v>
      </c>
      <c r="I176" s="33" t="s">
        <v>4209</v>
      </c>
    </row>
    <row r="177" spans="1:9" ht="16" customHeight="1">
      <c r="A177" s="24">
        <v>176</v>
      </c>
      <c r="B177" s="25" t="s">
        <v>3444</v>
      </c>
      <c r="C177" s="26" t="s">
        <v>4210</v>
      </c>
      <c r="D177" s="24">
        <v>4</v>
      </c>
      <c r="E177" t="s">
        <v>10</v>
      </c>
      <c r="F177" t="s">
        <v>10</v>
      </c>
      <c r="G177" s="27" t="s">
        <v>3443</v>
      </c>
      <c r="H177" s="26" t="s">
        <v>36</v>
      </c>
      <c r="I177" s="33" t="s">
        <v>4211</v>
      </c>
    </row>
    <row r="178" spans="1:9" ht="16" customHeight="1">
      <c r="A178" s="24">
        <v>177</v>
      </c>
      <c r="B178" s="25" t="s">
        <v>3444</v>
      </c>
      <c r="C178" s="26" t="s">
        <v>4212</v>
      </c>
      <c r="D178" s="24">
        <v>1</v>
      </c>
      <c r="E178" t="s">
        <v>10</v>
      </c>
      <c r="F178" t="s">
        <v>10</v>
      </c>
      <c r="G178" s="27" t="s">
        <v>3443</v>
      </c>
      <c r="H178" s="26" t="s">
        <v>36</v>
      </c>
      <c r="I178" s="33" t="s">
        <v>4213</v>
      </c>
    </row>
    <row r="179" spans="1:9" ht="16" customHeight="1">
      <c r="A179" s="24">
        <v>178</v>
      </c>
      <c r="B179" s="25" t="s">
        <v>3444</v>
      </c>
      <c r="C179" s="26" t="s">
        <v>4214</v>
      </c>
      <c r="D179" s="24">
        <v>1</v>
      </c>
      <c r="E179" t="s">
        <v>10</v>
      </c>
      <c r="F179" t="s">
        <v>10</v>
      </c>
      <c r="G179" s="27" t="s">
        <v>3443</v>
      </c>
      <c r="H179" s="26" t="s">
        <v>36</v>
      </c>
      <c r="I179" s="33" t="s">
        <v>4215</v>
      </c>
    </row>
    <row r="180" spans="1:9" ht="16" customHeight="1">
      <c r="A180" s="24">
        <v>179</v>
      </c>
      <c r="B180" s="25" t="s">
        <v>3451</v>
      </c>
      <c r="C180" s="26" t="s">
        <v>4216</v>
      </c>
      <c r="D180" s="24">
        <v>1</v>
      </c>
      <c r="E180" t="s">
        <v>10</v>
      </c>
      <c r="F180" t="s">
        <v>10</v>
      </c>
      <c r="G180" s="27" t="s">
        <v>3450</v>
      </c>
      <c r="H180" s="26" t="s">
        <v>36</v>
      </c>
      <c r="I180" s="33" t="s">
        <v>4217</v>
      </c>
    </row>
    <row r="181" spans="1:9" ht="16" customHeight="1">
      <c r="A181" s="24">
        <v>180</v>
      </c>
      <c r="B181" s="25" t="s">
        <v>3465</v>
      </c>
      <c r="C181" s="26" t="s">
        <v>4218</v>
      </c>
      <c r="D181" s="24">
        <v>2</v>
      </c>
      <c r="E181" t="s">
        <v>23</v>
      </c>
      <c r="F181" t="s">
        <v>23</v>
      </c>
      <c r="G181" s="27" t="s">
        <v>3464</v>
      </c>
      <c r="H181" s="26" t="s">
        <v>3466</v>
      </c>
      <c r="I181" s="33" t="s">
        <v>4219</v>
      </c>
    </row>
    <row r="182" spans="1:9" ht="16" customHeight="1">
      <c r="A182" s="24">
        <v>181</v>
      </c>
      <c r="B182" s="25" t="s">
        <v>3544</v>
      </c>
      <c r="C182" s="26" t="s">
        <v>4220</v>
      </c>
      <c r="D182" s="24">
        <v>1</v>
      </c>
      <c r="E182" t="s">
        <v>34</v>
      </c>
      <c r="F182" t="s">
        <v>34</v>
      </c>
      <c r="G182" s="27" t="s">
        <v>3543</v>
      </c>
      <c r="H182" s="26" t="s">
        <v>3545</v>
      </c>
      <c r="I182" s="33" t="s">
        <v>4221</v>
      </c>
    </row>
    <row r="183" spans="1:9" ht="16" customHeight="1">
      <c r="A183" s="24">
        <v>182</v>
      </c>
      <c r="B183" s="25" t="s">
        <v>3575</v>
      </c>
      <c r="C183" s="26" t="s">
        <v>4222</v>
      </c>
      <c r="D183" s="24">
        <v>1</v>
      </c>
      <c r="E183" t="s">
        <v>34</v>
      </c>
      <c r="F183" t="s">
        <v>34</v>
      </c>
      <c r="G183" s="27" t="s">
        <v>3572</v>
      </c>
      <c r="H183" s="26" t="s">
        <v>3576</v>
      </c>
      <c r="I183" s="33" t="s">
        <v>4223</v>
      </c>
    </row>
    <row r="184" spans="1:9" ht="16" customHeight="1">
      <c r="A184" s="24">
        <v>183</v>
      </c>
      <c r="B184" s="25" t="s">
        <v>3578</v>
      </c>
      <c r="C184" s="26" t="s">
        <v>4224</v>
      </c>
      <c r="D184" s="24">
        <v>1</v>
      </c>
      <c r="E184" t="s">
        <v>25</v>
      </c>
      <c r="F184" t="s">
        <v>25</v>
      </c>
      <c r="G184" s="27" t="s">
        <v>3577</v>
      </c>
      <c r="H184" s="26" t="s">
        <v>3579</v>
      </c>
      <c r="I184" s="33" t="s">
        <v>4225</v>
      </c>
    </row>
    <row r="185" spans="1:9" ht="16" customHeight="1">
      <c r="A185" s="24">
        <v>184</v>
      </c>
      <c r="B185" s="25" t="s">
        <v>3617</v>
      </c>
      <c r="C185" s="26" t="s">
        <v>4226</v>
      </c>
      <c r="D185" s="24">
        <v>2</v>
      </c>
      <c r="E185" t="s">
        <v>22</v>
      </c>
      <c r="F185" t="s">
        <v>22</v>
      </c>
      <c r="G185" s="27" t="s">
        <v>3616</v>
      </c>
      <c r="H185" s="26" t="s">
        <v>3618</v>
      </c>
      <c r="I185" s="33" t="s">
        <v>4227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32852-0A9D-B64F-A90B-6156BA04A3B2}">
  <dimension ref="A1:E8"/>
  <sheetViews>
    <sheetView tabSelected="1" zoomScale="150" workbookViewId="0">
      <selection activeCell="E5" sqref="E5"/>
    </sheetView>
  </sheetViews>
  <sheetFormatPr baseColWidth="10" defaultRowHeight="15"/>
  <cols>
    <col min="2" max="2" width="26.6640625" customWidth="1"/>
    <col min="3" max="3" width="79.1640625" customWidth="1"/>
    <col min="4" max="4" width="21" customWidth="1"/>
    <col min="5" max="5" width="18.83203125" customWidth="1"/>
  </cols>
  <sheetData>
    <row r="1" spans="1:5" ht="16" customHeight="1">
      <c r="A1" s="37" t="s">
        <v>4232</v>
      </c>
      <c r="B1" s="38" t="s">
        <v>4231</v>
      </c>
      <c r="C1" s="38" t="s">
        <v>4236</v>
      </c>
      <c r="D1" s="38" t="s">
        <v>4233</v>
      </c>
      <c r="E1" s="43" t="s">
        <v>4261</v>
      </c>
    </row>
    <row r="2" spans="1:5" ht="16" customHeight="1">
      <c r="A2" s="39" t="s">
        <v>4237</v>
      </c>
      <c r="B2" s="40" t="s">
        <v>4238</v>
      </c>
      <c r="C2" s="40" t="s">
        <v>4239</v>
      </c>
      <c r="D2" s="44" t="s">
        <v>4240</v>
      </c>
      <c r="E2" s="45"/>
    </row>
    <row r="3" spans="1:5" ht="16" customHeight="1">
      <c r="A3" s="39" t="s">
        <v>4237</v>
      </c>
      <c r="B3" s="40" t="s">
        <v>4241</v>
      </c>
      <c r="C3" s="40" t="s">
        <v>4242</v>
      </c>
      <c r="D3" s="44" t="s">
        <v>4243</v>
      </c>
      <c r="E3" s="45"/>
    </row>
    <row r="4" spans="1:5" ht="16" customHeight="1">
      <c r="A4" s="39" t="s">
        <v>4237</v>
      </c>
      <c r="B4" s="40" t="s">
        <v>4244</v>
      </c>
      <c r="C4" s="40" t="s">
        <v>4245</v>
      </c>
      <c r="D4" s="44" t="s">
        <v>4246</v>
      </c>
      <c r="E4" s="45"/>
    </row>
    <row r="5" spans="1:5" ht="16" customHeight="1">
      <c r="A5" s="39" t="s">
        <v>4247</v>
      </c>
      <c r="B5" s="40" t="s">
        <v>4248</v>
      </c>
      <c r="C5" s="40" t="s">
        <v>4249</v>
      </c>
      <c r="D5" s="44" t="s">
        <v>4250</v>
      </c>
      <c r="E5" s="45"/>
    </row>
    <row r="6" spans="1:5" ht="16" customHeight="1">
      <c r="A6" s="39" t="s">
        <v>4247</v>
      </c>
      <c r="B6" s="40" t="s">
        <v>4251</v>
      </c>
      <c r="C6" s="40" t="s">
        <v>4252</v>
      </c>
      <c r="D6" s="44" t="s">
        <v>4250</v>
      </c>
      <c r="E6" s="45"/>
    </row>
    <row r="7" spans="1:5" ht="16" customHeight="1">
      <c r="A7" s="39" t="s">
        <v>4253</v>
      </c>
      <c r="B7" s="40" t="s">
        <v>4254</v>
      </c>
      <c r="C7" s="40" t="s">
        <v>4255</v>
      </c>
      <c r="D7" s="44" t="s">
        <v>4256</v>
      </c>
      <c r="E7" s="45"/>
    </row>
    <row r="8" spans="1:5" ht="16" customHeight="1">
      <c r="A8" s="41" t="s">
        <v>4257</v>
      </c>
      <c r="B8" s="42" t="s">
        <v>4258</v>
      </c>
      <c r="C8" s="42" t="s">
        <v>4259</v>
      </c>
      <c r="D8" s="46" t="s">
        <v>4260</v>
      </c>
      <c r="E8" s="4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98019-A189-477B-9386-50F313939C02}">
  <dimension ref="A1:G857"/>
  <sheetViews>
    <sheetView topLeftCell="A5" zoomScale="175" zoomScaleNormal="175" workbookViewId="0">
      <selection activeCell="E13" sqref="E13"/>
    </sheetView>
  </sheetViews>
  <sheetFormatPr baseColWidth="10" defaultColWidth="8.83203125" defaultRowHeight="15"/>
  <cols>
    <col min="1" max="6" width="13.5" customWidth="1"/>
  </cols>
  <sheetData>
    <row r="1" spans="1:7">
      <c r="A1" s="10" t="s">
        <v>3850</v>
      </c>
      <c r="B1" s="10" t="s">
        <v>3851</v>
      </c>
      <c r="C1" s="10" t="s">
        <v>3852</v>
      </c>
      <c r="D1" s="17" t="s">
        <v>3858</v>
      </c>
      <c r="E1" s="15" t="s">
        <v>3857</v>
      </c>
      <c r="F1" s="16" t="s">
        <v>3856</v>
      </c>
    </row>
    <row r="2" spans="1:7">
      <c r="A2" s="10" cm="1">
        <f t="array" ref="A2">COUNTA(_xlfn.UNIQUE(_xlfn._xlws.FILTER(A3:A20000,A3:A20000&lt;&gt;"")))</f>
        <v>438</v>
      </c>
      <c r="B2" s="10" cm="1">
        <f t="array" ref="B2">COUNTA(_xlfn.UNIQUE(_xlfn._xlws.FILTER(B3:B20000,B3:B20000&lt;&gt;"")))</f>
        <v>720</v>
      </c>
      <c r="C2" s="10" cm="1">
        <f t="array" ref="C2">COUNTA(_xlfn.UNIQUE(_xlfn._xlws.FILTER(C3:C20000,C3:C20000&lt;&gt;"")))</f>
        <v>853</v>
      </c>
      <c r="D2" s="14" cm="1">
        <f t="array" ref="D2">COUNTA(_xlfn.UNIQUE(_xlfn._xlws.FILTER(D3:D20000,D3:D20000&lt;&gt;"")))</f>
        <v>133</v>
      </c>
      <c r="E2" s="14" cm="1">
        <f t="array" ref="E2">COUNTA(_xlfn.UNIQUE(_xlfn._xlws.FILTER(E3:E20000,E3:E20000&lt;&gt;"")))</f>
        <v>305</v>
      </c>
      <c r="F2" s="14" cm="1">
        <f t="array" ref="F2">COUNTA(_xlfn.UNIQUE(_xlfn._xlws.FILTER(F3:F20000,F3:F20000&lt;&gt;"")))</f>
        <v>415</v>
      </c>
      <c r="G2" s="10">
        <f>SUM(D2:F2)</f>
        <v>853</v>
      </c>
    </row>
    <row r="3" spans="1:7">
      <c r="A3" s="1" t="s">
        <v>2506</v>
      </c>
      <c r="B3" s="1" t="s">
        <v>158</v>
      </c>
      <c r="C3" s="10" t="str" cm="1">
        <f t="array" ref="C3:C855">_xlfn._xlws.SORT(_xlfn.UNIQUE(_xlfn.VSTACK(_xlfn._xlws.FILTER(A3:A20001,A3:A20001&lt;&gt;""),_xlfn._xlws.FILTER(B3:B20001,B3:B20001&lt;&gt;""))))</f>
        <v>20230702004</v>
      </c>
      <c r="D3" s="12" t="str" cm="1">
        <f t="array" ref="D3:D135">_xlfn._xlws.SORT(_xlfn.UNIQUE(_xlfn._xlws.FILTER(A3:A20001,(A3:A20001&lt;&gt;"")*(COUNTIF(B3:B20001,A3:A20001)=0))))</f>
        <v>20230710002</v>
      </c>
      <c r="E3" s="11" t="str" cm="1">
        <f t="array" ref="E3:E307">_xlfn._xlws.SORT(_xlfn.UNIQUE(_xlfn._xlws.FILTER(A3:A20001,(A3:A20001&lt;&gt;"")*(COUNTIF(B3:B20001,A3:A20001)&gt;0))))</f>
        <v>20230702011</v>
      </c>
      <c r="F3" s="13" t="str" cm="1">
        <f t="array" ref="F3:F417">_xlfn._xlws.SORT(_xlfn.UNIQUE(_xlfn._xlws.FILTER(B3:B20001,(B3:B20001&lt;&gt;"")*(COUNTIF(A3:A20001,B3:B20001)=0))))</f>
        <v>20230702004</v>
      </c>
    </row>
    <row r="4" spans="1:7">
      <c r="A4" s="1" t="s">
        <v>210</v>
      </c>
      <c r="B4" s="1" t="s">
        <v>166</v>
      </c>
      <c r="C4" s="10" t="str">
        <v>20230702011</v>
      </c>
      <c r="D4" s="12" t="str">
        <v>20230710003</v>
      </c>
      <c r="E4" s="11" t="str">
        <v>20230706000</v>
      </c>
      <c r="F4" s="13" t="str">
        <v>20230712001</v>
      </c>
    </row>
    <row r="5" spans="1:7">
      <c r="A5" s="1" t="s">
        <v>158</v>
      </c>
      <c r="B5" s="1" t="s">
        <v>194</v>
      </c>
      <c r="C5" s="10" t="str">
        <v>20230706000</v>
      </c>
      <c r="D5" s="12" t="str">
        <v>20230724000</v>
      </c>
      <c r="E5" s="11" t="str">
        <v>20230707001</v>
      </c>
      <c r="F5" s="13" t="str">
        <v>20230712002</v>
      </c>
    </row>
    <row r="6" spans="1:7">
      <c r="A6" s="1" t="s">
        <v>166</v>
      </c>
      <c r="B6" s="1" t="s">
        <v>197</v>
      </c>
      <c r="C6" s="10" t="str">
        <v>20230707001</v>
      </c>
      <c r="D6" s="12" t="str">
        <v>20230814004</v>
      </c>
      <c r="E6" s="11" t="str">
        <v>20230710001</v>
      </c>
      <c r="F6" s="13" t="str">
        <v>20230713001</v>
      </c>
    </row>
    <row r="7" spans="1:7">
      <c r="A7" s="1" t="s">
        <v>197</v>
      </c>
      <c r="B7" s="1" t="s">
        <v>210</v>
      </c>
      <c r="C7" s="10" t="str">
        <v>20230710001</v>
      </c>
      <c r="D7" s="12" t="str">
        <v>20230814006</v>
      </c>
      <c r="E7" s="11" t="str">
        <v>20230711000</v>
      </c>
      <c r="F7" s="13" t="str">
        <v>20230713003</v>
      </c>
    </row>
    <row r="8" spans="1:7">
      <c r="A8" s="1" t="s">
        <v>205</v>
      </c>
      <c r="B8" s="1" t="s">
        <v>222</v>
      </c>
      <c r="C8" s="10" t="str">
        <v>20230710002</v>
      </c>
      <c r="D8" s="12" t="str">
        <v>20230822003</v>
      </c>
      <c r="E8" s="11" t="str">
        <v>20230713002</v>
      </c>
      <c r="F8" s="13" t="str">
        <v>20230721000</v>
      </c>
    </row>
    <row r="9" spans="1:7">
      <c r="A9" s="1" t="s">
        <v>216</v>
      </c>
      <c r="B9" s="1" t="s">
        <v>224</v>
      </c>
      <c r="C9" s="10" t="str">
        <v>20230710003</v>
      </c>
      <c r="D9" s="12" t="str">
        <v>20230824000</v>
      </c>
      <c r="E9" s="11" t="str">
        <v>20230714001</v>
      </c>
      <c r="F9" s="13" t="str">
        <v>20230726000</v>
      </c>
    </row>
    <row r="10" spans="1:7">
      <c r="A10" s="1" t="s">
        <v>240</v>
      </c>
      <c r="B10" s="1" t="s">
        <v>225</v>
      </c>
      <c r="C10" s="10" t="str">
        <v>20230711000</v>
      </c>
      <c r="D10" s="12" t="str">
        <v>20230829003</v>
      </c>
      <c r="E10" s="11" t="str">
        <v>20230721002</v>
      </c>
      <c r="F10" s="13" t="str">
        <v>20230801001</v>
      </c>
    </row>
    <row r="11" spans="1:7">
      <c r="A11" s="1" t="s">
        <v>225</v>
      </c>
      <c r="B11" s="1" t="s">
        <v>231</v>
      </c>
      <c r="C11" s="10" t="str">
        <v>20230712001</v>
      </c>
      <c r="D11" s="12" t="str">
        <v>20230906000</v>
      </c>
      <c r="E11" s="11" t="str">
        <v>20230721003</v>
      </c>
      <c r="F11" s="13" t="str">
        <v>20230802005</v>
      </c>
    </row>
    <row r="12" spans="1:7">
      <c r="A12" s="1" t="s">
        <v>224</v>
      </c>
      <c r="B12" s="1" t="s">
        <v>236</v>
      </c>
      <c r="C12" s="10" t="str">
        <v>20230712002</v>
      </c>
      <c r="D12" s="12" t="str">
        <v>20230906012</v>
      </c>
      <c r="E12" s="11" t="str">
        <v>20230724003</v>
      </c>
      <c r="F12" s="13" t="str">
        <v>20230808001</v>
      </c>
    </row>
    <row r="13" spans="1:7">
      <c r="A13" s="1" t="s">
        <v>258</v>
      </c>
      <c r="B13" s="1" t="s">
        <v>238</v>
      </c>
      <c r="C13" s="10" t="str">
        <v>20230713001</v>
      </c>
      <c r="D13" s="12" t="str">
        <v>20230919001</v>
      </c>
      <c r="E13" s="11" t="str">
        <v>20230724004</v>
      </c>
      <c r="F13" s="13" t="str">
        <v>20230808002</v>
      </c>
    </row>
    <row r="14" spans="1:7">
      <c r="A14" s="1" t="s">
        <v>249</v>
      </c>
      <c r="B14" s="1" t="s">
        <v>240</v>
      </c>
      <c r="C14" s="10" t="str">
        <v>20230713002</v>
      </c>
      <c r="D14" s="12" t="str">
        <v>20230927001</v>
      </c>
      <c r="E14" s="11" t="str">
        <v>20230728000</v>
      </c>
      <c r="F14" s="13" t="str">
        <v>20230814001</v>
      </c>
    </row>
    <row r="15" spans="1:7">
      <c r="A15" s="1" t="s">
        <v>300</v>
      </c>
      <c r="B15" s="1" t="s">
        <v>258</v>
      </c>
      <c r="C15" s="10" t="str">
        <v>20230713003</v>
      </c>
      <c r="D15" s="12" t="str">
        <v>20230927002</v>
      </c>
      <c r="E15" s="11" t="str">
        <v>20230731002</v>
      </c>
      <c r="F15" s="13" t="str">
        <v>20230814007</v>
      </c>
    </row>
    <row r="16" spans="1:7">
      <c r="A16" s="1" t="s">
        <v>266</v>
      </c>
      <c r="B16" s="1" t="s">
        <v>263</v>
      </c>
      <c r="C16" s="10" t="str">
        <v>20230714001</v>
      </c>
      <c r="D16" s="12" t="str">
        <v>20230928003</v>
      </c>
      <c r="E16" s="11" t="str">
        <v>20230802001</v>
      </c>
      <c r="F16" s="13" t="str">
        <v>20230815001</v>
      </c>
    </row>
    <row r="17" spans="1:6">
      <c r="A17" s="1" t="s">
        <v>268</v>
      </c>
      <c r="B17" s="1"/>
      <c r="C17" s="10" t="str">
        <v>20230721000</v>
      </c>
      <c r="D17" s="12" t="str">
        <v>20231004002</v>
      </c>
      <c r="E17" s="11" t="str">
        <v>20230802003</v>
      </c>
      <c r="F17" s="13" t="str">
        <v>20230816000</v>
      </c>
    </row>
    <row r="18" spans="1:6">
      <c r="A18" s="1" t="s">
        <v>277</v>
      </c>
      <c r="B18" s="1" t="s">
        <v>264</v>
      </c>
      <c r="C18" s="10" t="str">
        <v>20230721002</v>
      </c>
      <c r="D18" s="12" t="str">
        <v>20231004005</v>
      </c>
      <c r="E18" s="11" t="str">
        <v>20230804000</v>
      </c>
      <c r="F18" s="13" t="str">
        <v>20230816001</v>
      </c>
    </row>
    <row r="19" spans="1:6">
      <c r="A19" s="1" t="s">
        <v>286</v>
      </c>
      <c r="B19" s="1" t="s">
        <v>249</v>
      </c>
      <c r="C19" s="10" t="str">
        <v>20230721003</v>
      </c>
      <c r="D19" s="12" t="str">
        <v>20231016002</v>
      </c>
      <c r="E19" s="11" t="str">
        <v>20230807005</v>
      </c>
      <c r="F19" s="13" t="str">
        <v>20230817000</v>
      </c>
    </row>
    <row r="20" spans="1:6">
      <c r="A20" s="1" t="s">
        <v>307</v>
      </c>
      <c r="B20" s="1" t="s">
        <v>266</v>
      </c>
      <c r="C20" s="10" t="str">
        <v>20230724000</v>
      </c>
      <c r="D20" s="12" t="str">
        <v>20231016003</v>
      </c>
      <c r="E20" s="11" t="str">
        <v>20230814005</v>
      </c>
      <c r="F20" s="13" t="str">
        <v>20230818000</v>
      </c>
    </row>
    <row r="21" spans="1:6">
      <c r="A21" s="1" t="s">
        <v>293</v>
      </c>
      <c r="B21" s="1" t="s">
        <v>268</v>
      </c>
      <c r="C21" s="10" t="str">
        <v>20230724003</v>
      </c>
      <c r="D21" s="12" t="str">
        <v>20231016005</v>
      </c>
      <c r="E21" s="11" t="str">
        <v>20230814009</v>
      </c>
      <c r="F21" s="13" t="str">
        <v>20230822000</v>
      </c>
    </row>
    <row r="22" spans="1:6">
      <c r="A22" s="1" t="s">
        <v>312</v>
      </c>
      <c r="B22" s="1" t="s">
        <v>277</v>
      </c>
      <c r="C22" s="10" t="str">
        <v>20230724004</v>
      </c>
      <c r="D22" s="12" t="str">
        <v>20231016006</v>
      </c>
      <c r="E22" s="11" t="str">
        <v>20230815000</v>
      </c>
      <c r="F22" s="13" t="str">
        <v>20230823000</v>
      </c>
    </row>
    <row r="23" spans="1:6">
      <c r="A23" s="1" t="s">
        <v>325</v>
      </c>
      <c r="B23" s="1" t="s">
        <v>286</v>
      </c>
      <c r="C23" s="10" t="str">
        <v>20230726000</v>
      </c>
      <c r="D23" s="12" t="str">
        <v>20231024001</v>
      </c>
      <c r="E23" s="11" t="str">
        <v>20230816003</v>
      </c>
      <c r="F23" s="13" t="str">
        <v>20230829000</v>
      </c>
    </row>
    <row r="24" spans="1:6">
      <c r="A24" s="1" t="s">
        <v>343</v>
      </c>
      <c r="B24" s="1" t="s">
        <v>291</v>
      </c>
      <c r="C24" s="10" t="str">
        <v>20230728000</v>
      </c>
      <c r="D24" s="12" t="str">
        <v>20231031003</v>
      </c>
      <c r="E24" s="11" t="str">
        <v>20230823001</v>
      </c>
      <c r="F24" s="13" t="str">
        <v>20230829002</v>
      </c>
    </row>
    <row r="25" spans="1:6">
      <c r="A25" s="1" t="s">
        <v>336</v>
      </c>
      <c r="B25" s="1" t="s">
        <v>293</v>
      </c>
      <c r="C25" s="10" t="str">
        <v>20230731002</v>
      </c>
      <c r="D25" s="12" t="str">
        <v>20231109003</v>
      </c>
      <c r="E25" s="11" t="str">
        <v>20230829006</v>
      </c>
      <c r="F25" s="13" t="str">
        <v>20230829004</v>
      </c>
    </row>
    <row r="26" spans="1:6">
      <c r="A26" s="1" t="s">
        <v>328</v>
      </c>
      <c r="B26" s="1" t="s">
        <v>298</v>
      </c>
      <c r="C26" s="10" t="str">
        <v>20230801001</v>
      </c>
      <c r="D26" s="12" t="str">
        <v>20231114005</v>
      </c>
      <c r="E26" s="11" t="str">
        <v>20230830001</v>
      </c>
      <c r="F26" s="13" t="str">
        <v>20230830000</v>
      </c>
    </row>
    <row r="27" spans="1:6">
      <c r="A27" s="1" t="s">
        <v>356</v>
      </c>
      <c r="B27" s="1" t="s">
        <v>307</v>
      </c>
      <c r="C27" s="10" t="str">
        <v>20230802001</v>
      </c>
      <c r="D27" s="12" t="str">
        <v>20231204001</v>
      </c>
      <c r="E27" s="11" t="str">
        <v>20230906001</v>
      </c>
      <c r="F27" s="13" t="str">
        <v>20230830002</v>
      </c>
    </row>
    <row r="28" spans="1:6">
      <c r="A28" s="1" t="s">
        <v>351</v>
      </c>
      <c r="B28" s="1" t="s">
        <v>312</v>
      </c>
      <c r="C28" s="10" t="str">
        <v>20230802003</v>
      </c>
      <c r="D28" s="12" t="str">
        <v>20231205000</v>
      </c>
      <c r="E28" s="11" t="str">
        <v>20230906002</v>
      </c>
      <c r="F28" s="13" t="str">
        <v>20230831001</v>
      </c>
    </row>
    <row r="29" spans="1:6">
      <c r="A29" s="1" t="s">
        <v>365</v>
      </c>
      <c r="B29" s="1" t="s">
        <v>321</v>
      </c>
      <c r="C29" s="10" t="str">
        <v>20230802005</v>
      </c>
      <c r="D29" s="12" t="str">
        <v>20231207000</v>
      </c>
      <c r="E29" s="11" t="str">
        <v>20230913000</v>
      </c>
      <c r="F29" s="13" t="str">
        <v>20230905002</v>
      </c>
    </row>
    <row r="30" spans="1:6">
      <c r="A30" s="1" t="s">
        <v>387</v>
      </c>
      <c r="B30" s="1" t="s">
        <v>323</v>
      </c>
      <c r="C30" s="10" t="str">
        <v>20230804000</v>
      </c>
      <c r="D30" s="12" t="str">
        <v>20231212000</v>
      </c>
      <c r="E30" s="11" t="str">
        <v>20230914000</v>
      </c>
      <c r="F30" s="13" t="str">
        <v>20230905003</v>
      </c>
    </row>
    <row r="31" spans="1:6">
      <c r="A31" s="1" t="s">
        <v>380</v>
      </c>
      <c r="B31" s="1" t="s">
        <v>325</v>
      </c>
      <c r="C31" s="10" t="str">
        <v>20230807005</v>
      </c>
      <c r="D31" s="12" t="str">
        <v>20231219001</v>
      </c>
      <c r="E31" s="11" t="str">
        <v>20230918002</v>
      </c>
      <c r="F31" s="13" t="str">
        <v>20230906004</v>
      </c>
    </row>
    <row r="32" spans="1:6">
      <c r="A32" s="1" t="s">
        <v>396</v>
      </c>
      <c r="B32" s="1" t="s">
        <v>327</v>
      </c>
      <c r="C32" s="10" t="str">
        <v>20230808001</v>
      </c>
      <c r="D32" s="12" t="str">
        <v>20231219006</v>
      </c>
      <c r="E32" s="11" t="str">
        <v>20230927000</v>
      </c>
      <c r="F32" s="13" t="str">
        <v>20230906005</v>
      </c>
    </row>
    <row r="33" spans="1:6">
      <c r="A33" s="1" t="s">
        <v>405</v>
      </c>
      <c r="B33" s="1" t="s">
        <v>341</v>
      </c>
      <c r="C33" s="10" t="str">
        <v>20230808002</v>
      </c>
      <c r="D33" s="12" t="str">
        <v>20240116003</v>
      </c>
      <c r="E33" s="11" t="str">
        <v>20230928001</v>
      </c>
      <c r="F33" s="13" t="str">
        <v>20230906011</v>
      </c>
    </row>
    <row r="34" spans="1:6">
      <c r="A34" s="1" t="s">
        <v>412</v>
      </c>
      <c r="B34" s="1" t="s">
        <v>336</v>
      </c>
      <c r="C34" s="10" t="str">
        <v>20230814001</v>
      </c>
      <c r="D34" s="12" t="str">
        <v>20240202007</v>
      </c>
      <c r="E34" s="11" t="str">
        <v>20230928002</v>
      </c>
      <c r="F34" s="13" t="str">
        <v>20230907000</v>
      </c>
    </row>
    <row r="35" spans="1:6">
      <c r="A35" s="1" t="s">
        <v>420</v>
      </c>
      <c r="B35" s="1" t="s">
        <v>348</v>
      </c>
      <c r="C35" s="10" t="str">
        <v>20230814004</v>
      </c>
      <c r="D35" s="12" t="str">
        <v>20240202012</v>
      </c>
      <c r="E35" s="11" t="str">
        <v>20231003000</v>
      </c>
      <c r="F35" s="13" t="str">
        <v>20230907001</v>
      </c>
    </row>
    <row r="36" spans="1:6">
      <c r="A36" s="1" t="s">
        <v>456</v>
      </c>
      <c r="B36" s="1" t="s">
        <v>351</v>
      </c>
      <c r="C36" s="10" t="str">
        <v>20230814005</v>
      </c>
      <c r="D36" s="12" t="str">
        <v>20240212000</v>
      </c>
      <c r="E36" s="11" t="str">
        <v>20231004001</v>
      </c>
      <c r="F36" s="13" t="str">
        <v>20230908000</v>
      </c>
    </row>
    <row r="37" spans="1:6">
      <c r="A37" s="1" t="s">
        <v>439</v>
      </c>
      <c r="B37" s="1" t="s">
        <v>356</v>
      </c>
      <c r="C37" s="10" t="str">
        <v>20230814006</v>
      </c>
      <c r="D37" s="12" t="str">
        <v>20240215002</v>
      </c>
      <c r="E37" s="11" t="str">
        <v>20231005000</v>
      </c>
      <c r="F37" s="13" t="str">
        <v>20230908002</v>
      </c>
    </row>
    <row r="38" spans="1:6">
      <c r="A38" s="1" t="s">
        <v>448</v>
      </c>
      <c r="B38" s="1" t="s">
        <v>363</v>
      </c>
      <c r="C38" s="10" t="str">
        <v>20230814007</v>
      </c>
      <c r="D38" s="12" t="str">
        <v>20240221007</v>
      </c>
      <c r="E38" s="11" t="str">
        <v>20231011004</v>
      </c>
      <c r="F38" s="13" t="str">
        <v>20230908003</v>
      </c>
    </row>
    <row r="39" spans="1:6">
      <c r="A39" s="1" t="s">
        <v>480</v>
      </c>
      <c r="B39" s="1" t="s">
        <v>372</v>
      </c>
      <c r="C39" s="10" t="str">
        <v>20230814009</v>
      </c>
      <c r="D39" s="12" t="str">
        <v>20240221009</v>
      </c>
      <c r="E39" s="11" t="str">
        <v>20231016000</v>
      </c>
      <c r="F39" s="13" t="str">
        <v>20230914002</v>
      </c>
    </row>
    <row r="40" spans="1:6">
      <c r="A40" s="1" t="s">
        <v>486</v>
      </c>
      <c r="B40" s="1" t="s">
        <v>365</v>
      </c>
      <c r="C40" s="10" t="str">
        <v>20230815000</v>
      </c>
      <c r="D40" s="12" t="str">
        <v>20240306001</v>
      </c>
      <c r="E40" s="11" t="str">
        <v>20231031001</v>
      </c>
      <c r="F40" s="13" t="str">
        <v>20230915000</v>
      </c>
    </row>
    <row r="41" spans="1:6">
      <c r="A41" s="1" t="s">
        <v>492</v>
      </c>
      <c r="B41" s="1" t="s">
        <v>375</v>
      </c>
      <c r="C41" s="10" t="str">
        <v>20230815001</v>
      </c>
      <c r="D41" s="12" t="str">
        <v>20240306004</v>
      </c>
      <c r="E41" s="11" t="str">
        <v>20231031006</v>
      </c>
      <c r="F41" s="13" t="str">
        <v>20230915001</v>
      </c>
    </row>
    <row r="42" spans="1:6">
      <c r="A42" s="1" t="s">
        <v>516</v>
      </c>
      <c r="B42" s="1" t="s">
        <v>378</v>
      </c>
      <c r="C42" s="10" t="str">
        <v>20230816000</v>
      </c>
      <c r="D42" s="12" t="str">
        <v>20240312000</v>
      </c>
      <c r="E42" s="11" t="str">
        <v>20231031008</v>
      </c>
      <c r="F42" s="13" t="str">
        <v>20230915002</v>
      </c>
    </row>
    <row r="43" spans="1:6">
      <c r="A43" s="1" t="s">
        <v>527</v>
      </c>
      <c r="B43" s="1" t="s">
        <v>385</v>
      </c>
      <c r="C43" s="10" t="str">
        <v>20230816001</v>
      </c>
      <c r="D43" s="12" t="str">
        <v>20240313000</v>
      </c>
      <c r="E43" s="11" t="str">
        <v>20231103001</v>
      </c>
      <c r="F43" s="13" t="str">
        <v>20230917000</v>
      </c>
    </row>
    <row r="44" spans="1:6">
      <c r="A44" s="1" t="s">
        <v>552</v>
      </c>
      <c r="B44" s="1" t="s">
        <v>380</v>
      </c>
      <c r="C44" s="10" t="str">
        <v>20230816003</v>
      </c>
      <c r="D44" s="12" t="str">
        <v>20240327001</v>
      </c>
      <c r="E44" s="11" t="str">
        <v>20231107002</v>
      </c>
      <c r="F44" s="13" t="str">
        <v>20230918001</v>
      </c>
    </row>
    <row r="45" spans="1:6">
      <c r="A45" s="1" t="s">
        <v>563</v>
      </c>
      <c r="B45" s="1" t="s">
        <v>393</v>
      </c>
      <c r="C45" s="10" t="str">
        <v>20230817000</v>
      </c>
      <c r="D45" s="12" t="str">
        <v>20240327002</v>
      </c>
      <c r="E45" s="11" t="str">
        <v>20231114001</v>
      </c>
      <c r="F45" s="13" t="str">
        <v>20230920001</v>
      </c>
    </row>
    <row r="46" spans="1:6">
      <c r="A46" s="1" t="s">
        <v>579</v>
      </c>
      <c r="B46" s="1"/>
      <c r="C46" s="10" t="str">
        <v>20230818000</v>
      </c>
      <c r="D46" s="12" t="str">
        <v>20240329000</v>
      </c>
      <c r="E46" s="11" t="str">
        <v>20231127002</v>
      </c>
      <c r="F46" s="13" t="str">
        <v>20230921001</v>
      </c>
    </row>
    <row r="47" spans="1:6">
      <c r="A47" s="1" t="s">
        <v>573</v>
      </c>
      <c r="B47" s="1" t="s">
        <v>402</v>
      </c>
      <c r="C47" s="10" t="str">
        <v>20230822000</v>
      </c>
      <c r="D47" s="12" t="str">
        <v>20240402000</v>
      </c>
      <c r="E47" s="11" t="str">
        <v>20231127004</v>
      </c>
      <c r="F47" s="13" t="str">
        <v>20230924001</v>
      </c>
    </row>
    <row r="48" spans="1:6">
      <c r="A48" s="1" t="s">
        <v>545</v>
      </c>
      <c r="B48" s="1" t="s">
        <v>403</v>
      </c>
      <c r="C48" s="10" t="str">
        <v>20230822003</v>
      </c>
      <c r="D48" s="12" t="str">
        <v>20240405000</v>
      </c>
      <c r="E48" s="11" t="str">
        <v>20231128000</v>
      </c>
      <c r="F48" s="13" t="str">
        <v>20230925001</v>
      </c>
    </row>
    <row r="49" spans="1:6">
      <c r="A49" s="1" t="s">
        <v>586</v>
      </c>
      <c r="B49" s="1" t="s">
        <v>412</v>
      </c>
      <c r="C49" s="10" t="str">
        <v>20230823000</v>
      </c>
      <c r="D49" s="12" t="str">
        <v>20240418000</v>
      </c>
      <c r="E49" s="11" t="str">
        <v>20231129002</v>
      </c>
      <c r="F49" s="13" t="str">
        <v>20230928000</v>
      </c>
    </row>
    <row r="50" spans="1:6">
      <c r="A50" s="1" t="s">
        <v>595</v>
      </c>
      <c r="B50" s="1" t="s">
        <v>416</v>
      </c>
      <c r="C50" s="10" t="str">
        <v>20230823001</v>
      </c>
      <c r="D50" s="12" t="str">
        <v>20240422000</v>
      </c>
      <c r="E50" s="11" t="str">
        <v>20231130002</v>
      </c>
      <c r="F50" s="13" t="str">
        <v>20231002000</v>
      </c>
    </row>
    <row r="51" spans="1:6">
      <c r="A51" s="1" t="s">
        <v>608</v>
      </c>
      <c r="B51" s="1" t="s">
        <v>417</v>
      </c>
      <c r="C51" s="10" t="str">
        <v>20230824000</v>
      </c>
      <c r="D51" s="12" t="str">
        <v>20240429004</v>
      </c>
      <c r="E51" s="11" t="str">
        <v>20231130004</v>
      </c>
      <c r="F51" s="13" t="str">
        <v>20231004006</v>
      </c>
    </row>
    <row r="52" spans="1:6">
      <c r="A52" s="1" t="s">
        <v>603</v>
      </c>
      <c r="B52" s="1" t="s">
        <v>432</v>
      </c>
      <c r="C52" s="10" t="str">
        <v>20230829000</v>
      </c>
      <c r="D52" s="12" t="str">
        <v>20240502001</v>
      </c>
      <c r="E52" s="11" t="str">
        <v>20231130005</v>
      </c>
      <c r="F52" s="13" t="str">
        <v>20231011000</v>
      </c>
    </row>
    <row r="53" spans="1:6">
      <c r="A53" s="1" t="s">
        <v>620</v>
      </c>
      <c r="B53" s="1" t="s">
        <v>420</v>
      </c>
      <c r="C53" s="10" t="str">
        <v>20230829002</v>
      </c>
      <c r="D53" s="12" t="str">
        <v>20240502002</v>
      </c>
      <c r="E53" s="11" t="str">
        <v>20231207001</v>
      </c>
      <c r="F53" s="13" t="str">
        <v>20231011001</v>
      </c>
    </row>
    <row r="54" spans="1:6">
      <c r="A54" s="1" t="s">
        <v>628</v>
      </c>
      <c r="B54" s="1" t="s">
        <v>437</v>
      </c>
      <c r="C54" s="10" t="str">
        <v>20230829003</v>
      </c>
      <c r="D54" s="12" t="str">
        <v>20240529002</v>
      </c>
      <c r="E54" s="11" t="str">
        <v>20231207002</v>
      </c>
      <c r="F54" s="13" t="str">
        <v>20231016007</v>
      </c>
    </row>
    <row r="55" spans="1:6">
      <c r="A55" s="1" t="s">
        <v>619</v>
      </c>
      <c r="B55" s="1" t="s">
        <v>439</v>
      </c>
      <c r="C55" s="10" t="str">
        <v>20230829004</v>
      </c>
      <c r="D55" s="12" t="str">
        <v>20240531002</v>
      </c>
      <c r="E55" s="11" t="str">
        <v>20231207005</v>
      </c>
      <c r="F55" s="13" t="str">
        <v>20231017000</v>
      </c>
    </row>
    <row r="56" spans="1:6">
      <c r="A56" s="1" t="s">
        <v>639</v>
      </c>
      <c r="B56" s="1" t="s">
        <v>463</v>
      </c>
      <c r="C56" s="10" t="str">
        <v>20230829006</v>
      </c>
      <c r="D56" s="12" t="str">
        <v>20240603002</v>
      </c>
      <c r="E56" s="11" t="str">
        <v>20231213001</v>
      </c>
      <c r="F56" s="13" t="str">
        <v>20231017001</v>
      </c>
    </row>
    <row r="57" spans="1:6">
      <c r="A57" s="1" t="s">
        <v>665</v>
      </c>
      <c r="B57" s="1" t="s">
        <v>448</v>
      </c>
      <c r="C57" s="10" t="str">
        <v>20230830000</v>
      </c>
      <c r="D57" s="12" t="str">
        <v>20240613007</v>
      </c>
      <c r="E57" s="11" t="str">
        <v>20231219000</v>
      </c>
      <c r="F57" s="13" t="str">
        <v>20231019001</v>
      </c>
    </row>
    <row r="58" spans="1:6">
      <c r="A58" s="1" t="s">
        <v>648</v>
      </c>
      <c r="B58" s="1" t="s">
        <v>464</v>
      </c>
      <c r="C58" s="10" t="str">
        <v>20230830001</v>
      </c>
      <c r="D58" s="12" t="str">
        <v>20240618001</v>
      </c>
      <c r="E58" s="11" t="str">
        <v>20231219002</v>
      </c>
      <c r="F58" s="13" t="str">
        <v>20231024000</v>
      </c>
    </row>
    <row r="59" spans="1:6">
      <c r="A59" s="1" t="s">
        <v>660</v>
      </c>
      <c r="B59" s="1" t="s">
        <v>465</v>
      </c>
      <c r="C59" s="10" t="str">
        <v>20230830002</v>
      </c>
      <c r="D59" s="12" t="str">
        <v>20240626001</v>
      </c>
      <c r="E59" s="11" t="str">
        <v>20231219004</v>
      </c>
      <c r="F59" s="13" t="str">
        <v>20231026004</v>
      </c>
    </row>
    <row r="60" spans="1:6">
      <c r="A60" s="1" t="s">
        <v>654</v>
      </c>
      <c r="B60" s="1" t="s">
        <v>467</v>
      </c>
      <c r="C60" s="10" t="str">
        <v>20230831001</v>
      </c>
      <c r="D60" s="12" t="str">
        <v>20240628016</v>
      </c>
      <c r="E60" s="11" t="str">
        <v>20231219007</v>
      </c>
      <c r="F60" s="13" t="str">
        <v>20231030000</v>
      </c>
    </row>
    <row r="61" spans="1:6">
      <c r="A61" s="1" t="s">
        <v>676</v>
      </c>
      <c r="B61" s="1" t="s">
        <v>468</v>
      </c>
      <c r="C61" s="10" t="str">
        <v>20230905002</v>
      </c>
      <c r="D61" s="12" t="str">
        <v>20240628017</v>
      </c>
      <c r="E61" s="11" t="str">
        <v>20231219011</v>
      </c>
      <c r="F61" s="13" t="str">
        <v>20231031000</v>
      </c>
    </row>
    <row r="62" spans="1:6">
      <c r="A62" s="1" t="s">
        <v>695</v>
      </c>
      <c r="B62" s="1" t="s">
        <v>469</v>
      </c>
      <c r="C62" s="10" t="str">
        <v>20230905003</v>
      </c>
      <c r="D62" s="12" t="str">
        <v>20240703000</v>
      </c>
      <c r="E62" s="11" t="str">
        <v>20231219013</v>
      </c>
      <c r="F62" s="13" t="str">
        <v>20231031007</v>
      </c>
    </row>
    <row r="63" spans="1:6">
      <c r="A63" s="1" t="s">
        <v>687</v>
      </c>
      <c r="B63" s="1" t="s">
        <v>471</v>
      </c>
      <c r="C63" s="10" t="str">
        <v>20230906000</v>
      </c>
      <c r="D63" s="12" t="str">
        <v>20240715000</v>
      </c>
      <c r="E63" s="11" t="str">
        <v>20231219014</v>
      </c>
      <c r="F63" s="13" t="str">
        <v>20231101004</v>
      </c>
    </row>
    <row r="64" spans="1:6">
      <c r="A64" s="1" t="s">
        <v>706</v>
      </c>
      <c r="B64" s="1" t="s">
        <v>474</v>
      </c>
      <c r="C64" s="10" t="str">
        <v>20230906001</v>
      </c>
      <c r="D64" s="12" t="str">
        <v>20240730002</v>
      </c>
      <c r="E64" s="11" t="str">
        <v>20231219015</v>
      </c>
      <c r="F64" s="13" t="str">
        <v>20231106000</v>
      </c>
    </row>
    <row r="65" spans="1:6">
      <c r="A65" s="1" t="s">
        <v>702</v>
      </c>
      <c r="B65" s="1" t="s">
        <v>476</v>
      </c>
      <c r="C65" s="10" t="str">
        <v>20230906002</v>
      </c>
      <c r="D65" s="12" t="str">
        <v>20240730003</v>
      </c>
      <c r="E65" s="11" t="str">
        <v>20231220000</v>
      </c>
      <c r="F65" s="13" t="str">
        <v>20231106001</v>
      </c>
    </row>
    <row r="66" spans="1:6">
      <c r="A66" s="1" t="s">
        <v>711</v>
      </c>
      <c r="B66" s="1" t="s">
        <v>477</v>
      </c>
      <c r="C66" s="10" t="str">
        <v>20230906004</v>
      </c>
      <c r="D66" s="12" t="str">
        <v>20240806004</v>
      </c>
      <c r="E66" s="11" t="str">
        <v>20231220001</v>
      </c>
      <c r="F66" s="13" t="str">
        <v>20231106002</v>
      </c>
    </row>
    <row r="67" spans="1:6">
      <c r="A67" s="1" t="s">
        <v>740</v>
      </c>
      <c r="B67" s="1" t="s">
        <v>492</v>
      </c>
      <c r="C67" s="10" t="str">
        <v>20230906005</v>
      </c>
      <c r="D67" s="12" t="str">
        <v>20240806005</v>
      </c>
      <c r="E67" s="11" t="str">
        <v>20231221000</v>
      </c>
      <c r="F67" s="13" t="str">
        <v>20231107003</v>
      </c>
    </row>
    <row r="68" spans="1:6">
      <c r="A68" s="1" t="s">
        <v>726</v>
      </c>
      <c r="B68" s="1" t="s">
        <v>486</v>
      </c>
      <c r="C68" s="10" t="str">
        <v>20230906011</v>
      </c>
      <c r="D68" s="12" t="str">
        <v>20240813003</v>
      </c>
      <c r="E68" s="11" t="str">
        <v>20231221001</v>
      </c>
      <c r="F68" s="13" t="str">
        <v>20231107004</v>
      </c>
    </row>
    <row r="69" spans="1:6">
      <c r="A69" s="1" t="s">
        <v>751</v>
      </c>
      <c r="B69" s="1" t="s">
        <v>509</v>
      </c>
      <c r="C69" s="10" t="str">
        <v>20230906012</v>
      </c>
      <c r="D69" s="12" t="str">
        <v>20240819000</v>
      </c>
      <c r="E69" s="11" t="str">
        <v>20231221003</v>
      </c>
      <c r="F69" s="13" t="str">
        <v>20231107005</v>
      </c>
    </row>
    <row r="70" spans="1:6">
      <c r="A70" s="1" t="s">
        <v>759</v>
      </c>
      <c r="B70" s="1" t="s">
        <v>512</v>
      </c>
      <c r="C70" s="10" t="str">
        <v>20230907000</v>
      </c>
      <c r="D70" s="12" t="str">
        <v>20240829001</v>
      </c>
      <c r="E70" s="11" t="str">
        <v>20231222000</v>
      </c>
      <c r="F70" s="13" t="str">
        <v>20231109000</v>
      </c>
    </row>
    <row r="71" spans="1:6">
      <c r="A71" s="1" t="s">
        <v>773</v>
      </c>
      <c r="B71" s="1" t="s">
        <v>514</v>
      </c>
      <c r="C71" s="10" t="str">
        <v>20230907001</v>
      </c>
      <c r="D71" s="12" t="str">
        <v>20240910000</v>
      </c>
      <c r="E71" s="11" t="str">
        <v>20240116000</v>
      </c>
      <c r="F71" s="13" t="str">
        <v>20231113000</v>
      </c>
    </row>
    <row r="72" spans="1:6">
      <c r="A72" s="1" t="s">
        <v>772</v>
      </c>
      <c r="B72" s="1" t="s">
        <v>521</v>
      </c>
      <c r="C72" s="10" t="str">
        <v>20230908000</v>
      </c>
      <c r="D72" s="12" t="str">
        <v>20240930001</v>
      </c>
      <c r="E72" s="11" t="str">
        <v>20240129003</v>
      </c>
      <c r="F72" s="13" t="str">
        <v>20231114000</v>
      </c>
    </row>
    <row r="73" spans="1:6">
      <c r="A73" s="1" t="s">
        <v>780</v>
      </c>
      <c r="B73" s="1" t="s">
        <v>516</v>
      </c>
      <c r="C73" s="10" t="str">
        <v>20230908002</v>
      </c>
      <c r="D73" s="12" t="str">
        <v>20241010000</v>
      </c>
      <c r="E73" s="11" t="str">
        <v>20240202004</v>
      </c>
      <c r="F73" s="13" t="str">
        <v>20231114002</v>
      </c>
    </row>
    <row r="74" spans="1:6">
      <c r="A74" s="1" t="s">
        <v>783</v>
      </c>
      <c r="B74" s="1" t="s">
        <v>522</v>
      </c>
      <c r="C74" s="10" t="str">
        <v>20230908003</v>
      </c>
      <c r="D74" s="12" t="str">
        <v>20241015000</v>
      </c>
      <c r="E74" s="11" t="str">
        <v>20240202005</v>
      </c>
      <c r="F74" s="13" t="str">
        <v>20231114006</v>
      </c>
    </row>
    <row r="75" spans="1:6">
      <c r="A75" s="1" t="s">
        <v>810</v>
      </c>
      <c r="B75" s="1" t="s">
        <v>524</v>
      </c>
      <c r="C75" s="10" t="str">
        <v>20230913000</v>
      </c>
      <c r="D75" s="12" t="str">
        <v>20241022000</v>
      </c>
      <c r="E75" s="11" t="str">
        <v>20240202006</v>
      </c>
      <c r="F75" s="13" t="str">
        <v>20231115000</v>
      </c>
    </row>
    <row r="76" spans="1:6">
      <c r="A76" s="1" t="s">
        <v>801</v>
      </c>
      <c r="B76" s="1" t="s">
        <v>536</v>
      </c>
      <c r="C76" s="10" t="str">
        <v>20230914000</v>
      </c>
      <c r="D76" s="12" t="str">
        <v>20241112000</v>
      </c>
      <c r="E76" s="11" t="str">
        <v>20240203000</v>
      </c>
      <c r="F76" s="13" t="str">
        <v>20231117001</v>
      </c>
    </row>
    <row r="77" spans="1:6">
      <c r="A77" s="1" t="s">
        <v>796</v>
      </c>
      <c r="B77" s="1" t="s">
        <v>538</v>
      </c>
      <c r="C77" s="10" t="str">
        <v>20230914002</v>
      </c>
      <c r="D77" s="12" t="str">
        <v>20241115007</v>
      </c>
      <c r="E77" s="11" t="str">
        <v>20240216001</v>
      </c>
      <c r="F77" s="13" t="str">
        <v>20231120000</v>
      </c>
    </row>
    <row r="78" spans="1:6">
      <c r="A78" s="1" t="s">
        <v>820</v>
      </c>
      <c r="B78" s="1" t="s">
        <v>540</v>
      </c>
      <c r="C78" s="10" t="str">
        <v>20230915000</v>
      </c>
      <c r="D78" s="12" t="str">
        <v>20241119001</v>
      </c>
      <c r="E78" s="11" t="str">
        <v>20240221008</v>
      </c>
      <c r="F78" s="13" t="str">
        <v>20231130000</v>
      </c>
    </row>
    <row r="79" spans="1:6">
      <c r="A79" s="1" t="s">
        <v>846</v>
      </c>
      <c r="B79" s="1" t="s">
        <v>542</v>
      </c>
      <c r="C79" s="10" t="str">
        <v>20230915001</v>
      </c>
      <c r="D79" s="12" t="str">
        <v>20241119002</v>
      </c>
      <c r="E79" s="11" t="str">
        <v>20240227002</v>
      </c>
      <c r="F79" s="13" t="str">
        <v>20231204002</v>
      </c>
    </row>
    <row r="80" spans="1:6">
      <c r="A80" s="1" t="s">
        <v>842</v>
      </c>
      <c r="B80" s="1" t="s">
        <v>552</v>
      </c>
      <c r="C80" s="10" t="str">
        <v>20230915002</v>
      </c>
      <c r="D80" s="12" t="str">
        <v>20241119005</v>
      </c>
      <c r="E80" s="11" t="str">
        <v>20240227005</v>
      </c>
      <c r="F80" s="13" t="str">
        <v>20231204003</v>
      </c>
    </row>
    <row r="81" spans="1:6">
      <c r="A81" s="1" t="s">
        <v>837</v>
      </c>
      <c r="B81" s="1" t="s">
        <v>577</v>
      </c>
      <c r="C81" s="10" t="str">
        <v>20230917000</v>
      </c>
      <c r="D81" s="12" t="str">
        <v>20241205000</v>
      </c>
      <c r="E81" s="11" t="str">
        <v>20240227008</v>
      </c>
      <c r="F81" s="13" t="str">
        <v>20231206000</v>
      </c>
    </row>
    <row r="82" spans="1:6">
      <c r="A82" s="1" t="s">
        <v>831</v>
      </c>
      <c r="B82" s="1" t="s">
        <v>545</v>
      </c>
      <c r="C82" s="10" t="str">
        <v>20230918001</v>
      </c>
      <c r="D82" s="12" t="str">
        <v>20241209000</v>
      </c>
      <c r="E82" s="11" t="str">
        <v>20240312001</v>
      </c>
      <c r="F82" s="13" t="str">
        <v>20231206001</v>
      </c>
    </row>
    <row r="83" spans="1:6">
      <c r="A83" s="1" t="s">
        <v>852</v>
      </c>
      <c r="B83" s="1" t="s">
        <v>573</v>
      </c>
      <c r="C83" s="10" t="str">
        <v>20230918002</v>
      </c>
      <c r="D83" s="12" t="str">
        <v>20241217001</v>
      </c>
      <c r="E83" s="11" t="str">
        <v>20240313001</v>
      </c>
      <c r="F83" s="13" t="str">
        <v>20231207003</v>
      </c>
    </row>
    <row r="84" spans="1:6">
      <c r="A84" s="1" t="s">
        <v>867</v>
      </c>
      <c r="B84" s="1" t="s">
        <v>592</v>
      </c>
      <c r="C84" s="10" t="str">
        <v>20230919001</v>
      </c>
      <c r="D84" s="12" t="str">
        <v>20241217003</v>
      </c>
      <c r="E84" s="11" t="str">
        <v>20240319000</v>
      </c>
      <c r="F84" s="13" t="str">
        <v>20231207004</v>
      </c>
    </row>
    <row r="85" spans="1:6">
      <c r="A85" s="1" t="s">
        <v>888</v>
      </c>
      <c r="B85" s="1" t="s">
        <v>595</v>
      </c>
      <c r="C85" s="10" t="str">
        <v>20230920001</v>
      </c>
      <c r="D85" s="12" t="str">
        <v>20241217016</v>
      </c>
      <c r="E85" s="11" t="str">
        <v>20240320000</v>
      </c>
      <c r="F85" s="13" t="str">
        <v>20231208000</v>
      </c>
    </row>
    <row r="86" spans="1:6">
      <c r="A86" s="1" t="s">
        <v>890</v>
      </c>
      <c r="B86" s="1" t="s">
        <v>607</v>
      </c>
      <c r="C86" s="10" t="str">
        <v>20230921001</v>
      </c>
      <c r="D86" s="12" t="str">
        <v>20241217020</v>
      </c>
      <c r="E86" s="11" t="str">
        <v>20240320001</v>
      </c>
      <c r="F86" s="13" t="str">
        <v>20231211000</v>
      </c>
    </row>
    <row r="87" spans="1:6">
      <c r="A87" s="1" t="s">
        <v>909</v>
      </c>
      <c r="B87" s="1" t="s">
        <v>608</v>
      </c>
      <c r="C87" s="10" t="str">
        <v>20230924001</v>
      </c>
      <c r="D87" s="12" t="str">
        <v>20241218005</v>
      </c>
      <c r="E87" s="11" t="str">
        <v>20240325001</v>
      </c>
      <c r="F87" s="13" t="str">
        <v>20231211001</v>
      </c>
    </row>
    <row r="88" spans="1:6">
      <c r="A88" s="1" t="s">
        <v>920</v>
      </c>
      <c r="B88" s="1" t="s">
        <v>614</v>
      </c>
      <c r="C88" s="10" t="str">
        <v>20230925001</v>
      </c>
      <c r="D88" s="12" t="str">
        <v>20241219000</v>
      </c>
      <c r="E88" s="11" t="str">
        <v>20240325002</v>
      </c>
      <c r="F88" s="13" t="str">
        <v>20231212001</v>
      </c>
    </row>
    <row r="89" spans="1:6">
      <c r="A89" s="1" t="s">
        <v>914</v>
      </c>
      <c r="B89" s="1" t="s">
        <v>616</v>
      </c>
      <c r="C89" s="10" t="str">
        <v>20230927000</v>
      </c>
      <c r="D89" s="12" t="str">
        <v>20241223002</v>
      </c>
      <c r="E89" s="11" t="str">
        <v>20240326001</v>
      </c>
      <c r="F89" s="13" t="str">
        <v>20231213002</v>
      </c>
    </row>
    <row r="90" spans="1:6">
      <c r="A90" s="1" t="s">
        <v>933</v>
      </c>
      <c r="B90" s="1" t="s">
        <v>619</v>
      </c>
      <c r="C90" s="10" t="str">
        <v>20230927001</v>
      </c>
      <c r="D90" s="12" t="str">
        <v>20241223006</v>
      </c>
      <c r="E90" s="11" t="str">
        <v>20240327000</v>
      </c>
      <c r="F90" s="13" t="str">
        <v>20231218002</v>
      </c>
    </row>
    <row r="91" spans="1:6">
      <c r="A91" s="1" t="s">
        <v>965</v>
      </c>
      <c r="B91" s="1" t="s">
        <v>628</v>
      </c>
      <c r="C91" s="10" t="str">
        <v>20230927002</v>
      </c>
      <c r="D91" s="12" t="str">
        <v>20241223007</v>
      </c>
      <c r="E91" s="11" t="str">
        <v>20240327003</v>
      </c>
      <c r="F91" s="13" t="str">
        <v>20231218003</v>
      </c>
    </row>
    <row r="92" spans="1:6">
      <c r="A92" s="1" t="s">
        <v>953</v>
      </c>
      <c r="B92" s="1" t="s">
        <v>639</v>
      </c>
      <c r="C92" s="10" t="str">
        <v>20230928000</v>
      </c>
      <c r="D92" s="12" t="str">
        <v>20250102000</v>
      </c>
      <c r="E92" s="11" t="str">
        <v>20240327004</v>
      </c>
      <c r="F92" s="13" t="str">
        <v>20231219005</v>
      </c>
    </row>
    <row r="93" spans="1:6">
      <c r="A93" s="1" t="s">
        <v>942</v>
      </c>
      <c r="B93" s="1" t="s">
        <v>645</v>
      </c>
      <c r="C93" s="10" t="str">
        <v>20230928001</v>
      </c>
      <c r="D93" s="12" t="str">
        <v>20250204002</v>
      </c>
      <c r="E93" s="11" t="str">
        <v>20240327005</v>
      </c>
      <c r="F93" s="13" t="str">
        <v>20231219012</v>
      </c>
    </row>
    <row r="94" spans="1:6">
      <c r="A94" s="1" t="s">
        <v>947</v>
      </c>
      <c r="B94" s="1" t="s">
        <v>647</v>
      </c>
      <c r="C94" s="10" t="str">
        <v>20230928002</v>
      </c>
      <c r="D94" s="12" t="str">
        <v>20250218000</v>
      </c>
      <c r="E94" s="11" t="str">
        <v>20240328001</v>
      </c>
      <c r="F94" s="13" t="str">
        <v>20231219016</v>
      </c>
    </row>
    <row r="95" spans="1:6">
      <c r="A95" s="1" t="s">
        <v>974</v>
      </c>
      <c r="B95" s="1" t="s">
        <v>670</v>
      </c>
      <c r="C95" s="10" t="str">
        <v>20230928003</v>
      </c>
      <c r="D95" s="12" t="str">
        <v>20250220000</v>
      </c>
      <c r="E95" s="11" t="str">
        <v>20240409000</v>
      </c>
      <c r="F95" s="13" t="str">
        <v>20231219018</v>
      </c>
    </row>
    <row r="96" spans="1:6">
      <c r="A96" s="1" t="s">
        <v>973</v>
      </c>
      <c r="B96" s="1" t="s">
        <v>673</v>
      </c>
      <c r="C96" s="10" t="str">
        <v>20231002000</v>
      </c>
      <c r="D96" s="12" t="str">
        <v>20250224000</v>
      </c>
      <c r="E96" s="11" t="str">
        <v>20240411000</v>
      </c>
      <c r="F96" s="13" t="str">
        <v>20231219022</v>
      </c>
    </row>
    <row r="97" spans="1:6">
      <c r="A97" s="1" t="s">
        <v>960</v>
      </c>
      <c r="B97" s="1" t="s">
        <v>675</v>
      </c>
      <c r="C97" s="10" t="str">
        <v>20231003000</v>
      </c>
      <c r="D97" s="12" t="str">
        <v>20250224004</v>
      </c>
      <c r="E97" s="11" t="str">
        <v>20240411005</v>
      </c>
      <c r="F97" s="13" t="str">
        <v>20231219025</v>
      </c>
    </row>
    <row r="98" spans="1:6">
      <c r="A98" s="1" t="s">
        <v>992</v>
      </c>
      <c r="B98" s="1" t="s">
        <v>682</v>
      </c>
      <c r="C98" s="10" t="str">
        <v>20231004001</v>
      </c>
      <c r="D98" s="12" t="str">
        <v>20250225001</v>
      </c>
      <c r="E98" s="11" t="str">
        <v>20240412000</v>
      </c>
      <c r="F98" s="13" t="str">
        <v>20231219026</v>
      </c>
    </row>
    <row r="99" spans="1:6">
      <c r="A99" s="1" t="s">
        <v>987</v>
      </c>
      <c r="B99" s="1" t="s">
        <v>685</v>
      </c>
      <c r="C99" s="10" t="str">
        <v>20231004002</v>
      </c>
      <c r="D99" s="12" t="str">
        <v>20250225004</v>
      </c>
      <c r="E99" s="11" t="str">
        <v>20240418001</v>
      </c>
      <c r="F99" s="13" t="str">
        <v>20240107001</v>
      </c>
    </row>
    <row r="100" spans="1:6">
      <c r="A100" s="1" t="s">
        <v>958</v>
      </c>
      <c r="B100" s="1" t="s">
        <v>694</v>
      </c>
      <c r="C100" s="10" t="str">
        <v>20231004005</v>
      </c>
      <c r="D100" s="12" t="str">
        <v>20250225005</v>
      </c>
      <c r="E100" s="11" t="str">
        <v>20240418002</v>
      </c>
      <c r="F100" s="13" t="str">
        <v>20240111000</v>
      </c>
    </row>
    <row r="101" spans="1:6">
      <c r="A101" s="1" t="s">
        <v>999</v>
      </c>
      <c r="B101" s="1" t="s">
        <v>702</v>
      </c>
      <c r="C101" s="10" t="str">
        <v>20231004006</v>
      </c>
      <c r="D101" s="12" t="str">
        <v>20250307002</v>
      </c>
      <c r="E101" s="11" t="str">
        <v>20240424000</v>
      </c>
      <c r="F101" s="13" t="str">
        <v>20240116002</v>
      </c>
    </row>
    <row r="102" spans="1:6">
      <c r="A102" s="1" t="s">
        <v>1022</v>
      </c>
      <c r="B102" s="1" t="s">
        <v>706</v>
      </c>
      <c r="C102" s="10" t="str">
        <v>20231005000</v>
      </c>
      <c r="D102" s="12" t="str">
        <v>20250412000</v>
      </c>
      <c r="E102" s="11" t="str">
        <v>20240429005</v>
      </c>
      <c r="F102" s="13" t="str">
        <v>20240122005</v>
      </c>
    </row>
    <row r="103" spans="1:6">
      <c r="A103" s="1" t="s">
        <v>1018</v>
      </c>
      <c r="B103" s="1" t="s">
        <v>695</v>
      </c>
      <c r="C103" s="10" t="str">
        <v>20231011000</v>
      </c>
      <c r="D103" s="12" t="str">
        <v>20250414002</v>
      </c>
      <c r="E103" s="11" t="str">
        <v>20240430000</v>
      </c>
      <c r="F103" s="13" t="str">
        <v>20240124000</v>
      </c>
    </row>
    <row r="104" spans="1:6">
      <c r="A104" s="1" t="s">
        <v>1040</v>
      </c>
      <c r="B104" s="1" t="s">
        <v>711</v>
      </c>
      <c r="C104" s="10" t="str">
        <v>20231011001</v>
      </c>
      <c r="D104" s="12" t="str">
        <v>20250425000</v>
      </c>
      <c r="E104" s="11" t="str">
        <v>20240502003</v>
      </c>
      <c r="F104" s="13" t="str">
        <v>20240129005</v>
      </c>
    </row>
    <row r="105" spans="1:6">
      <c r="A105" s="1" t="s">
        <v>1063</v>
      </c>
      <c r="B105" s="1" t="s">
        <v>718</v>
      </c>
      <c r="C105" s="10" t="str">
        <v>20231011004</v>
      </c>
      <c r="D105" s="12" t="str">
        <v>20250429001</v>
      </c>
      <c r="E105" s="11" t="str">
        <v>20240508001</v>
      </c>
      <c r="F105" s="13" t="str">
        <v>20240129007</v>
      </c>
    </row>
    <row r="106" spans="1:6">
      <c r="A106" s="1" t="s">
        <v>1043</v>
      </c>
      <c r="B106" s="1" t="s">
        <v>720</v>
      </c>
      <c r="C106" s="10" t="str">
        <v>20231016000</v>
      </c>
      <c r="D106" s="12" t="str">
        <v>20250505000</v>
      </c>
      <c r="E106" s="11" t="str">
        <v>20240510000</v>
      </c>
      <c r="F106" s="13" t="str">
        <v>20240129008</v>
      </c>
    </row>
    <row r="107" spans="1:6">
      <c r="A107" s="1" t="s">
        <v>1045</v>
      </c>
      <c r="B107" s="1" t="s">
        <v>722</v>
      </c>
      <c r="C107" s="10" t="str">
        <v>20231016002</v>
      </c>
      <c r="D107" s="12" t="str">
        <v>20250602000</v>
      </c>
      <c r="E107" s="11" t="str">
        <v>20240514001</v>
      </c>
      <c r="F107" s="13" t="str">
        <v>20240131003</v>
      </c>
    </row>
    <row r="108" spans="1:6">
      <c r="A108" s="1" t="s">
        <v>1054</v>
      </c>
      <c r="B108" s="1" t="s">
        <v>723</v>
      </c>
      <c r="C108" s="10" t="str">
        <v>20231016003</v>
      </c>
      <c r="D108" s="12" t="str">
        <v>20250608000</v>
      </c>
      <c r="E108" s="11" t="str">
        <v>20240521000</v>
      </c>
      <c r="F108" s="13" t="str">
        <v>20240205000</v>
      </c>
    </row>
    <row r="109" spans="1:6">
      <c r="A109" s="1" t="s">
        <v>1069</v>
      </c>
      <c r="B109" s="1" t="s">
        <v>725</v>
      </c>
      <c r="C109" s="10" t="str">
        <v>20231016005</v>
      </c>
      <c r="D109" s="12" t="str">
        <v>20250608003</v>
      </c>
      <c r="E109" s="11" t="str">
        <v>20240529000</v>
      </c>
      <c r="F109" s="13" t="str">
        <v>20240214000</v>
      </c>
    </row>
    <row r="110" spans="1:6">
      <c r="A110" s="1" t="s">
        <v>1075</v>
      </c>
      <c r="B110" s="1" t="s">
        <v>736</v>
      </c>
      <c r="C110" s="10" t="str">
        <v>20231016006</v>
      </c>
      <c r="D110" s="12" t="str">
        <v>20250610001</v>
      </c>
      <c r="E110" s="11" t="str">
        <v>20240529005</v>
      </c>
      <c r="F110" s="13" t="str">
        <v>20240215000</v>
      </c>
    </row>
    <row r="111" spans="1:6">
      <c r="A111" s="1" t="s">
        <v>1090</v>
      </c>
      <c r="B111" s="1" t="s">
        <v>737</v>
      </c>
      <c r="C111" s="10" t="str">
        <v>20231016007</v>
      </c>
      <c r="D111" s="12" t="str">
        <v>20250618012</v>
      </c>
      <c r="E111" s="11" t="str">
        <v>20240605000</v>
      </c>
      <c r="F111" s="13" t="str">
        <v>20240220000</v>
      </c>
    </row>
    <row r="112" spans="1:6">
      <c r="A112" s="1" t="s">
        <v>1099</v>
      </c>
      <c r="B112" s="1" t="s">
        <v>740</v>
      </c>
      <c r="C112" s="10" t="str">
        <v>20231017000</v>
      </c>
      <c r="D112" s="12" t="str">
        <v>20250709000</v>
      </c>
      <c r="E112" s="11" t="str">
        <v>20240610000</v>
      </c>
      <c r="F112" s="13" t="str">
        <v>20240221001</v>
      </c>
    </row>
    <row r="113" spans="1:6">
      <c r="A113" s="1" t="s">
        <v>1094</v>
      </c>
      <c r="B113" s="1" t="s">
        <v>744</v>
      </c>
      <c r="C113" s="10" t="str">
        <v>20231017001</v>
      </c>
      <c r="D113" s="12" t="str">
        <v>20250717000</v>
      </c>
      <c r="E113" s="11" t="str">
        <v>20240610001</v>
      </c>
      <c r="F113" s="13" t="str">
        <v>20240226007</v>
      </c>
    </row>
    <row r="114" spans="1:6">
      <c r="A114" s="1" t="s">
        <v>1122</v>
      </c>
      <c r="B114" s="1" t="s">
        <v>746</v>
      </c>
      <c r="C114" s="10" t="str">
        <v>20231019001</v>
      </c>
      <c r="D114" s="12" t="str">
        <v>20250730010</v>
      </c>
      <c r="E114" s="11" t="str">
        <v>20240612000</v>
      </c>
      <c r="F114" s="13" t="str">
        <v>20240227001</v>
      </c>
    </row>
    <row r="115" spans="1:6">
      <c r="A115" s="1" t="s">
        <v>1118</v>
      </c>
      <c r="B115" s="1" t="s">
        <v>749</v>
      </c>
      <c r="C115" s="10" t="str">
        <v>20231024000</v>
      </c>
      <c r="D115" s="12" t="str">
        <v>20250806000</v>
      </c>
      <c r="E115" s="11" t="str">
        <v>20240613000</v>
      </c>
      <c r="F115" s="13" t="str">
        <v>20240301002</v>
      </c>
    </row>
    <row r="116" spans="1:6">
      <c r="A116" s="1" t="s">
        <v>1113</v>
      </c>
      <c r="B116" s="1" t="s">
        <v>751</v>
      </c>
      <c r="C116" s="10" t="str">
        <v>20231024001</v>
      </c>
      <c r="D116" s="12" t="str">
        <v>20250903001</v>
      </c>
      <c r="E116" s="11" t="str">
        <v>20240613001</v>
      </c>
      <c r="F116" s="13" t="str">
        <v>20240304000</v>
      </c>
    </row>
    <row r="117" spans="1:6">
      <c r="A117" s="1" t="s">
        <v>1131</v>
      </c>
      <c r="B117" s="1" t="s">
        <v>756</v>
      </c>
      <c r="C117" s="10" t="str">
        <v>20231026004</v>
      </c>
      <c r="D117" s="12" t="str">
        <v>20250922000</v>
      </c>
      <c r="E117" s="11" t="str">
        <v>20240613002</v>
      </c>
      <c r="F117" s="13" t="str">
        <v>20240306000</v>
      </c>
    </row>
    <row r="118" spans="1:6">
      <c r="A118" s="1" t="s">
        <v>1135</v>
      </c>
      <c r="B118" s="1" t="s">
        <v>757</v>
      </c>
      <c r="C118" s="10" t="str">
        <v>20231030000</v>
      </c>
      <c r="D118" s="12" t="str">
        <v>20250930000</v>
      </c>
      <c r="E118" s="11" t="str">
        <v>20240613005</v>
      </c>
      <c r="F118" s="13" t="str">
        <v>20240306003</v>
      </c>
    </row>
    <row r="119" spans="1:6">
      <c r="A119" s="1" t="s">
        <v>1129</v>
      </c>
      <c r="B119" s="1" t="s">
        <v>765</v>
      </c>
      <c r="C119" s="10" t="str">
        <v>20231031000</v>
      </c>
      <c r="D119" s="12" t="str">
        <v>20251009000</v>
      </c>
      <c r="E119" s="11" t="str">
        <v>20240613009</v>
      </c>
      <c r="F119" s="13" t="str">
        <v>20240306005</v>
      </c>
    </row>
    <row r="120" spans="1:6">
      <c r="A120" s="1" t="s">
        <v>1161</v>
      </c>
      <c r="B120" s="1" t="s">
        <v>766</v>
      </c>
      <c r="C120" s="10" t="str">
        <v>20231031001</v>
      </c>
      <c r="D120" s="12" t="str">
        <v>20251013000</v>
      </c>
      <c r="E120" s="11" t="str">
        <v>20240624000</v>
      </c>
      <c r="F120" s="13" t="str">
        <v>20240308000</v>
      </c>
    </row>
    <row r="121" spans="1:6">
      <c r="A121" s="1" t="s">
        <v>1156</v>
      </c>
      <c r="B121" s="1" t="s">
        <v>768</v>
      </c>
      <c r="C121" s="10" t="str">
        <v>20231031003</v>
      </c>
      <c r="D121" s="12" t="str">
        <v>20251017001</v>
      </c>
      <c r="E121" s="11" t="str">
        <v>20240625001</v>
      </c>
      <c r="F121" s="13" t="str">
        <v>20240312002</v>
      </c>
    </row>
    <row r="122" spans="1:6">
      <c r="A122" s="1" t="s">
        <v>1175</v>
      </c>
      <c r="B122" s="1" t="s">
        <v>770</v>
      </c>
      <c r="C122" s="10" t="str">
        <v>20231031006</v>
      </c>
      <c r="D122" s="12" t="str">
        <v>20251029001</v>
      </c>
      <c r="E122" s="11" t="str">
        <v>20240625002</v>
      </c>
      <c r="F122" s="13" t="str">
        <v>20240314000</v>
      </c>
    </row>
    <row r="123" spans="1:6">
      <c r="A123" s="1" t="s">
        <v>1181</v>
      </c>
      <c r="B123" s="1" t="s">
        <v>772</v>
      </c>
      <c r="C123" s="10" t="str">
        <v>20231031007</v>
      </c>
      <c r="D123" s="12" t="str">
        <v>20251029002</v>
      </c>
      <c r="E123" s="11" t="str">
        <v>20240626000</v>
      </c>
      <c r="F123" s="13" t="str">
        <v>20240319001</v>
      </c>
    </row>
    <row r="124" spans="1:6">
      <c r="A124" s="1" t="s">
        <v>1198</v>
      </c>
      <c r="B124" s="1" t="s">
        <v>773</v>
      </c>
      <c r="C124" s="10" t="str">
        <v>20231031008</v>
      </c>
      <c r="D124" s="12" t="str">
        <v>20251104000</v>
      </c>
      <c r="E124" s="11" t="str">
        <v>20240628000</v>
      </c>
      <c r="F124" s="13" t="str">
        <v>20240401002</v>
      </c>
    </row>
    <row r="125" spans="1:6">
      <c r="A125" s="1" t="s">
        <v>1182</v>
      </c>
      <c r="B125" s="1" t="s">
        <v>780</v>
      </c>
      <c r="C125" s="10" t="str">
        <v>20231101004</v>
      </c>
      <c r="D125" s="12" t="str">
        <v>20251104001</v>
      </c>
      <c r="E125" s="11" t="str">
        <v>20240628002</v>
      </c>
      <c r="F125" s="13" t="str">
        <v>20240401004</v>
      </c>
    </row>
    <row r="126" spans="1:6">
      <c r="A126" s="1" t="s">
        <v>1227</v>
      </c>
      <c r="B126" s="1" t="s">
        <v>783</v>
      </c>
      <c r="C126" s="10" t="str">
        <v>20231103001</v>
      </c>
      <c r="D126" s="12" t="str">
        <v>20251112005</v>
      </c>
      <c r="E126" s="11" t="str">
        <v>20240628004</v>
      </c>
      <c r="F126" s="13" t="str">
        <v>20240408000</v>
      </c>
    </row>
    <row r="127" spans="1:6">
      <c r="A127" s="1" t="s">
        <v>1212</v>
      </c>
      <c r="B127" s="1" t="s">
        <v>789</v>
      </c>
      <c r="C127" s="10" t="str">
        <v>20231106000</v>
      </c>
      <c r="D127" s="12" t="str">
        <v>20251118002</v>
      </c>
      <c r="E127" s="11" t="str">
        <v>20240628007</v>
      </c>
      <c r="F127" s="13" t="str">
        <v>20240408001</v>
      </c>
    </row>
    <row r="128" spans="1:6">
      <c r="A128" s="1" t="s">
        <v>1221</v>
      </c>
      <c r="B128" s="1" t="s">
        <v>796</v>
      </c>
      <c r="C128" s="10" t="str">
        <v>20231106001</v>
      </c>
      <c r="D128" s="12" t="str">
        <v>20251126000</v>
      </c>
      <c r="E128" s="11" t="str">
        <v>20240628011</v>
      </c>
      <c r="F128" s="13" t="str">
        <v>20240410000</v>
      </c>
    </row>
    <row r="129" spans="1:6">
      <c r="A129" s="1" t="s">
        <v>1232</v>
      </c>
      <c r="B129" s="1" t="s">
        <v>806</v>
      </c>
      <c r="C129" s="10" t="str">
        <v>20231106002</v>
      </c>
      <c r="D129" s="12" t="str">
        <v>20251218004</v>
      </c>
      <c r="E129" s="11" t="str">
        <v>20240628012</v>
      </c>
      <c r="F129" s="13" t="str">
        <v>20240411001</v>
      </c>
    </row>
    <row r="130" spans="1:6">
      <c r="A130" s="1" t="s">
        <v>1237</v>
      </c>
      <c r="B130" s="1" t="s">
        <v>808</v>
      </c>
      <c r="C130" s="10" t="str">
        <v>20231107002</v>
      </c>
      <c r="D130" s="12" t="str">
        <v>20260112000</v>
      </c>
      <c r="E130" s="11" t="str">
        <v>20240628014</v>
      </c>
      <c r="F130" s="13" t="str">
        <v>20240411003</v>
      </c>
    </row>
    <row r="131" spans="1:6">
      <c r="A131" s="1" t="s">
        <v>1249</v>
      </c>
      <c r="B131" s="1" t="s">
        <v>801</v>
      </c>
      <c r="C131" s="10" t="str">
        <v>20231107003</v>
      </c>
      <c r="D131" s="12" t="str">
        <v>20260116001</v>
      </c>
      <c r="E131" s="11" t="str">
        <v>20240723008</v>
      </c>
      <c r="F131" s="13" t="str">
        <v>20240411004</v>
      </c>
    </row>
    <row r="132" spans="1:6">
      <c r="A132" s="1" t="s">
        <v>1283</v>
      </c>
      <c r="B132" s="1" t="s">
        <v>810</v>
      </c>
      <c r="C132" s="10" t="str">
        <v>20231107004</v>
      </c>
      <c r="D132" s="12" t="str">
        <v>20260305003</v>
      </c>
      <c r="E132" s="11" t="str">
        <v>20240723009</v>
      </c>
      <c r="F132" s="13" t="str">
        <v>20240423000</v>
      </c>
    </row>
    <row r="133" spans="1:6">
      <c r="A133" s="1" t="s">
        <v>1290</v>
      </c>
      <c r="B133" s="1" t="s">
        <v>826</v>
      </c>
      <c r="C133" s="10" t="str">
        <v>20231107005</v>
      </c>
      <c r="D133" s="12" t="str">
        <v>20260415000</v>
      </c>
      <c r="E133" s="11" t="str">
        <v>20240724001</v>
      </c>
      <c r="F133" s="13" t="str">
        <v>20240502000</v>
      </c>
    </row>
    <row r="134" spans="1:6">
      <c r="A134" s="1" t="s">
        <v>1294</v>
      </c>
      <c r="B134" s="1" t="s">
        <v>829</v>
      </c>
      <c r="C134" s="10" t="str">
        <v>20231109000</v>
      </c>
      <c r="D134" s="12" t="str">
        <v>20260715002</v>
      </c>
      <c r="E134" s="11" t="str">
        <v>20240725000</v>
      </c>
      <c r="F134" s="13" t="str">
        <v>20240502005</v>
      </c>
    </row>
    <row r="135" spans="1:6">
      <c r="A135" s="1" t="s">
        <v>1276</v>
      </c>
      <c r="B135" s="1" t="s">
        <v>830</v>
      </c>
      <c r="C135" s="10" t="str">
        <v>20231109003</v>
      </c>
      <c r="D135" s="12" t="str">
        <v>20260807002</v>
      </c>
      <c r="E135" s="11" t="str">
        <v>20240725001</v>
      </c>
      <c r="F135" s="13" t="str">
        <v>20240502009</v>
      </c>
    </row>
    <row r="136" spans="1:6">
      <c r="A136" s="1" t="s">
        <v>1281</v>
      </c>
      <c r="B136" s="1" t="s">
        <v>837</v>
      </c>
      <c r="C136" s="10" t="str">
        <v>20231113000</v>
      </c>
      <c r="D136" s="1"/>
      <c r="E136" s="11" t="str">
        <v>20240806003</v>
      </c>
      <c r="F136" s="13" t="str">
        <v>20240502010</v>
      </c>
    </row>
    <row r="137" spans="1:6">
      <c r="A137" s="1" t="s">
        <v>1261</v>
      </c>
      <c r="B137" s="1" t="s">
        <v>831</v>
      </c>
      <c r="C137" s="10" t="str">
        <v>20231114000</v>
      </c>
      <c r="D137" s="1"/>
      <c r="E137" s="11" t="str">
        <v>20240808002</v>
      </c>
      <c r="F137" s="13" t="str">
        <v>20240508000</v>
      </c>
    </row>
    <row r="138" spans="1:6">
      <c r="A138" s="1" t="s">
        <v>1254</v>
      </c>
      <c r="B138" s="1" t="s">
        <v>852</v>
      </c>
      <c r="C138" s="10" t="str">
        <v>20231114001</v>
      </c>
      <c r="D138" s="1"/>
      <c r="E138" s="11" t="str">
        <v>20240813001</v>
      </c>
      <c r="F138" s="13" t="str">
        <v>20240520006</v>
      </c>
    </row>
    <row r="139" spans="1:6">
      <c r="A139" s="1" t="s">
        <v>1272</v>
      </c>
      <c r="B139" s="1" t="s">
        <v>858</v>
      </c>
      <c r="C139" s="10" t="str">
        <v>20231114002</v>
      </c>
      <c r="D139" s="1"/>
      <c r="E139" s="11" t="str">
        <v>20240814000</v>
      </c>
      <c r="F139" s="13" t="str">
        <v>20240520011</v>
      </c>
    </row>
    <row r="140" spans="1:6">
      <c r="A140" s="1" t="s">
        <v>1323</v>
      </c>
      <c r="B140" s="1" t="s">
        <v>861</v>
      </c>
      <c r="C140" s="10" t="str">
        <v>20231114005</v>
      </c>
      <c r="D140" s="1"/>
      <c r="E140" s="11" t="str">
        <v>20240814002</v>
      </c>
      <c r="F140" s="13" t="str">
        <v>20240524000</v>
      </c>
    </row>
    <row r="141" spans="1:6">
      <c r="A141" s="1" t="s">
        <v>1304</v>
      </c>
      <c r="B141" s="1" t="s">
        <v>864</v>
      </c>
      <c r="C141" s="10" t="str">
        <v>20231114006</v>
      </c>
      <c r="D141" s="1"/>
      <c r="E141" s="11" t="str">
        <v>20240822001</v>
      </c>
      <c r="F141" s="13" t="str">
        <v>20240529004</v>
      </c>
    </row>
    <row r="142" spans="1:6">
      <c r="A142" s="1" t="s">
        <v>1313</v>
      </c>
      <c r="B142" s="1" t="s">
        <v>873</v>
      </c>
      <c r="C142" s="10" t="str">
        <v>20231115000</v>
      </c>
      <c r="D142" s="1"/>
      <c r="E142" s="11" t="str">
        <v>20240822003</v>
      </c>
      <c r="F142" s="13" t="str">
        <v>20240530001</v>
      </c>
    </row>
    <row r="143" spans="1:6">
      <c r="A143" s="1" t="s">
        <v>1358</v>
      </c>
      <c r="B143" s="1" t="s">
        <v>874</v>
      </c>
      <c r="C143" s="10" t="str">
        <v>20231117001</v>
      </c>
      <c r="D143" s="1"/>
      <c r="E143" s="11" t="str">
        <v>20240826002</v>
      </c>
      <c r="F143" s="13" t="str">
        <v>20240613003</v>
      </c>
    </row>
    <row r="144" spans="1:6">
      <c r="A144" s="1" t="s">
        <v>1332</v>
      </c>
      <c r="B144" s="1" t="s">
        <v>878</v>
      </c>
      <c r="C144" s="10" t="str">
        <v>20231120000</v>
      </c>
      <c r="D144" s="1"/>
      <c r="E144" s="11" t="str">
        <v>20240826005</v>
      </c>
      <c r="F144" s="13" t="str">
        <v>20240613008</v>
      </c>
    </row>
    <row r="145" spans="1:6">
      <c r="A145" s="1" t="s">
        <v>1346</v>
      </c>
      <c r="B145" s="1" t="s">
        <v>880</v>
      </c>
      <c r="C145" s="10" t="str">
        <v>20231127002</v>
      </c>
      <c r="D145" s="1"/>
      <c r="E145" s="11" t="str">
        <v>20240826012</v>
      </c>
      <c r="F145" s="13" t="str">
        <v>20240614001</v>
      </c>
    </row>
    <row r="146" spans="1:6">
      <c r="A146" s="1" t="s">
        <v>1364</v>
      </c>
      <c r="B146" s="1" t="s">
        <v>882</v>
      </c>
      <c r="C146" s="10" t="str">
        <v>20231127004</v>
      </c>
      <c r="D146" s="1"/>
      <c r="E146" s="11" t="str">
        <v>20240827002</v>
      </c>
      <c r="F146" s="13" t="str">
        <v>20240619002</v>
      </c>
    </row>
    <row r="147" spans="1:6">
      <c r="A147" s="1" t="s">
        <v>1371</v>
      </c>
      <c r="B147" s="1" t="s">
        <v>884</v>
      </c>
      <c r="C147" s="10" t="str">
        <v>20231128000</v>
      </c>
      <c r="D147" s="1"/>
      <c r="E147" s="11" t="str">
        <v>20240830001</v>
      </c>
      <c r="F147" s="13" t="str">
        <v>20240621000</v>
      </c>
    </row>
    <row r="148" spans="1:6">
      <c r="A148" s="1" t="s">
        <v>1436</v>
      </c>
      <c r="B148" s="1" t="s">
        <v>885</v>
      </c>
      <c r="C148" s="10" t="str">
        <v>20231129002</v>
      </c>
      <c r="D148" s="1"/>
      <c r="E148" s="11" t="str">
        <v>20240902000</v>
      </c>
      <c r="F148" s="13" t="str">
        <v>20240621001</v>
      </c>
    </row>
    <row r="149" spans="1:6">
      <c r="A149" s="1" t="s">
        <v>1380</v>
      </c>
      <c r="B149" s="1" t="s">
        <v>888</v>
      </c>
      <c r="C149" s="10" t="str">
        <v>20231130000</v>
      </c>
      <c r="D149" s="1"/>
      <c r="E149" s="11" t="str">
        <v>20240912000</v>
      </c>
      <c r="F149" s="13" t="str">
        <v>20240625003</v>
      </c>
    </row>
    <row r="150" spans="1:6">
      <c r="A150" s="1" t="s">
        <v>1388</v>
      </c>
      <c r="B150" s="1" t="s">
        <v>890</v>
      </c>
      <c r="C150" s="10" t="str">
        <v>20231130002</v>
      </c>
      <c r="D150" s="1"/>
      <c r="E150" s="11" t="str">
        <v>20240922001</v>
      </c>
      <c r="F150" s="13" t="str">
        <v>20240716001</v>
      </c>
    </row>
    <row r="151" spans="1:6">
      <c r="A151" s="1" t="s">
        <v>1399</v>
      </c>
      <c r="B151" s="1" t="s">
        <v>920</v>
      </c>
      <c r="C151" s="10" t="str">
        <v>20231130004</v>
      </c>
      <c r="D151" s="1"/>
      <c r="E151" s="11" t="str">
        <v>20240923007</v>
      </c>
      <c r="F151" s="13" t="str">
        <v>20240723003</v>
      </c>
    </row>
    <row r="152" spans="1:6">
      <c r="A152" s="1" t="s">
        <v>1412</v>
      </c>
      <c r="B152" s="1" t="s">
        <v>914</v>
      </c>
      <c r="C152" s="10" t="str">
        <v>20231130005</v>
      </c>
      <c r="D152" s="1"/>
      <c r="E152" s="11" t="str">
        <v>20240930002</v>
      </c>
      <c r="F152" s="13" t="str">
        <v>20240723004</v>
      </c>
    </row>
    <row r="153" spans="1:6">
      <c r="A153" s="1" t="s">
        <v>1404</v>
      </c>
      <c r="B153" s="1" t="s">
        <v>958</v>
      </c>
      <c r="C153" s="10" t="str">
        <v>20231204001</v>
      </c>
      <c r="D153" s="1"/>
      <c r="E153" s="11" t="str">
        <v>20241001003</v>
      </c>
      <c r="F153" s="13" t="str">
        <v>20240723006</v>
      </c>
    </row>
    <row r="154" spans="1:6">
      <c r="A154" s="1" t="s">
        <v>1424</v>
      </c>
      <c r="B154" s="1" t="s">
        <v>965</v>
      </c>
      <c r="C154" s="10" t="str">
        <v>20231204002</v>
      </c>
      <c r="D154" s="1"/>
      <c r="E154" s="11" t="str">
        <v>20241004002</v>
      </c>
      <c r="F154" s="13" t="str">
        <v>20240724002</v>
      </c>
    </row>
    <row r="155" spans="1:6">
      <c r="A155" s="1" t="s">
        <v>1417</v>
      </c>
      <c r="B155" s="1" t="s">
        <v>973</v>
      </c>
      <c r="C155" s="10" t="str">
        <v>20231204003</v>
      </c>
      <c r="D155" s="1"/>
      <c r="E155" s="11" t="str">
        <v>20241007002</v>
      </c>
      <c r="F155" s="13" t="str">
        <v>20240726002</v>
      </c>
    </row>
    <row r="156" spans="1:6">
      <c r="A156" s="1" t="s">
        <v>1432</v>
      </c>
      <c r="B156" s="1" t="s">
        <v>960</v>
      </c>
      <c r="C156" s="10" t="str">
        <v>20231205000</v>
      </c>
      <c r="D156" s="1"/>
      <c r="E156" s="11" t="str">
        <v>20241015002</v>
      </c>
      <c r="F156" s="13" t="str">
        <v>20240729000</v>
      </c>
    </row>
    <row r="157" spans="1:6">
      <c r="A157" s="1" t="s">
        <v>1447</v>
      </c>
      <c r="B157" s="1" t="s">
        <v>974</v>
      </c>
      <c r="C157" s="10" t="str">
        <v>20231206000</v>
      </c>
      <c r="D157" s="1"/>
      <c r="E157" s="11" t="str">
        <v>20241015003</v>
      </c>
      <c r="F157" s="13" t="str">
        <v>20240729001</v>
      </c>
    </row>
    <row r="158" spans="1:6">
      <c r="A158" s="1" t="s">
        <v>1456</v>
      </c>
      <c r="B158" s="1" t="s">
        <v>975</v>
      </c>
      <c r="C158" s="10" t="str">
        <v>20231206001</v>
      </c>
      <c r="D158" s="1"/>
      <c r="E158" s="11" t="str">
        <v>20241028000</v>
      </c>
      <c r="F158" s="13" t="str">
        <v>20240729002</v>
      </c>
    </row>
    <row r="159" spans="1:6">
      <c r="A159" s="1" t="s">
        <v>1469</v>
      </c>
      <c r="B159" s="1" t="s">
        <v>953</v>
      </c>
      <c r="C159" s="10" t="str">
        <v>20231207000</v>
      </c>
      <c r="D159" s="1"/>
      <c r="E159" s="11" t="str">
        <v>20241106000</v>
      </c>
      <c r="F159" s="13" t="str">
        <v>20240729005</v>
      </c>
    </row>
    <row r="160" spans="1:6">
      <c r="A160" s="1" t="s">
        <v>1474</v>
      </c>
      <c r="B160" s="1" t="s">
        <v>980</v>
      </c>
      <c r="C160" s="10" t="str">
        <v>20231207001</v>
      </c>
      <c r="D160" s="1"/>
      <c r="E160" s="11" t="str">
        <v>20241115000</v>
      </c>
      <c r="F160" s="13" t="str">
        <v>20240730004</v>
      </c>
    </row>
    <row r="161" spans="1:6">
      <c r="A161" s="1" t="s">
        <v>1495</v>
      </c>
      <c r="B161" s="1" t="s">
        <v>985</v>
      </c>
      <c r="C161" s="10" t="str">
        <v>20231207002</v>
      </c>
      <c r="D161" s="1"/>
      <c r="E161" s="11" t="str">
        <v>20241115002</v>
      </c>
      <c r="F161" s="13" t="str">
        <v>20240730005</v>
      </c>
    </row>
    <row r="162" spans="1:6">
      <c r="A162" s="1" t="s">
        <v>1484</v>
      </c>
      <c r="B162" s="1" t="s">
        <v>992</v>
      </c>
      <c r="C162" s="10" t="str">
        <v>20231207003</v>
      </c>
      <c r="D162" s="1"/>
      <c r="E162" s="11" t="str">
        <v>20241115003</v>
      </c>
      <c r="F162" s="13" t="str">
        <v>20240805007</v>
      </c>
    </row>
    <row r="163" spans="1:6">
      <c r="A163" s="1" t="s">
        <v>1505</v>
      </c>
      <c r="B163" s="1" t="s">
        <v>994</v>
      </c>
      <c r="C163" s="10" t="str">
        <v>20231207004</v>
      </c>
      <c r="D163" s="1"/>
      <c r="E163" s="11" t="str">
        <v>20241115004</v>
      </c>
      <c r="F163" s="13" t="str">
        <v>20240806006</v>
      </c>
    </row>
    <row r="164" spans="1:6">
      <c r="A164" s="1" t="s">
        <v>1510</v>
      </c>
      <c r="B164" s="1" t="s">
        <v>942</v>
      </c>
      <c r="C164" s="10" t="str">
        <v>20231207005</v>
      </c>
      <c r="D164" s="1"/>
      <c r="E164" s="11" t="str">
        <v>20241119003</v>
      </c>
      <c r="F164" s="13" t="str">
        <v>20240808000</v>
      </c>
    </row>
    <row r="165" spans="1:6">
      <c r="A165" s="1" t="s">
        <v>1516</v>
      </c>
      <c r="B165" s="1" t="s">
        <v>987</v>
      </c>
      <c r="C165" s="10" t="str">
        <v>20231208000</v>
      </c>
      <c r="D165" s="1"/>
      <c r="E165" s="11" t="str">
        <v>20241119009</v>
      </c>
      <c r="F165" s="13" t="str">
        <v>20240813004</v>
      </c>
    </row>
    <row r="166" spans="1:6">
      <c r="A166" s="1" t="s">
        <v>1521</v>
      </c>
      <c r="B166" s="1" t="s">
        <v>947</v>
      </c>
      <c r="C166" s="10" t="str">
        <v>20231211000</v>
      </c>
      <c r="D166" s="1"/>
      <c r="E166" s="11" t="str">
        <v>20241213000</v>
      </c>
      <c r="F166" s="13" t="str">
        <v>20240813006</v>
      </c>
    </row>
    <row r="167" spans="1:6">
      <c r="A167" s="1" t="s">
        <v>1531</v>
      </c>
      <c r="B167" s="1" t="s">
        <v>999</v>
      </c>
      <c r="C167" s="10" t="str">
        <v>20231211001</v>
      </c>
      <c r="D167" s="1"/>
      <c r="E167" s="11" t="str">
        <v>20241217004</v>
      </c>
      <c r="F167" s="13" t="str">
        <v>20240819002</v>
      </c>
    </row>
    <row r="168" spans="1:6">
      <c r="A168" s="1" t="s">
        <v>1537</v>
      </c>
      <c r="B168" s="1" t="s">
        <v>1010</v>
      </c>
      <c r="C168" s="10" t="str">
        <v>20231212000</v>
      </c>
      <c r="D168" s="1"/>
      <c r="E168" s="11" t="str">
        <v>20241218001</v>
      </c>
      <c r="F168" s="13" t="str">
        <v>20240821000</v>
      </c>
    </row>
    <row r="169" spans="1:6">
      <c r="A169" s="1" t="s">
        <v>1590</v>
      </c>
      <c r="B169" s="1" t="s">
        <v>1013</v>
      </c>
      <c r="C169" s="10" t="str">
        <v>20231212001</v>
      </c>
      <c r="D169" s="1"/>
      <c r="E169" s="11" t="str">
        <v>20241218003</v>
      </c>
      <c r="F169" s="13" t="str">
        <v>20240822004</v>
      </c>
    </row>
    <row r="170" spans="1:6">
      <c r="A170" s="1" t="s">
        <v>1558</v>
      </c>
      <c r="B170" s="1" t="s">
        <v>1016</v>
      </c>
      <c r="C170" s="10" t="str">
        <v>20231213001</v>
      </c>
      <c r="D170" s="1"/>
      <c r="E170" s="11" t="str">
        <v>20241218006</v>
      </c>
      <c r="F170" s="13" t="str">
        <v>20240823000</v>
      </c>
    </row>
    <row r="171" spans="1:6">
      <c r="A171" s="1" t="s">
        <v>1570</v>
      </c>
      <c r="B171" s="1" t="s">
        <v>1022</v>
      </c>
      <c r="C171" s="10" t="str">
        <v>20231213002</v>
      </c>
      <c r="D171" s="1"/>
      <c r="E171" s="11" t="str">
        <v>20241218007</v>
      </c>
      <c r="F171" s="13" t="str">
        <v>20240823003</v>
      </c>
    </row>
    <row r="172" spans="1:6">
      <c r="A172" s="1" t="s">
        <v>1579</v>
      </c>
      <c r="B172" s="1" t="s">
        <v>1026</v>
      </c>
      <c r="C172" s="10" t="str">
        <v>20231218002</v>
      </c>
      <c r="D172" s="1"/>
      <c r="E172" s="11" t="str">
        <v>20241219001</v>
      </c>
      <c r="F172" s="13" t="str">
        <v>20240829005</v>
      </c>
    </row>
    <row r="173" spans="1:6">
      <c r="A173" s="1" t="s">
        <v>1577</v>
      </c>
      <c r="B173" s="1" t="s">
        <v>1028</v>
      </c>
      <c r="C173" s="10" t="str">
        <v>20231218003</v>
      </c>
      <c r="D173" s="1"/>
      <c r="E173" s="11" t="str">
        <v>20241220000</v>
      </c>
      <c r="F173" s="13" t="str">
        <v>20240902002</v>
      </c>
    </row>
    <row r="174" spans="1:6">
      <c r="A174" s="1" t="s">
        <v>1553</v>
      </c>
      <c r="B174" s="1" t="s">
        <v>1030</v>
      </c>
      <c r="C174" s="10" t="str">
        <v>20231219000</v>
      </c>
      <c r="D174" s="1"/>
      <c r="E174" s="11" t="str">
        <v>20241220002</v>
      </c>
      <c r="F174" s="13" t="str">
        <v>20240903000</v>
      </c>
    </row>
    <row r="175" spans="1:6">
      <c r="A175" s="1" t="s">
        <v>1564</v>
      </c>
      <c r="B175" s="1" t="s">
        <v>1032</v>
      </c>
      <c r="C175" s="10" t="str">
        <v>20231219001</v>
      </c>
      <c r="D175" s="1"/>
      <c r="E175" s="11" t="str">
        <v>20250108001</v>
      </c>
      <c r="F175" s="13" t="str">
        <v>20240910001</v>
      </c>
    </row>
    <row r="176" spans="1:6">
      <c r="A176" s="1" t="s">
        <v>1595</v>
      </c>
      <c r="B176" s="1" t="s">
        <v>1035</v>
      </c>
      <c r="C176" s="10" t="str">
        <v>20231219002</v>
      </c>
      <c r="D176" s="1"/>
      <c r="E176" s="11" t="str">
        <v>20250110000</v>
      </c>
      <c r="F176" s="13" t="str">
        <v>20240910002</v>
      </c>
    </row>
    <row r="177" spans="1:6">
      <c r="A177" s="1" t="s">
        <v>1609</v>
      </c>
      <c r="B177" s="1" t="s">
        <v>1038</v>
      </c>
      <c r="C177" s="10" t="str">
        <v>20231219004</v>
      </c>
      <c r="D177" s="1"/>
      <c r="E177" s="11" t="str">
        <v>20250121001</v>
      </c>
      <c r="F177" s="13" t="str">
        <v>20240911001</v>
      </c>
    </row>
    <row r="178" spans="1:6">
      <c r="A178" s="1" t="s">
        <v>1615</v>
      </c>
      <c r="B178" s="1" t="s">
        <v>1040</v>
      </c>
      <c r="C178" s="10" t="str">
        <v>20231219005</v>
      </c>
      <c r="D178" s="1"/>
      <c r="E178" s="11" t="str">
        <v>20250122001</v>
      </c>
      <c r="F178" s="13" t="str">
        <v>20240911002</v>
      </c>
    </row>
    <row r="179" spans="1:6">
      <c r="A179" s="1" t="s">
        <v>1621</v>
      </c>
      <c r="B179" s="1" t="s">
        <v>1041</v>
      </c>
      <c r="C179" s="10" t="str">
        <v>20231219006</v>
      </c>
      <c r="D179" s="1"/>
      <c r="E179" s="11" t="str">
        <v>20250124000</v>
      </c>
      <c r="F179" s="13" t="str">
        <v>20240921001</v>
      </c>
    </row>
    <row r="180" spans="1:6">
      <c r="A180" s="1" t="s">
        <v>1634</v>
      </c>
      <c r="B180" s="1" t="s">
        <v>1043</v>
      </c>
      <c r="C180" s="10" t="str">
        <v>20231219007</v>
      </c>
      <c r="D180" s="1"/>
      <c r="E180" s="11" t="str">
        <v>20250124001</v>
      </c>
      <c r="F180" s="13" t="str">
        <v>20240923004</v>
      </c>
    </row>
    <row r="181" spans="1:6">
      <c r="A181" s="1" t="s">
        <v>1625</v>
      </c>
      <c r="B181" s="1" t="s">
        <v>1045</v>
      </c>
      <c r="C181" s="10" t="str">
        <v>20231219011</v>
      </c>
      <c r="D181" s="1"/>
      <c r="E181" s="11" t="str">
        <v>20250128003</v>
      </c>
      <c r="F181" s="13" t="str">
        <v>20240923006</v>
      </c>
    </row>
    <row r="182" spans="1:6">
      <c r="A182" s="1" t="s">
        <v>1688</v>
      </c>
      <c r="B182" s="1" t="s">
        <v>1063</v>
      </c>
      <c r="C182" s="10" t="str">
        <v>20231219012</v>
      </c>
      <c r="D182" s="1"/>
      <c r="E182" s="11" t="str">
        <v>20250129002</v>
      </c>
      <c r="F182" s="13" t="str">
        <v>20240930003</v>
      </c>
    </row>
    <row r="183" spans="1:6">
      <c r="A183" s="1" t="s">
        <v>1652</v>
      </c>
      <c r="B183" s="1" t="s">
        <v>1075</v>
      </c>
      <c r="C183" s="10" t="str">
        <v>20231219013</v>
      </c>
      <c r="D183" s="1"/>
      <c r="E183" s="11" t="str">
        <v>20250130000</v>
      </c>
      <c r="F183" s="13" t="str">
        <v>20240930007</v>
      </c>
    </row>
    <row r="184" spans="1:6">
      <c r="A184" s="1" t="s">
        <v>1653</v>
      </c>
      <c r="B184" s="1" t="s">
        <v>1084</v>
      </c>
      <c r="C184" s="10" t="str">
        <v>20231219014</v>
      </c>
      <c r="D184" s="1"/>
      <c r="E184" s="11" t="str">
        <v>20250131001</v>
      </c>
      <c r="F184" s="13" t="str">
        <v>20240930009</v>
      </c>
    </row>
    <row r="185" spans="1:6">
      <c r="A185" s="1" t="s">
        <v>1684</v>
      </c>
      <c r="B185" s="1" t="s">
        <v>1087</v>
      </c>
      <c r="C185" s="10" t="str">
        <v>20231219015</v>
      </c>
      <c r="D185" s="1"/>
      <c r="E185" s="11" t="str">
        <v>20250131002</v>
      </c>
      <c r="F185" s="13" t="str">
        <v>20241001000</v>
      </c>
    </row>
    <row r="186" spans="1:6">
      <c r="A186" s="1" t="s">
        <v>1651</v>
      </c>
      <c r="B186" s="1" t="s">
        <v>1094</v>
      </c>
      <c r="C186" s="10" t="str">
        <v>20231219016</v>
      </c>
      <c r="D186" s="1"/>
      <c r="E186" s="11" t="str">
        <v>20250205000</v>
      </c>
      <c r="F186" s="13" t="str">
        <v>20241001001</v>
      </c>
    </row>
    <row r="187" spans="1:6">
      <c r="A187" s="1" t="s">
        <v>1646</v>
      </c>
      <c r="B187" s="1" t="s">
        <v>1107</v>
      </c>
      <c r="C187" s="10" t="str">
        <v>20231219018</v>
      </c>
      <c r="D187" s="1"/>
      <c r="E187" s="11" t="str">
        <v>20250205001</v>
      </c>
      <c r="F187" s="13" t="str">
        <v>20241004001</v>
      </c>
    </row>
    <row r="188" spans="1:6">
      <c r="A188" s="1" t="s">
        <v>1666</v>
      </c>
      <c r="B188" s="1" t="s">
        <v>1109</v>
      </c>
      <c r="C188" s="10" t="str">
        <v>20231219022</v>
      </c>
      <c r="D188" s="1"/>
      <c r="E188" s="11" t="str">
        <v>20250212004</v>
      </c>
      <c r="F188" s="13" t="str">
        <v>20241014000</v>
      </c>
    </row>
    <row r="189" spans="1:6">
      <c r="A189" s="1" t="s">
        <v>1678</v>
      </c>
      <c r="B189" s="1" t="s">
        <v>1111</v>
      </c>
      <c r="C189" s="10" t="str">
        <v>20231219025</v>
      </c>
      <c r="D189" s="1"/>
      <c r="E189" s="11" t="str">
        <v>20250212005</v>
      </c>
      <c r="F189" s="13" t="str">
        <v>20241015001</v>
      </c>
    </row>
    <row r="190" spans="1:6">
      <c r="A190" s="1" t="s">
        <v>1670</v>
      </c>
      <c r="B190" s="1" t="s">
        <v>1118</v>
      </c>
      <c r="C190" s="10" t="str">
        <v>20231219026</v>
      </c>
      <c r="D190" s="1"/>
      <c r="E190" s="11" t="str">
        <v>20250212007</v>
      </c>
      <c r="F190" s="13" t="str">
        <v>20241015004</v>
      </c>
    </row>
    <row r="191" spans="1:6">
      <c r="A191" s="1" t="s">
        <v>1699</v>
      </c>
      <c r="B191" s="1" t="s">
        <v>1129</v>
      </c>
      <c r="C191" s="10" t="str">
        <v>20231220000</v>
      </c>
      <c r="D191" s="1"/>
      <c r="E191" s="11" t="str">
        <v>20250213002</v>
      </c>
      <c r="F191" s="13" t="str">
        <v>20241022002</v>
      </c>
    </row>
    <row r="192" spans="1:6">
      <c r="A192" s="1" t="s">
        <v>1705</v>
      </c>
      <c r="B192" s="1" t="s">
        <v>1135</v>
      </c>
      <c r="C192" s="10" t="str">
        <v>20231220001</v>
      </c>
      <c r="D192" s="1"/>
      <c r="E192" s="11" t="str">
        <v>20250224001</v>
      </c>
      <c r="F192" s="13" t="str">
        <v>20241030002</v>
      </c>
    </row>
    <row r="193" spans="1:6">
      <c r="A193" s="1" t="s">
        <v>1713</v>
      </c>
      <c r="B193" s="1" t="s">
        <v>1131</v>
      </c>
      <c r="C193" s="10" t="str">
        <v>20231221000</v>
      </c>
      <c r="D193" s="1"/>
      <c r="E193" s="11" t="str">
        <v>20250225000</v>
      </c>
      <c r="F193" s="13" t="str">
        <v>20241101000</v>
      </c>
    </row>
    <row r="194" spans="1:6">
      <c r="A194" s="1" t="s">
        <v>1711</v>
      </c>
      <c r="B194" s="1" t="s">
        <v>1144</v>
      </c>
      <c r="C194" s="10" t="str">
        <v>20231221001</v>
      </c>
      <c r="D194" s="1"/>
      <c r="E194" s="11" t="str">
        <v>20250225006</v>
      </c>
      <c r="F194" s="13" t="str">
        <v>20241101001</v>
      </c>
    </row>
    <row r="195" spans="1:6">
      <c r="A195" s="1" t="s">
        <v>1732</v>
      </c>
      <c r="B195" s="1" t="s">
        <v>1147</v>
      </c>
      <c r="C195" s="10" t="str">
        <v>20231221003</v>
      </c>
      <c r="D195" s="1"/>
      <c r="E195" s="11" t="str">
        <v>20250225007</v>
      </c>
      <c r="F195" s="13" t="str">
        <v>20241104000</v>
      </c>
    </row>
    <row r="196" spans="1:6">
      <c r="A196" s="1" t="s">
        <v>1867</v>
      </c>
      <c r="B196" s="1" t="s">
        <v>1150</v>
      </c>
      <c r="C196" s="10" t="str">
        <v>20231222000</v>
      </c>
      <c r="D196" s="1"/>
      <c r="E196" s="11" t="str">
        <v>20250226008</v>
      </c>
      <c r="F196" s="13" t="str">
        <v>20241108001</v>
      </c>
    </row>
    <row r="197" spans="1:6">
      <c r="A197" s="1" t="s">
        <v>1737</v>
      </c>
      <c r="B197" s="1" t="s">
        <v>1153</v>
      </c>
      <c r="C197" s="10" t="str">
        <v>20240107001</v>
      </c>
      <c r="D197" s="1"/>
      <c r="E197" s="11" t="str">
        <v>20250303001</v>
      </c>
      <c r="F197" s="13" t="str">
        <v>20241115008</v>
      </c>
    </row>
    <row r="198" spans="1:6">
      <c r="A198" s="1" t="s">
        <v>1750</v>
      </c>
      <c r="B198" s="1" t="s">
        <v>1166</v>
      </c>
      <c r="C198" s="10" t="str">
        <v>20240111000</v>
      </c>
      <c r="D198" s="1"/>
      <c r="E198" s="11" t="str">
        <v>20250303003</v>
      </c>
      <c r="F198" s="13" t="str">
        <v>20241119006</v>
      </c>
    </row>
    <row r="199" spans="1:6">
      <c r="A199" s="1" t="s">
        <v>1768</v>
      </c>
      <c r="B199" s="1" t="s">
        <v>1167</v>
      </c>
      <c r="C199" s="10" t="str">
        <v>20240116000</v>
      </c>
      <c r="D199" s="1"/>
      <c r="E199" s="11" t="str">
        <v>20250306000</v>
      </c>
      <c r="F199" s="13" t="str">
        <v>20241119007</v>
      </c>
    </row>
    <row r="200" spans="1:6">
      <c r="A200" s="1" t="s">
        <v>1781</v>
      </c>
      <c r="B200" s="1" t="s">
        <v>1170</v>
      </c>
      <c r="C200" s="10" t="str">
        <v>20240116002</v>
      </c>
      <c r="D200" s="1"/>
      <c r="E200" s="11" t="str">
        <v>20250306001</v>
      </c>
      <c r="F200" s="13" t="str">
        <v>20241119008</v>
      </c>
    </row>
    <row r="201" spans="1:6">
      <c r="A201" s="1" t="s">
        <v>1796</v>
      </c>
      <c r="B201" s="1" t="s">
        <v>1173</v>
      </c>
      <c r="C201" s="10" t="str">
        <v>20240116003</v>
      </c>
      <c r="D201" s="1"/>
      <c r="E201" s="11" t="str">
        <v>20250307000</v>
      </c>
      <c r="F201" s="13" t="str">
        <v>20241204001</v>
      </c>
    </row>
    <row r="202" spans="1:6">
      <c r="A202" s="1" t="s">
        <v>1789</v>
      </c>
      <c r="B202" s="1" t="s">
        <v>1181</v>
      </c>
      <c r="C202" s="10" t="str">
        <v>20240122005</v>
      </c>
      <c r="D202" s="1"/>
      <c r="E202" s="11" t="str">
        <v>20250312000</v>
      </c>
      <c r="F202" s="13" t="str">
        <v>20241205001</v>
      </c>
    </row>
    <row r="203" spans="1:6">
      <c r="A203" s="1" t="s">
        <v>2044</v>
      </c>
      <c r="B203" s="1" t="s">
        <v>1204</v>
      </c>
      <c r="C203" s="10" t="str">
        <v>20240124000</v>
      </c>
      <c r="D203" s="1"/>
      <c r="E203" s="11" t="str">
        <v>20250312001</v>
      </c>
      <c r="F203" s="13" t="str">
        <v>20241209001</v>
      </c>
    </row>
    <row r="204" spans="1:6">
      <c r="A204" s="1" t="s">
        <v>1805</v>
      </c>
      <c r="B204" s="1" t="s">
        <v>1182</v>
      </c>
      <c r="C204" s="10" t="str">
        <v>20240129003</v>
      </c>
      <c r="D204" s="1"/>
      <c r="E204" s="11" t="str">
        <v>20250316002</v>
      </c>
      <c r="F204" s="13" t="str">
        <v>20241211000</v>
      </c>
    </row>
    <row r="205" spans="1:6">
      <c r="A205" s="1" t="s">
        <v>1813</v>
      </c>
      <c r="B205" s="1" t="s">
        <v>1207</v>
      </c>
      <c r="C205" s="10" t="str">
        <v>20240129005</v>
      </c>
      <c r="D205" s="1"/>
      <c r="E205" s="11" t="str">
        <v>20250319000</v>
      </c>
      <c r="F205" s="13" t="str">
        <v>20241217002</v>
      </c>
    </row>
    <row r="206" spans="1:6">
      <c r="A206" s="1" t="s">
        <v>1819</v>
      </c>
      <c r="B206" s="1" t="s">
        <v>1210</v>
      </c>
      <c r="C206" s="10" t="str">
        <v>20240129007</v>
      </c>
      <c r="D206" s="1"/>
      <c r="E206" s="11" t="str">
        <v>20250319001</v>
      </c>
      <c r="F206" s="13" t="str">
        <v>20241217009</v>
      </c>
    </row>
    <row r="207" spans="1:6">
      <c r="A207" s="1" t="s">
        <v>1824</v>
      </c>
      <c r="B207" s="1" t="s">
        <v>1212</v>
      </c>
      <c r="C207" s="10" t="str">
        <v>20240129008</v>
      </c>
      <c r="D207" s="1"/>
      <c r="E207" s="11" t="str">
        <v>20250319003</v>
      </c>
      <c r="F207" s="13" t="str">
        <v>20241217019</v>
      </c>
    </row>
    <row r="208" spans="1:6">
      <c r="A208" s="1" t="s">
        <v>1883</v>
      </c>
      <c r="B208" s="1" t="s">
        <v>1221</v>
      </c>
      <c r="C208" s="10" t="str">
        <v>20240131003</v>
      </c>
      <c r="D208" s="1"/>
      <c r="E208" s="11" t="str">
        <v>20250324002</v>
      </c>
      <c r="F208" s="13" t="str">
        <v>20241217021</v>
      </c>
    </row>
    <row r="209" spans="1:6">
      <c r="A209" s="1" t="s">
        <v>1833</v>
      </c>
      <c r="B209" s="1" t="s">
        <v>1227</v>
      </c>
      <c r="C209" s="10" t="str">
        <v>20240202004</v>
      </c>
      <c r="D209" s="1"/>
      <c r="E209" s="11" t="str">
        <v>20250325001</v>
      </c>
      <c r="F209" s="13" t="str">
        <v>20241218004</v>
      </c>
    </row>
    <row r="210" spans="1:6">
      <c r="A210" s="1" t="s">
        <v>1838</v>
      </c>
      <c r="B210" s="1" t="s">
        <v>1232</v>
      </c>
      <c r="C210" s="10" t="str">
        <v>20240202005</v>
      </c>
      <c r="D210" s="1"/>
      <c r="E210" s="11" t="str">
        <v>20250326002</v>
      </c>
      <c r="F210" s="13" t="str">
        <v>20241219003</v>
      </c>
    </row>
    <row r="211" spans="1:6">
      <c r="A211" s="1" t="s">
        <v>1851</v>
      </c>
      <c r="B211" s="1" t="s">
        <v>1237</v>
      </c>
      <c r="C211" s="10" t="str">
        <v>20240202006</v>
      </c>
      <c r="D211" s="1"/>
      <c r="E211" s="11" t="str">
        <v>20250326009</v>
      </c>
      <c r="F211" s="13" t="str">
        <v>20241219004</v>
      </c>
    </row>
    <row r="212" spans="1:6">
      <c r="A212" s="1" t="s">
        <v>1846</v>
      </c>
      <c r="B212" s="1" t="s">
        <v>1249</v>
      </c>
      <c r="C212" s="10" t="str">
        <v>20240202007</v>
      </c>
      <c r="D212" s="1"/>
      <c r="E212" s="11" t="str">
        <v>20250327004</v>
      </c>
      <c r="F212" s="13" t="str">
        <v>20241223001</v>
      </c>
    </row>
    <row r="213" spans="1:6">
      <c r="A213" s="1" t="s">
        <v>1863</v>
      </c>
      <c r="B213" s="1" t="s">
        <v>1261</v>
      </c>
      <c r="C213" s="10" t="str">
        <v>20240202012</v>
      </c>
      <c r="D213" s="1"/>
      <c r="E213" s="11" t="str">
        <v>20250327005</v>
      </c>
      <c r="F213" s="13" t="str">
        <v>20241226000</v>
      </c>
    </row>
    <row r="214" spans="1:6">
      <c r="A214" s="1" t="s">
        <v>1878</v>
      </c>
      <c r="B214" s="1" t="s">
        <v>1254</v>
      </c>
      <c r="C214" s="10" t="str">
        <v>20240203000</v>
      </c>
      <c r="D214" s="1"/>
      <c r="E214" s="11" t="str">
        <v>20250331000</v>
      </c>
      <c r="F214" s="13" t="str">
        <v>20241230000</v>
      </c>
    </row>
    <row r="215" spans="1:6">
      <c r="A215" s="1" t="s">
        <v>1872</v>
      </c>
      <c r="B215" s="1" t="s">
        <v>1281</v>
      </c>
      <c r="C215" s="10" t="str">
        <v>20240205000</v>
      </c>
      <c r="D215" s="1"/>
      <c r="E215" s="11" t="str">
        <v>20250402002</v>
      </c>
      <c r="F215" s="13" t="str">
        <v>20241230001</v>
      </c>
    </row>
    <row r="216" spans="1:6">
      <c r="A216" s="1" t="s">
        <v>1889</v>
      </c>
      <c r="B216" s="1" t="s">
        <v>1276</v>
      </c>
      <c r="C216" s="10" t="str">
        <v>20240212000</v>
      </c>
      <c r="D216" s="1"/>
      <c r="E216" s="11" t="str">
        <v>20250404000</v>
      </c>
      <c r="F216" s="13" t="str">
        <v>20250106000</v>
      </c>
    </row>
    <row r="217" spans="1:6">
      <c r="A217" s="1" t="s">
        <v>1897</v>
      </c>
      <c r="B217" s="1" t="s">
        <v>1283</v>
      </c>
      <c r="C217" s="10" t="str">
        <v>20240214000</v>
      </c>
      <c r="D217" s="1"/>
      <c r="E217" s="11" t="str">
        <v>20250404001</v>
      </c>
      <c r="F217" s="13" t="str">
        <v>20250107000</v>
      </c>
    </row>
    <row r="218" spans="1:6">
      <c r="A218" s="1" t="s">
        <v>1908</v>
      </c>
      <c r="B218" s="1" t="s">
        <v>1299</v>
      </c>
      <c r="C218" s="10" t="str">
        <v>20240215000</v>
      </c>
      <c r="D218" s="1"/>
      <c r="E218" s="11" t="str">
        <v>20250404005</v>
      </c>
      <c r="F218" s="13" t="str">
        <v>20250109000</v>
      </c>
    </row>
    <row r="219" spans="1:6">
      <c r="A219" s="1" t="s">
        <v>1919</v>
      </c>
      <c r="B219" s="1" t="s">
        <v>1301</v>
      </c>
      <c r="C219" s="10" t="str">
        <v>20240215002</v>
      </c>
      <c r="D219" s="1"/>
      <c r="E219" s="11" t="str">
        <v>20250409000</v>
      </c>
      <c r="F219" s="13" t="str">
        <v>20250115001</v>
      </c>
    </row>
    <row r="220" spans="1:6">
      <c r="A220" s="1" t="s">
        <v>1941</v>
      </c>
      <c r="B220" s="1" t="s">
        <v>1310</v>
      </c>
      <c r="C220" s="10" t="str">
        <v>20240216001</v>
      </c>
      <c r="D220" s="1"/>
      <c r="E220" s="11" t="str">
        <v>20250413000</v>
      </c>
      <c r="F220" s="13" t="str">
        <v>20250127004</v>
      </c>
    </row>
    <row r="221" spans="1:6">
      <c r="A221" s="1" t="s">
        <v>1931</v>
      </c>
      <c r="B221" s="1" t="s">
        <v>1313</v>
      </c>
      <c r="C221" s="10" t="str">
        <v>20240220000</v>
      </c>
      <c r="D221" s="1"/>
      <c r="E221" s="11" t="str">
        <v>20250413001</v>
      </c>
      <c r="F221" s="13" t="str">
        <v>20250128002</v>
      </c>
    </row>
    <row r="222" spans="1:6">
      <c r="A222" s="1" t="s">
        <v>1951</v>
      </c>
      <c r="B222" s="1" t="s">
        <v>1318</v>
      </c>
      <c r="C222" s="10" t="str">
        <v>20240221001</v>
      </c>
      <c r="D222" s="1"/>
      <c r="E222" s="11" t="str">
        <v>20250417000</v>
      </c>
      <c r="F222" s="13" t="str">
        <v>20250129001</v>
      </c>
    </row>
    <row r="223" spans="1:6">
      <c r="A223" s="1" t="s">
        <v>1959</v>
      </c>
      <c r="B223" s="1" t="s">
        <v>1332</v>
      </c>
      <c r="C223" s="10" t="str">
        <v>20240221007</v>
      </c>
      <c r="D223" s="1"/>
      <c r="E223" s="11" t="str">
        <v>20250417001</v>
      </c>
      <c r="F223" s="13" t="str">
        <v>20250129004</v>
      </c>
    </row>
    <row r="224" spans="1:6">
      <c r="A224" s="1" t="s">
        <v>1967</v>
      </c>
      <c r="B224" s="1" t="s">
        <v>1337</v>
      </c>
      <c r="C224" s="10" t="str">
        <v>20240221008</v>
      </c>
      <c r="D224" s="1"/>
      <c r="E224" s="11" t="str">
        <v>20250417002</v>
      </c>
      <c r="F224" s="13" t="str">
        <v>20250203006</v>
      </c>
    </row>
    <row r="225" spans="1:6">
      <c r="A225" s="1" t="s">
        <v>1979</v>
      </c>
      <c r="B225" s="1" t="s">
        <v>1339</v>
      </c>
      <c r="C225" s="10" t="str">
        <v>20240221009</v>
      </c>
      <c r="D225" s="1"/>
      <c r="E225" s="11" t="str">
        <v>20250417003</v>
      </c>
      <c r="F225" s="13" t="str">
        <v>20250204000</v>
      </c>
    </row>
    <row r="226" spans="1:6">
      <c r="A226" s="1" t="s">
        <v>2024</v>
      </c>
      <c r="B226" s="1" t="s">
        <v>1343</v>
      </c>
      <c r="C226" s="10" t="str">
        <v>20240226007</v>
      </c>
      <c r="D226" s="1"/>
      <c r="E226" s="11" t="str">
        <v>20250430002</v>
      </c>
      <c r="F226" s="13" t="str">
        <v>20250204001</v>
      </c>
    </row>
    <row r="227" spans="1:6">
      <c r="A227" s="1" t="s">
        <v>1987</v>
      </c>
      <c r="B227" s="1" t="s">
        <v>1346</v>
      </c>
      <c r="C227" s="10" t="str">
        <v>20240227001</v>
      </c>
      <c r="D227" s="1"/>
      <c r="E227" s="11" t="str">
        <v>20250508000</v>
      </c>
      <c r="F227" s="13" t="str">
        <v>20250213001</v>
      </c>
    </row>
    <row r="228" spans="1:6">
      <c r="A228" s="1" t="s">
        <v>1993</v>
      </c>
      <c r="B228" s="1" t="s">
        <v>1356</v>
      </c>
      <c r="C228" s="10" t="str">
        <v>20240227002</v>
      </c>
      <c r="D228" s="1"/>
      <c r="E228" s="11" t="str">
        <v>20250514001</v>
      </c>
      <c r="F228" s="13" t="str">
        <v>20250213003</v>
      </c>
    </row>
    <row r="229" spans="1:6">
      <c r="A229" s="1" t="s">
        <v>2019</v>
      </c>
      <c r="B229" s="1" t="s">
        <v>1358</v>
      </c>
      <c r="C229" s="10" t="str">
        <v>20240227005</v>
      </c>
      <c r="D229" s="1"/>
      <c r="E229" s="11" t="str">
        <v>20250514002</v>
      </c>
      <c r="F229" s="13" t="str">
        <v>20250226000</v>
      </c>
    </row>
    <row r="230" spans="1:6">
      <c r="A230" s="1" t="s">
        <v>2003</v>
      </c>
      <c r="B230" s="1" t="s">
        <v>1371</v>
      </c>
      <c r="C230" s="10" t="str">
        <v>20240227008</v>
      </c>
      <c r="D230" s="1"/>
      <c r="E230" s="11" t="str">
        <v>20250514003</v>
      </c>
      <c r="F230" s="13" t="str">
        <v>20250226003</v>
      </c>
    </row>
    <row r="231" spans="1:6">
      <c r="A231" s="1" t="s">
        <v>2145</v>
      </c>
      <c r="B231" s="1" t="s">
        <v>1385</v>
      </c>
      <c r="C231" s="10" t="str">
        <v>20240301002</v>
      </c>
      <c r="D231" s="1"/>
      <c r="E231" s="11" t="str">
        <v>20250519001</v>
      </c>
      <c r="F231" s="13" t="str">
        <v>20250304001</v>
      </c>
    </row>
    <row r="232" spans="1:6">
      <c r="A232" s="1" t="s">
        <v>2036</v>
      </c>
      <c r="B232" s="1" t="s">
        <v>1388</v>
      </c>
      <c r="C232" s="10" t="str">
        <v>20240304000</v>
      </c>
      <c r="D232" s="1"/>
      <c r="E232" s="11" t="str">
        <v>20250520000</v>
      </c>
      <c r="F232" s="13" t="str">
        <v>20250310001</v>
      </c>
    </row>
    <row r="233" spans="1:6">
      <c r="A233" s="1" t="s">
        <v>2053</v>
      </c>
      <c r="B233" s="1" t="s">
        <v>1404</v>
      </c>
      <c r="C233" s="10" t="str">
        <v>20240306000</v>
      </c>
      <c r="D233" s="1"/>
      <c r="E233" s="11" t="str">
        <v>20250528000</v>
      </c>
      <c r="F233" s="13" t="str">
        <v>20250316003</v>
      </c>
    </row>
    <row r="234" spans="1:6">
      <c r="A234" s="1" t="s">
        <v>2069</v>
      </c>
      <c r="B234" s="1" t="s">
        <v>1412</v>
      </c>
      <c r="C234" s="10" t="str">
        <v>20240306001</v>
      </c>
      <c r="D234" s="1"/>
      <c r="E234" s="11" t="str">
        <v>20250529001</v>
      </c>
      <c r="F234" s="13" t="str">
        <v>20250316004</v>
      </c>
    </row>
    <row r="235" spans="1:6">
      <c r="A235" s="1" t="s">
        <v>2097</v>
      </c>
      <c r="B235" s="1" t="s">
        <v>1423</v>
      </c>
      <c r="C235" s="10" t="str">
        <v>20240306003</v>
      </c>
      <c r="D235" s="1"/>
      <c r="E235" s="11" t="str">
        <v>20250602001</v>
      </c>
      <c r="F235" s="13" t="str">
        <v>20250316005</v>
      </c>
    </row>
    <row r="236" spans="1:6">
      <c r="A236" s="1" t="s">
        <v>2092</v>
      </c>
      <c r="B236" s="1" t="s">
        <v>1432</v>
      </c>
      <c r="C236" s="10" t="str">
        <v>20240306004</v>
      </c>
      <c r="D236" s="1"/>
      <c r="E236" s="11" t="str">
        <v>20250604003</v>
      </c>
      <c r="F236" s="13" t="str">
        <v>20250318000</v>
      </c>
    </row>
    <row r="237" spans="1:6">
      <c r="A237" s="1" t="s">
        <v>2096</v>
      </c>
      <c r="B237" s="1" t="s">
        <v>1436</v>
      </c>
      <c r="C237" s="10" t="str">
        <v>20240306005</v>
      </c>
      <c r="D237" s="1"/>
      <c r="E237" s="11" t="str">
        <v>20250608002</v>
      </c>
      <c r="F237" s="13" t="str">
        <v>20250324001</v>
      </c>
    </row>
    <row r="238" spans="1:6">
      <c r="A238" s="1" t="s">
        <v>2078</v>
      </c>
      <c r="B238" s="1" t="s">
        <v>1440</v>
      </c>
      <c r="C238" s="10" t="str">
        <v>20240308000</v>
      </c>
      <c r="D238" s="1"/>
      <c r="E238" s="11" t="str">
        <v>20250612000</v>
      </c>
      <c r="F238" s="13" t="str">
        <v>20250326003</v>
      </c>
    </row>
    <row r="239" spans="1:6">
      <c r="A239" s="1" t="s">
        <v>2086</v>
      </c>
      <c r="B239" s="1" t="s">
        <v>1442</v>
      </c>
      <c r="C239" s="10" t="str">
        <v>20240312000</v>
      </c>
      <c r="D239" s="1"/>
      <c r="E239" s="11" t="str">
        <v>20250618004</v>
      </c>
      <c r="F239" s="13" t="str">
        <v>20250327000</v>
      </c>
    </row>
    <row r="240" spans="1:6">
      <c r="A240" s="1" t="s">
        <v>2131</v>
      </c>
      <c r="B240" s="1" t="s">
        <v>1444</v>
      </c>
      <c r="C240" s="10" t="str">
        <v>20240312001</v>
      </c>
      <c r="D240" s="1"/>
      <c r="E240" s="11" t="str">
        <v>20250625003</v>
      </c>
      <c r="F240" s="13" t="str">
        <v>20250430001</v>
      </c>
    </row>
    <row r="241" spans="1:6">
      <c r="A241" s="1" t="s">
        <v>2109</v>
      </c>
      <c r="B241" s="1" t="s">
        <v>1447</v>
      </c>
      <c r="C241" s="10" t="str">
        <v>20240312002</v>
      </c>
      <c r="D241" s="1"/>
      <c r="E241" s="11" t="str">
        <v>20250630000</v>
      </c>
      <c r="F241" s="13" t="str">
        <v>20250508004</v>
      </c>
    </row>
    <row r="242" spans="1:6">
      <c r="A242" s="1" t="s">
        <v>2115</v>
      </c>
      <c r="B242" s="1" t="s">
        <v>1453</v>
      </c>
      <c r="C242" s="10" t="str">
        <v>20240313000</v>
      </c>
      <c r="D242" s="1"/>
      <c r="E242" s="11" t="str">
        <v>20250701000</v>
      </c>
      <c r="F242" s="13" t="str">
        <v>20250527000</v>
      </c>
    </row>
    <row r="243" spans="1:6">
      <c r="A243" s="1" t="s">
        <v>2138</v>
      </c>
      <c r="B243" s="1" t="s">
        <v>1456</v>
      </c>
      <c r="C243" s="10" t="str">
        <v>20240313001</v>
      </c>
      <c r="D243" s="1"/>
      <c r="E243" s="11" t="str">
        <v>20250703000</v>
      </c>
      <c r="F243" s="13" t="str">
        <v>20250608001</v>
      </c>
    </row>
    <row r="244" spans="1:6">
      <c r="A244" s="1" t="s">
        <v>2107</v>
      </c>
      <c r="B244" s="1" t="s">
        <v>1469</v>
      </c>
      <c r="C244" s="10" t="str">
        <v>20240314000</v>
      </c>
      <c r="D244" s="1"/>
      <c r="E244" s="11" t="str">
        <v>20250710000</v>
      </c>
      <c r="F244" s="13" t="str">
        <v>20250616001</v>
      </c>
    </row>
    <row r="245" spans="1:6">
      <c r="A245" s="1" t="s">
        <v>2157</v>
      </c>
      <c r="B245" s="1" t="s">
        <v>1474</v>
      </c>
      <c r="C245" s="10" t="str">
        <v>20240319000</v>
      </c>
      <c r="D245" s="1"/>
      <c r="E245" s="11" t="str">
        <v>20250722000</v>
      </c>
      <c r="F245" s="13" t="str">
        <v>20250618000</v>
      </c>
    </row>
    <row r="246" spans="1:6">
      <c r="A246" s="1" t="s">
        <v>2221</v>
      </c>
      <c r="B246" s="1" t="s">
        <v>1479</v>
      </c>
      <c r="C246" s="10" t="str">
        <v>20240319001</v>
      </c>
      <c r="D246" s="1"/>
      <c r="E246" s="11" t="str">
        <v>20250730008</v>
      </c>
      <c r="F246" s="13" t="str">
        <v>20250618002</v>
      </c>
    </row>
    <row r="247" spans="1:6">
      <c r="A247" s="1" t="s">
        <v>2165</v>
      </c>
      <c r="B247" s="1" t="s">
        <v>1481</v>
      </c>
      <c r="C247" s="10" t="str">
        <v>20240320000</v>
      </c>
      <c r="D247" s="1"/>
      <c r="E247" s="11" t="str">
        <v>20250731001</v>
      </c>
      <c r="F247" s="13" t="str">
        <v>20250618003</v>
      </c>
    </row>
    <row r="248" spans="1:6">
      <c r="A248" s="1" t="s">
        <v>2203</v>
      </c>
      <c r="B248" s="1" t="s">
        <v>1502</v>
      </c>
      <c r="C248" s="10" t="str">
        <v>20240320001</v>
      </c>
      <c r="D248" s="1"/>
      <c r="E248" s="11" t="str">
        <v>20250801000</v>
      </c>
      <c r="F248" s="13" t="str">
        <v>20250618005</v>
      </c>
    </row>
    <row r="249" spans="1:6">
      <c r="A249" s="1" t="s">
        <v>2198</v>
      </c>
      <c r="B249" s="1" t="s">
        <v>1495</v>
      </c>
      <c r="C249" s="10" t="str">
        <v>20240325001</v>
      </c>
      <c r="D249" s="1"/>
      <c r="E249" s="11" t="str">
        <v>20250807000</v>
      </c>
      <c r="F249" s="13" t="str">
        <v>20250618006</v>
      </c>
    </row>
    <row r="250" spans="1:6">
      <c r="A250" s="1" t="s">
        <v>2189</v>
      </c>
      <c r="B250" s="1" t="s">
        <v>1504</v>
      </c>
      <c r="C250" s="10" t="str">
        <v>20240325002</v>
      </c>
      <c r="D250" s="1"/>
      <c r="E250" s="11" t="str">
        <v>20250818000</v>
      </c>
      <c r="F250" s="13" t="str">
        <v>20250618007</v>
      </c>
    </row>
    <row r="251" spans="1:6">
      <c r="A251" s="1" t="s">
        <v>2173</v>
      </c>
      <c r="B251" s="1" t="s">
        <v>1505</v>
      </c>
      <c r="C251" s="10" t="str">
        <v>20240326001</v>
      </c>
      <c r="D251" s="1"/>
      <c r="E251" s="11" t="str">
        <v>20250819001</v>
      </c>
      <c r="F251" s="13" t="str">
        <v>20250618008</v>
      </c>
    </row>
    <row r="252" spans="1:6">
      <c r="A252" s="1" t="s">
        <v>2182</v>
      </c>
      <c r="B252" s="1" t="s">
        <v>1521</v>
      </c>
      <c r="C252" s="10" t="str">
        <v>20240327000</v>
      </c>
      <c r="D252" s="1"/>
      <c r="E252" s="11" t="str">
        <v>20250821002</v>
      </c>
      <c r="F252" s="13" t="str">
        <v>20250618009</v>
      </c>
    </row>
    <row r="253" spans="1:6">
      <c r="A253" s="1" t="s">
        <v>2242</v>
      </c>
      <c r="B253" s="1" t="s">
        <v>1531</v>
      </c>
      <c r="C253" s="10" t="str">
        <v>20240327001</v>
      </c>
      <c r="D253" s="1"/>
      <c r="E253" s="11" t="str">
        <v>20250822000</v>
      </c>
      <c r="F253" s="13" t="str">
        <v>20250618011</v>
      </c>
    </row>
    <row r="254" spans="1:6">
      <c r="A254" s="1" t="s">
        <v>2211</v>
      </c>
      <c r="B254" s="1" t="s">
        <v>1537</v>
      </c>
      <c r="C254" s="10" t="str">
        <v>20240327002</v>
      </c>
      <c r="D254" s="1"/>
      <c r="E254" s="11" t="str">
        <v>20250918000</v>
      </c>
      <c r="F254" s="13" t="str">
        <v>20250625004</v>
      </c>
    </row>
    <row r="255" spans="1:6">
      <c r="A255" s="1" t="s">
        <v>2229</v>
      </c>
      <c r="B255" s="1" t="s">
        <v>1558</v>
      </c>
      <c r="C255" s="10" t="str">
        <v>20240327003</v>
      </c>
      <c r="D255" s="1"/>
      <c r="E255" s="11" t="str">
        <v>20250919000</v>
      </c>
      <c r="F255" s="13" t="str">
        <v>20250630001</v>
      </c>
    </row>
    <row r="256" spans="1:6">
      <c r="A256" s="1" t="s">
        <v>2226</v>
      </c>
      <c r="B256" s="1" t="s">
        <v>1564</v>
      </c>
      <c r="C256" s="10" t="str">
        <v>20240327004</v>
      </c>
      <c r="D256" s="1"/>
      <c r="E256" s="11" t="str">
        <v>20250923000</v>
      </c>
      <c r="F256" s="13" t="str">
        <v>20250702000</v>
      </c>
    </row>
    <row r="257" spans="1:6">
      <c r="A257" s="1" t="s">
        <v>2220</v>
      </c>
      <c r="B257" s="1" t="s">
        <v>1575</v>
      </c>
      <c r="C257" s="10" t="str">
        <v>20240327005</v>
      </c>
      <c r="D257" s="1"/>
      <c r="E257" s="11" t="str">
        <v>20251014000</v>
      </c>
      <c r="F257" s="13" t="str">
        <v>20250709002</v>
      </c>
    </row>
    <row r="258" spans="1:6">
      <c r="A258" s="1" t="s">
        <v>2236</v>
      </c>
      <c r="B258" s="1" t="s">
        <v>1577</v>
      </c>
      <c r="C258" s="10" t="str">
        <v>20240328001</v>
      </c>
      <c r="D258" s="1"/>
      <c r="E258" s="11" t="str">
        <v>20251015000</v>
      </c>
      <c r="F258" s="13" t="str">
        <v>20250710001</v>
      </c>
    </row>
    <row r="259" spans="1:6">
      <c r="A259" s="1" t="s">
        <v>2209</v>
      </c>
      <c r="B259" s="1" t="s">
        <v>1579</v>
      </c>
      <c r="C259" s="10" t="str">
        <v>20240329000</v>
      </c>
      <c r="D259" s="1"/>
      <c r="E259" s="11" t="str">
        <v>20251015003</v>
      </c>
      <c r="F259" s="13" t="str">
        <v>20250711000</v>
      </c>
    </row>
    <row r="260" spans="1:6">
      <c r="A260" s="1" t="s">
        <v>2264</v>
      </c>
      <c r="B260" s="1" t="s">
        <v>1587</v>
      </c>
      <c r="C260" s="10" t="str">
        <v>20240401002</v>
      </c>
      <c r="D260" s="1"/>
      <c r="E260" s="11" t="str">
        <v>20251015004</v>
      </c>
      <c r="F260" s="13" t="str">
        <v>20250728000</v>
      </c>
    </row>
    <row r="261" spans="1:6">
      <c r="A261" s="1" t="s">
        <v>2251</v>
      </c>
      <c r="B261" s="1" t="s">
        <v>1570</v>
      </c>
      <c r="C261" s="10" t="str">
        <v>20240401004</v>
      </c>
      <c r="D261" s="1"/>
      <c r="E261" s="11" t="str">
        <v>20251016000</v>
      </c>
      <c r="F261" s="13" t="str">
        <v>20250729001</v>
      </c>
    </row>
    <row r="262" spans="1:6">
      <c r="A262" s="1" t="s">
        <v>2256</v>
      </c>
      <c r="B262" s="1" t="s">
        <v>1590</v>
      </c>
      <c r="C262" s="10" t="str">
        <v>20240402000</v>
      </c>
      <c r="D262" s="1"/>
      <c r="E262" s="11" t="str">
        <v>20251017000</v>
      </c>
      <c r="F262" s="13" t="str">
        <v>20250730000</v>
      </c>
    </row>
    <row r="263" spans="1:6">
      <c r="A263" s="1" t="s">
        <v>2408</v>
      </c>
      <c r="B263" s="1" t="s">
        <v>1602</v>
      </c>
      <c r="C263" s="10" t="str">
        <v>20240405000</v>
      </c>
      <c r="D263" s="1"/>
      <c r="E263" s="11" t="str">
        <v>20251021000</v>
      </c>
      <c r="F263" s="13" t="str">
        <v>20250730004</v>
      </c>
    </row>
    <row r="264" spans="1:6">
      <c r="A264" s="1" t="s">
        <v>2272</v>
      </c>
      <c r="B264" s="1" t="s">
        <v>1604</v>
      </c>
      <c r="C264" s="10" t="str">
        <v>20240408000</v>
      </c>
      <c r="D264" s="1"/>
      <c r="E264" s="11" t="str">
        <v>20251027001</v>
      </c>
      <c r="F264" s="13" t="str">
        <v>20250730005</v>
      </c>
    </row>
    <row r="265" spans="1:6">
      <c r="A265" s="1" t="s">
        <v>2351</v>
      </c>
      <c r="B265" s="1" t="s">
        <v>1606</v>
      </c>
      <c r="C265" s="10" t="str">
        <v>20240408001</v>
      </c>
      <c r="D265" s="1"/>
      <c r="E265" s="11" t="str">
        <v>20251102000</v>
      </c>
      <c r="F265" s="13" t="str">
        <v>20250730007</v>
      </c>
    </row>
    <row r="266" spans="1:6">
      <c r="A266" s="1" t="s">
        <v>2304</v>
      </c>
      <c r="B266" s="1" t="s">
        <v>1609</v>
      </c>
      <c r="C266" s="10" t="str">
        <v>20240409000</v>
      </c>
      <c r="D266" s="1"/>
      <c r="E266" s="11" t="str">
        <v>20251103001</v>
      </c>
      <c r="F266" s="13" t="str">
        <v>20250805001</v>
      </c>
    </row>
    <row r="267" spans="1:6">
      <c r="A267" s="1" t="s">
        <v>2286</v>
      </c>
      <c r="B267" s="1" t="s">
        <v>1615</v>
      </c>
      <c r="C267" s="10" t="str">
        <v>20240410000</v>
      </c>
      <c r="D267" s="1"/>
      <c r="E267" s="11" t="str">
        <v>20251105000</v>
      </c>
      <c r="F267" s="13" t="str">
        <v>20250806001</v>
      </c>
    </row>
    <row r="268" spans="1:6">
      <c r="A268" s="1" t="s">
        <v>2299</v>
      </c>
      <c r="B268" s="1" t="s">
        <v>1621</v>
      </c>
      <c r="C268" s="10" t="str">
        <v>20240411000</v>
      </c>
      <c r="D268" s="1"/>
      <c r="E268" s="11" t="str">
        <v>20251111000</v>
      </c>
      <c r="F268" s="13" t="str">
        <v>20250827001</v>
      </c>
    </row>
    <row r="269" spans="1:6">
      <c r="A269" s="1" t="s">
        <v>2342</v>
      </c>
      <c r="B269" s="1" t="s">
        <v>1634</v>
      </c>
      <c r="C269" s="10" t="str">
        <v>20240411001</v>
      </c>
      <c r="D269" s="1"/>
      <c r="E269" s="11" t="str">
        <v>20251118001</v>
      </c>
      <c r="F269" s="13" t="str">
        <v>20250829000</v>
      </c>
    </row>
    <row r="270" spans="1:6">
      <c r="A270" s="1" t="s">
        <v>2324</v>
      </c>
      <c r="B270" s="1" t="s">
        <v>1646</v>
      </c>
      <c r="C270" s="10" t="str">
        <v>20240411003</v>
      </c>
      <c r="D270" s="1"/>
      <c r="E270" s="11" t="str">
        <v>20251201000</v>
      </c>
      <c r="F270" s="13" t="str">
        <v>20250910001</v>
      </c>
    </row>
    <row r="271" spans="1:6">
      <c r="A271" s="1" t="s">
        <v>2313</v>
      </c>
      <c r="B271" s="1" t="s">
        <v>1651</v>
      </c>
      <c r="C271" s="10" t="str">
        <v>20240411004</v>
      </c>
      <c r="D271" s="1"/>
      <c r="E271" s="11" t="str">
        <v>20251215001</v>
      </c>
      <c r="F271" s="13" t="str">
        <v>20250910002</v>
      </c>
    </row>
    <row r="272" spans="1:6">
      <c r="A272" s="1" t="s">
        <v>2329</v>
      </c>
      <c r="B272" s="1" t="s">
        <v>1652</v>
      </c>
      <c r="C272" s="10" t="str">
        <v>20240411005</v>
      </c>
      <c r="D272" s="1"/>
      <c r="E272" s="11" t="str">
        <v>20251215002</v>
      </c>
      <c r="F272" s="13" t="str">
        <v>20250924000</v>
      </c>
    </row>
    <row r="273" spans="1:6">
      <c r="A273" s="1" t="s">
        <v>2334</v>
      </c>
      <c r="B273" s="1" t="s">
        <v>1653</v>
      </c>
      <c r="C273" s="10" t="str">
        <v>20240412000</v>
      </c>
      <c r="D273" s="1"/>
      <c r="E273" s="11" t="str">
        <v>20251217003</v>
      </c>
      <c r="F273" s="13" t="str">
        <v>20250925000</v>
      </c>
    </row>
    <row r="274" spans="1:6">
      <c r="A274" s="1" t="s">
        <v>2357</v>
      </c>
      <c r="B274" s="1" t="s">
        <v>1666</v>
      </c>
      <c r="C274" s="10" t="str">
        <v>20240418000</v>
      </c>
      <c r="D274" s="1"/>
      <c r="E274" s="11" t="str">
        <v>20251218002</v>
      </c>
      <c r="F274" s="13" t="str">
        <v>20251003000</v>
      </c>
    </row>
    <row r="275" spans="1:6">
      <c r="A275" s="1" t="s">
        <v>2403</v>
      </c>
      <c r="B275" s="1" t="s">
        <v>1684</v>
      </c>
      <c r="C275" s="10" t="str">
        <v>20240418001</v>
      </c>
      <c r="D275" s="1"/>
      <c r="E275" s="11" t="str">
        <v>20260107001</v>
      </c>
      <c r="F275" s="13" t="str">
        <v>20251008002</v>
      </c>
    </row>
    <row r="276" spans="1:6">
      <c r="A276" s="1" t="s">
        <v>2368</v>
      </c>
      <c r="B276" s="1" t="s">
        <v>1688</v>
      </c>
      <c r="C276" s="10" t="str">
        <v>20240418002</v>
      </c>
      <c r="D276" s="1"/>
      <c r="E276" s="11" t="str">
        <v>20260126000</v>
      </c>
      <c r="F276" s="13" t="str">
        <v>20251009001</v>
      </c>
    </row>
    <row r="277" spans="1:6">
      <c r="A277" s="1" t="s">
        <v>2379</v>
      </c>
      <c r="B277" s="1" t="s">
        <v>1689</v>
      </c>
      <c r="C277" s="10" t="str">
        <v>20240422000</v>
      </c>
      <c r="D277" s="1"/>
      <c r="E277" s="11" t="str">
        <v>20260129000</v>
      </c>
      <c r="F277" s="13" t="str">
        <v>20251014001</v>
      </c>
    </row>
    <row r="278" spans="1:6">
      <c r="A278" s="1" t="s">
        <v>2390</v>
      </c>
      <c r="B278" s="1" t="s">
        <v>1694</v>
      </c>
      <c r="C278" s="10" t="str">
        <v>20240423000</v>
      </c>
      <c r="D278" s="1"/>
      <c r="E278" s="11" t="str">
        <v>20260202000</v>
      </c>
      <c r="F278" s="13" t="str">
        <v>20251022001</v>
      </c>
    </row>
    <row r="279" spans="1:6">
      <c r="A279" s="1" t="s">
        <v>2386</v>
      </c>
      <c r="B279" s="1" t="s">
        <v>1697</v>
      </c>
      <c r="C279" s="10" t="str">
        <v>20240424000</v>
      </c>
      <c r="D279" s="1"/>
      <c r="E279" s="11" t="str">
        <v>20260206001</v>
      </c>
      <c r="F279" s="13" t="str">
        <v>20251022002</v>
      </c>
    </row>
    <row r="280" spans="1:6">
      <c r="A280" s="1" t="s">
        <v>2414</v>
      </c>
      <c r="B280" s="1" t="s">
        <v>1708</v>
      </c>
      <c r="C280" s="10" t="str">
        <v>20240429004</v>
      </c>
      <c r="D280" s="1"/>
      <c r="E280" s="11" t="str">
        <v>20260219000</v>
      </c>
      <c r="F280" s="13" t="str">
        <v>20251028001</v>
      </c>
    </row>
    <row r="281" spans="1:6">
      <c r="A281" s="1" t="s">
        <v>2419</v>
      </c>
      <c r="B281" s="1" t="s">
        <v>1711</v>
      </c>
      <c r="C281" s="10" t="str">
        <v>20240429005</v>
      </c>
      <c r="D281" s="1"/>
      <c r="E281" s="11" t="str">
        <v>20260223007</v>
      </c>
      <c r="F281" s="13" t="str">
        <v>20251029000</v>
      </c>
    </row>
    <row r="282" spans="1:6">
      <c r="A282" s="1" t="s">
        <v>2431</v>
      </c>
      <c r="B282" s="1" t="s">
        <v>1713</v>
      </c>
      <c r="C282" s="10" t="str">
        <v>20240430000</v>
      </c>
      <c r="D282" s="1"/>
      <c r="E282" s="11" t="str">
        <v>20260223008</v>
      </c>
      <c r="F282" s="13" t="str">
        <v>20251031003</v>
      </c>
    </row>
    <row r="283" spans="1:6">
      <c r="A283" s="1" t="s">
        <v>2425</v>
      </c>
      <c r="B283" s="1" t="s">
        <v>1720</v>
      </c>
      <c r="C283" s="10" t="str">
        <v>20240502000</v>
      </c>
      <c r="D283" s="1"/>
      <c r="E283" s="11" t="str">
        <v>20260223009</v>
      </c>
      <c r="F283" s="13" t="str">
        <v>20251103000</v>
      </c>
    </row>
    <row r="284" spans="1:6">
      <c r="A284" s="1" t="s">
        <v>2442</v>
      </c>
      <c r="B284" s="1" t="s">
        <v>1725</v>
      </c>
      <c r="C284" s="10" t="str">
        <v>20240502001</v>
      </c>
      <c r="D284" s="1"/>
      <c r="E284" s="11" t="str">
        <v>20260227001</v>
      </c>
      <c r="F284" s="13" t="str">
        <v>20251103004</v>
      </c>
    </row>
    <row r="285" spans="1:6">
      <c r="A285" s="1" t="s">
        <v>2448</v>
      </c>
      <c r="B285" s="1" t="s">
        <v>1727</v>
      </c>
      <c r="C285" s="10" t="str">
        <v>20240502002</v>
      </c>
      <c r="D285" s="1"/>
      <c r="E285" s="11" t="str">
        <v>20260303000</v>
      </c>
      <c r="F285" s="13" t="str">
        <v>20251104003</v>
      </c>
    </row>
    <row r="286" spans="1:6">
      <c r="A286" s="1" t="s">
        <v>2513</v>
      </c>
      <c r="B286" s="1" t="s">
        <v>1730</v>
      </c>
      <c r="C286" s="10" t="str">
        <v>20240502003</v>
      </c>
      <c r="D286" s="1"/>
      <c r="E286" s="11" t="str">
        <v>20260305001</v>
      </c>
      <c r="F286" s="13" t="str">
        <v>20251107002</v>
      </c>
    </row>
    <row r="287" spans="1:6">
      <c r="A287" s="1" t="s">
        <v>2454</v>
      </c>
      <c r="B287" s="1" t="s">
        <v>1732</v>
      </c>
      <c r="C287" s="10" t="str">
        <v>20240502005</v>
      </c>
      <c r="D287" s="1"/>
      <c r="E287" s="11" t="str">
        <v>20260306001</v>
      </c>
      <c r="F287" s="13" t="str">
        <v>20251109000</v>
      </c>
    </row>
    <row r="288" spans="1:6">
      <c r="A288" s="1" t="s">
        <v>2518</v>
      </c>
      <c r="B288" s="1" t="s">
        <v>1737</v>
      </c>
      <c r="C288" s="10" t="str">
        <v>20240502009</v>
      </c>
      <c r="D288" s="1"/>
      <c r="E288" s="11" t="str">
        <v>20260309000</v>
      </c>
      <c r="F288" s="13" t="str">
        <v>20251111002</v>
      </c>
    </row>
    <row r="289" spans="1:6">
      <c r="A289" s="1" t="s">
        <v>2504</v>
      </c>
      <c r="B289" s="1" t="s">
        <v>1747</v>
      </c>
      <c r="C289" s="10" t="str">
        <v>20240502010</v>
      </c>
      <c r="D289" s="1"/>
      <c r="E289" s="11" t="str">
        <v>20260311000</v>
      </c>
      <c r="F289" s="13" t="str">
        <v>20251111003</v>
      </c>
    </row>
    <row r="290" spans="1:6">
      <c r="A290" s="1" t="s">
        <v>2499</v>
      </c>
      <c r="B290" s="1" t="s">
        <v>1760</v>
      </c>
      <c r="C290" s="10" t="str">
        <v>20240508000</v>
      </c>
      <c r="D290" s="1"/>
      <c r="E290" s="11" t="str">
        <v>20260327000</v>
      </c>
      <c r="F290" s="13" t="str">
        <v>20251112000</v>
      </c>
    </row>
    <row r="291" spans="1:6">
      <c r="A291" s="1" t="s">
        <v>2494</v>
      </c>
      <c r="B291" s="1" t="s">
        <v>1762</v>
      </c>
      <c r="C291" s="10" t="str">
        <v>20240508001</v>
      </c>
      <c r="D291" s="1"/>
      <c r="E291" s="11" t="str">
        <v>20260401001</v>
      </c>
      <c r="F291" s="13" t="str">
        <v>20251114001</v>
      </c>
    </row>
    <row r="292" spans="1:6">
      <c r="A292" s="1" t="s">
        <v>2483</v>
      </c>
      <c r="B292" s="1" t="s">
        <v>1774</v>
      </c>
      <c r="C292" s="10" t="str">
        <v>20240510000</v>
      </c>
      <c r="D292" s="1"/>
      <c r="E292" s="11" t="str">
        <v>20260401002</v>
      </c>
      <c r="F292" s="13" t="str">
        <v>20251119000</v>
      </c>
    </row>
    <row r="293" spans="1:6">
      <c r="A293" s="1" t="s">
        <v>2460</v>
      </c>
      <c r="B293" s="1" t="s">
        <v>1776</v>
      </c>
      <c r="C293" s="10" t="str">
        <v>20240514001</v>
      </c>
      <c r="D293" s="1"/>
      <c r="E293" s="11" t="str">
        <v>20260409005</v>
      </c>
      <c r="F293" s="13" t="str">
        <v>20251126001</v>
      </c>
    </row>
    <row r="294" spans="1:6">
      <c r="A294" s="1" t="s">
        <v>2468</v>
      </c>
      <c r="B294" s="1" t="s">
        <v>1778</v>
      </c>
      <c r="C294" s="10" t="str">
        <v>20240520006</v>
      </c>
      <c r="D294" s="1"/>
      <c r="E294" s="11" t="str">
        <v>20260414000</v>
      </c>
      <c r="F294" s="13" t="str">
        <v>20251203002</v>
      </c>
    </row>
    <row r="295" spans="1:6">
      <c r="A295" s="1" t="s">
        <v>2476</v>
      </c>
      <c r="B295" s="1" t="s">
        <v>1781</v>
      </c>
      <c r="C295" s="10" t="str">
        <v>20240520011</v>
      </c>
      <c r="D295" s="1"/>
      <c r="E295" s="11" t="str">
        <v>20260415001</v>
      </c>
      <c r="F295" s="13" t="str">
        <v>20251208002</v>
      </c>
    </row>
    <row r="296" spans="1:6">
      <c r="A296" s="1" t="s">
        <v>2488</v>
      </c>
      <c r="B296" s="1" t="s">
        <v>1786</v>
      </c>
      <c r="C296" s="10" t="str">
        <v>20240521000</v>
      </c>
      <c r="D296" s="1"/>
      <c r="E296" s="11" t="str">
        <v>20260416003</v>
      </c>
      <c r="F296" s="13" t="str">
        <v>20251209000</v>
      </c>
    </row>
    <row r="297" spans="1:6">
      <c r="A297" s="1" t="s">
        <v>2574</v>
      </c>
      <c r="B297" s="1" t="s">
        <v>1795</v>
      </c>
      <c r="C297" s="10" t="str">
        <v>20240524000</v>
      </c>
      <c r="D297" s="1"/>
      <c r="E297" s="11" t="str">
        <v>20260422005</v>
      </c>
      <c r="F297" s="13" t="str">
        <v>20251210000</v>
      </c>
    </row>
    <row r="298" spans="1:6">
      <c r="A298" s="1" t="s">
        <v>2551</v>
      </c>
      <c r="B298" s="1" t="s">
        <v>1800</v>
      </c>
      <c r="C298" s="10" t="str">
        <v>20240529000</v>
      </c>
      <c r="D298" s="1"/>
      <c r="E298" s="11" t="str">
        <v>20260429002</v>
      </c>
      <c r="F298" s="13" t="str">
        <v>20251210001</v>
      </c>
    </row>
    <row r="299" spans="1:6">
      <c r="A299" s="1" t="s">
        <v>2529</v>
      </c>
      <c r="B299" s="1" t="s">
        <v>1803</v>
      </c>
      <c r="C299" s="10" t="str">
        <v>20240529002</v>
      </c>
      <c r="D299" s="1"/>
      <c r="E299" s="11" t="str">
        <v>20260507000</v>
      </c>
      <c r="F299" s="13" t="str">
        <v>20251210002</v>
      </c>
    </row>
    <row r="300" spans="1:6">
      <c r="A300" s="1" t="s">
        <v>2524</v>
      </c>
      <c r="B300" s="1" t="s">
        <v>1805</v>
      </c>
      <c r="C300" s="10" t="str">
        <v>20240529004</v>
      </c>
      <c r="D300" s="1"/>
      <c r="E300" s="11" t="str">
        <v>20260511001</v>
      </c>
      <c r="F300" s="13" t="str">
        <v>20251211001</v>
      </c>
    </row>
    <row r="301" spans="1:6">
      <c r="A301" s="1" t="s">
        <v>2538</v>
      </c>
      <c r="B301" s="1" t="s">
        <v>1810</v>
      </c>
      <c r="C301" s="10" t="str">
        <v>20240529005</v>
      </c>
      <c r="D301" s="1"/>
      <c r="E301" s="11" t="str">
        <v>20260518001</v>
      </c>
      <c r="F301" s="13" t="str">
        <v>20251211002</v>
      </c>
    </row>
    <row r="302" spans="1:6">
      <c r="A302" s="1" t="s">
        <v>2540</v>
      </c>
      <c r="B302" s="1" t="s">
        <v>1819</v>
      </c>
      <c r="C302" s="10" t="str">
        <v>20240530001</v>
      </c>
      <c r="D302" s="1"/>
      <c r="E302" s="11" t="str">
        <v>20260610000</v>
      </c>
      <c r="F302" s="13" t="str">
        <v>20251212001</v>
      </c>
    </row>
    <row r="303" spans="1:6">
      <c r="A303" s="1" t="s">
        <v>2557</v>
      </c>
      <c r="B303" s="1" t="s">
        <v>1824</v>
      </c>
      <c r="C303" s="10" t="str">
        <v>20240531002</v>
      </c>
      <c r="D303" s="1"/>
      <c r="E303" s="11" t="str">
        <v>20260611001</v>
      </c>
      <c r="F303" s="13" t="str">
        <v>20251212002</v>
      </c>
    </row>
    <row r="304" spans="1:6">
      <c r="A304" s="1" t="s">
        <v>2566</v>
      </c>
      <c r="B304" s="1" t="s">
        <v>1830</v>
      </c>
      <c r="C304" s="10" t="str">
        <v>20240603002</v>
      </c>
      <c r="D304" s="1"/>
      <c r="E304" s="11" t="str">
        <v>20260618002</v>
      </c>
      <c r="F304" s="13" t="str">
        <v>20251216003</v>
      </c>
    </row>
    <row r="305" spans="1:6">
      <c r="A305" s="1" t="s">
        <v>2726</v>
      </c>
      <c r="B305" s="1" t="s">
        <v>1838</v>
      </c>
      <c r="C305" s="10" t="str">
        <v>20240605000</v>
      </c>
      <c r="D305" s="1"/>
      <c r="E305" s="11" t="str">
        <v>20260630000</v>
      </c>
      <c r="F305" s="13" t="str">
        <v>20251217001</v>
      </c>
    </row>
    <row r="306" spans="1:6">
      <c r="A306" s="1" t="s">
        <v>2816</v>
      </c>
      <c r="B306" s="1" t="s">
        <v>1833</v>
      </c>
      <c r="C306" s="10" t="str">
        <v>20240610000</v>
      </c>
      <c r="D306" s="1"/>
      <c r="E306" s="11" t="str">
        <v>20260702001</v>
      </c>
      <c r="F306" s="13" t="str">
        <v>20251217002</v>
      </c>
    </row>
    <row r="307" spans="1:6">
      <c r="A307" s="1" t="s">
        <v>2582</v>
      </c>
      <c r="B307" s="1" t="s">
        <v>1840</v>
      </c>
      <c r="C307" s="10" t="str">
        <v>20240610001</v>
      </c>
      <c r="D307" s="1"/>
      <c r="E307" s="11" t="str">
        <v>20260715001</v>
      </c>
      <c r="F307" s="13" t="str">
        <v>20251218005</v>
      </c>
    </row>
    <row r="308" spans="1:6">
      <c r="A308" s="1" t="s">
        <v>2590</v>
      </c>
      <c r="B308" s="1" t="s">
        <v>1843</v>
      </c>
      <c r="C308" s="10" t="str">
        <v>20240612000</v>
      </c>
      <c r="D308" s="1"/>
      <c r="E308" s="1"/>
      <c r="F308" s="13" t="str">
        <v>20251218007</v>
      </c>
    </row>
    <row r="309" spans="1:6">
      <c r="A309" s="1" t="s">
        <v>2600</v>
      </c>
      <c r="B309" s="1" t="s">
        <v>1851</v>
      </c>
      <c r="C309" s="10" t="str">
        <v>20240613000</v>
      </c>
      <c r="D309" s="1"/>
      <c r="E309" s="1"/>
      <c r="F309" s="13" t="str">
        <v>20251219000</v>
      </c>
    </row>
    <row r="310" spans="1:6">
      <c r="A310" s="1" t="s">
        <v>2598</v>
      </c>
      <c r="B310" s="1" t="s">
        <v>1852</v>
      </c>
      <c r="C310" s="10" t="str">
        <v>20240613001</v>
      </c>
      <c r="D310" s="1"/>
      <c r="E310" s="1"/>
      <c r="F310" s="13" t="str">
        <v>20260108000</v>
      </c>
    </row>
    <row r="311" spans="1:6">
      <c r="A311" s="1" t="s">
        <v>2615</v>
      </c>
      <c r="B311" s="1" t="s">
        <v>1854</v>
      </c>
      <c r="C311" s="10" t="str">
        <v>20240613002</v>
      </c>
      <c r="D311" s="1"/>
      <c r="E311" s="1"/>
      <c r="F311" s="13" t="str">
        <v>20260112004</v>
      </c>
    </row>
    <row r="312" spans="1:6">
      <c r="A312" s="1" t="s">
        <v>2610</v>
      </c>
      <c r="B312" s="1" t="s">
        <v>1846</v>
      </c>
      <c r="C312" s="10" t="str">
        <v>20240613003</v>
      </c>
      <c r="D312" s="1"/>
      <c r="E312" s="1"/>
      <c r="F312" s="13" t="str">
        <v>20260113001</v>
      </c>
    </row>
    <row r="313" spans="1:6">
      <c r="A313" s="1" t="s">
        <v>2620</v>
      </c>
      <c r="B313" s="1" t="s">
        <v>1860</v>
      </c>
      <c r="C313" s="10" t="str">
        <v>20240613005</v>
      </c>
      <c r="D313" s="1"/>
      <c r="E313" s="1"/>
      <c r="F313" s="13" t="str">
        <v>20260115002</v>
      </c>
    </row>
    <row r="314" spans="1:6">
      <c r="A314" s="1" t="s">
        <v>2649</v>
      </c>
      <c r="B314" s="1" t="s">
        <v>1863</v>
      </c>
      <c r="C314" s="10" t="str">
        <v>20240613007</v>
      </c>
      <c r="D314" s="1"/>
      <c r="E314" s="1"/>
      <c r="F314" s="13" t="str">
        <v>20260115003</v>
      </c>
    </row>
    <row r="315" spans="1:6">
      <c r="A315" s="1" t="s">
        <v>2630</v>
      </c>
      <c r="B315" s="1" t="s">
        <v>1867</v>
      </c>
      <c r="C315" s="10" t="str">
        <v>20240613008</v>
      </c>
      <c r="D315" s="1"/>
      <c r="E315" s="1"/>
      <c r="F315" s="13" t="str">
        <v>20260116000</v>
      </c>
    </row>
    <row r="316" spans="1:6">
      <c r="A316" s="1" t="s">
        <v>2639</v>
      </c>
      <c r="B316" s="1" t="s">
        <v>1878</v>
      </c>
      <c r="C316" s="10" t="str">
        <v>20240613009</v>
      </c>
      <c r="D316" s="1"/>
      <c r="E316" s="1"/>
      <c r="F316" s="13" t="str">
        <v>20260128000</v>
      </c>
    </row>
    <row r="317" spans="1:6">
      <c r="A317" s="1" t="s">
        <v>2644</v>
      </c>
      <c r="B317" s="1" t="s">
        <v>1894</v>
      </c>
      <c r="C317" s="10" t="str">
        <v>20240614001</v>
      </c>
      <c r="D317" s="1"/>
      <c r="E317" s="1"/>
      <c r="F317" s="13" t="str">
        <v>20260204000</v>
      </c>
    </row>
    <row r="318" spans="1:6">
      <c r="A318" s="1" t="s">
        <v>2655</v>
      </c>
      <c r="B318" s="1" t="s">
        <v>1889</v>
      </c>
      <c r="C318" s="10" t="str">
        <v>20240618001</v>
      </c>
      <c r="D318" s="1"/>
      <c r="E318" s="1"/>
      <c r="F318" s="13" t="str">
        <v>20260206004</v>
      </c>
    </row>
    <row r="319" spans="1:6">
      <c r="A319" s="1" t="s">
        <v>2661</v>
      </c>
      <c r="B319" s="1" t="s">
        <v>1897</v>
      </c>
      <c r="C319" s="10" t="str">
        <v>20240619002</v>
      </c>
      <c r="D319" s="1"/>
      <c r="E319" s="1"/>
      <c r="F319" s="13" t="str">
        <v>20260206007</v>
      </c>
    </row>
    <row r="320" spans="1:6">
      <c r="A320" s="1" t="s">
        <v>2667</v>
      </c>
      <c r="B320" s="1" t="s">
        <v>1903</v>
      </c>
      <c r="C320" s="10" t="str">
        <v>20240621000</v>
      </c>
      <c r="D320" s="1"/>
      <c r="E320" s="1"/>
      <c r="F320" s="13" t="str">
        <v>20260209003</v>
      </c>
    </row>
    <row r="321" spans="1:6">
      <c r="A321" s="1" t="s">
        <v>2674</v>
      </c>
      <c r="B321" s="1" t="s">
        <v>1906</v>
      </c>
      <c r="C321" s="10" t="str">
        <v>20240621001</v>
      </c>
      <c r="D321" s="1"/>
      <c r="E321" s="1"/>
      <c r="F321" s="13" t="str">
        <v>20260211000</v>
      </c>
    </row>
    <row r="322" spans="1:6">
      <c r="A322" s="1" t="s">
        <v>2679</v>
      </c>
      <c r="B322" s="1" t="s">
        <v>1914</v>
      </c>
      <c r="C322" s="10" t="str">
        <v>20240624000</v>
      </c>
      <c r="D322" s="1"/>
      <c r="E322" s="1"/>
      <c r="F322" s="13" t="str">
        <v>20260212000</v>
      </c>
    </row>
    <row r="323" spans="1:6">
      <c r="A323" s="1" t="s">
        <v>2693</v>
      </c>
      <c r="B323" s="1" t="s">
        <v>1916</v>
      </c>
      <c r="C323" s="10" t="str">
        <v>20240625001</v>
      </c>
      <c r="D323" s="1"/>
      <c r="E323" s="1"/>
      <c r="F323" s="13" t="str">
        <v>20260212001</v>
      </c>
    </row>
    <row r="324" spans="1:6">
      <c r="A324" s="1" t="s">
        <v>2699</v>
      </c>
      <c r="B324" s="1" t="s">
        <v>1919</v>
      </c>
      <c r="C324" s="10" t="str">
        <v>20240625002</v>
      </c>
      <c r="D324" s="1"/>
      <c r="E324" s="1"/>
      <c r="F324" s="13" t="str">
        <v>20260212002</v>
      </c>
    </row>
    <row r="325" spans="1:6">
      <c r="A325" s="1" t="s">
        <v>2687</v>
      </c>
      <c r="B325" s="1" t="s">
        <v>1924</v>
      </c>
      <c r="C325" s="10" t="str">
        <v>20240625003</v>
      </c>
      <c r="D325" s="1"/>
      <c r="E325" s="1"/>
      <c r="F325" s="13" t="str">
        <v>20260217004</v>
      </c>
    </row>
    <row r="326" spans="1:6">
      <c r="A326" s="1" t="s">
        <v>2706</v>
      </c>
      <c r="B326" s="1" t="s">
        <v>1926</v>
      </c>
      <c r="C326" s="10" t="str">
        <v>20240626000</v>
      </c>
      <c r="D326" s="1"/>
      <c r="E326" s="1"/>
      <c r="F326" s="13" t="str">
        <v>20260218001</v>
      </c>
    </row>
    <row r="327" spans="1:6">
      <c r="A327" s="1" t="s">
        <v>2712</v>
      </c>
      <c r="B327" s="1" t="s">
        <v>1928</v>
      </c>
      <c r="C327" s="10" t="str">
        <v>20240626001</v>
      </c>
      <c r="D327" s="1"/>
      <c r="E327" s="1"/>
      <c r="F327" s="13" t="str">
        <v>20260218004</v>
      </c>
    </row>
    <row r="328" spans="1:6">
      <c r="A328" s="1" t="s">
        <v>2719</v>
      </c>
      <c r="B328" s="1" t="s">
        <v>1936</v>
      </c>
      <c r="C328" s="10" t="str">
        <v>20240628000</v>
      </c>
      <c r="D328" s="1"/>
      <c r="E328" s="1"/>
      <c r="F328" s="13" t="str">
        <v>20260220001</v>
      </c>
    </row>
    <row r="329" spans="1:6">
      <c r="A329" s="1" t="s">
        <v>2731</v>
      </c>
      <c r="B329" s="1" t="s">
        <v>1938</v>
      </c>
      <c r="C329" s="10" t="str">
        <v>20240628002</v>
      </c>
      <c r="D329" s="1"/>
      <c r="E329" s="1"/>
      <c r="F329" s="13" t="str">
        <v>20260220002</v>
      </c>
    </row>
    <row r="330" spans="1:6">
      <c r="A330" s="1" t="s">
        <v>2739</v>
      </c>
      <c r="B330" s="1" t="s">
        <v>1931</v>
      </c>
      <c r="C330" s="10" t="str">
        <v>20240628004</v>
      </c>
      <c r="D330" s="1"/>
      <c r="E330" s="1"/>
      <c r="F330" s="13" t="str">
        <v>20260223006</v>
      </c>
    </row>
    <row r="331" spans="1:6">
      <c r="A331" s="1" t="s">
        <v>2744</v>
      </c>
      <c r="B331" s="1" t="s">
        <v>1941</v>
      </c>
      <c r="C331" s="10" t="str">
        <v>20240628007</v>
      </c>
      <c r="D331" s="1"/>
      <c r="E331" s="1"/>
      <c r="F331" s="13" t="str">
        <v>20260226000</v>
      </c>
    </row>
    <row r="332" spans="1:6">
      <c r="A332" s="1" t="s">
        <v>2754</v>
      </c>
      <c r="B332" s="1" t="s">
        <v>1957</v>
      </c>
      <c r="C332" s="10" t="str">
        <v>20240628011</v>
      </c>
      <c r="D332" s="1"/>
      <c r="E332" s="1"/>
      <c r="F332" s="13" t="str">
        <v>20260227000</v>
      </c>
    </row>
    <row r="333" spans="1:6">
      <c r="A333" s="1" t="s">
        <v>2752</v>
      </c>
      <c r="B333" s="1" t="s">
        <v>1959</v>
      </c>
      <c r="C333" s="10" t="str">
        <v>20240628012</v>
      </c>
      <c r="D333" s="1"/>
      <c r="E333" s="1"/>
      <c r="F333" s="13" t="str">
        <v>20260309001</v>
      </c>
    </row>
    <row r="334" spans="1:6">
      <c r="A334" s="1" t="s">
        <v>2763</v>
      </c>
      <c r="B334" s="1" t="s">
        <v>1965</v>
      </c>
      <c r="C334" s="10" t="str">
        <v>20240628014</v>
      </c>
      <c r="D334" s="1"/>
      <c r="E334" s="1"/>
      <c r="F334" s="13" t="str">
        <v>20260312000</v>
      </c>
    </row>
    <row r="335" spans="1:6">
      <c r="A335" s="1" t="s">
        <v>2772</v>
      </c>
      <c r="B335" s="1" t="s">
        <v>1967</v>
      </c>
      <c r="C335" s="10" t="str">
        <v>20240628016</v>
      </c>
      <c r="D335" s="1"/>
      <c r="E335" s="1"/>
      <c r="F335" s="13" t="str">
        <v>20260312002</v>
      </c>
    </row>
    <row r="336" spans="1:6">
      <c r="A336" s="1" t="s">
        <v>2778</v>
      </c>
      <c r="B336" s="1" t="s">
        <v>1969</v>
      </c>
      <c r="C336" s="10" t="str">
        <v>20240628017</v>
      </c>
      <c r="D336" s="1"/>
      <c r="E336" s="1"/>
      <c r="F336" s="13" t="str">
        <v>20260313000</v>
      </c>
    </row>
    <row r="337" spans="1:6">
      <c r="A337" s="1" t="s">
        <v>2786</v>
      </c>
      <c r="B337" s="1" t="s">
        <v>1971</v>
      </c>
      <c r="C337" s="10" t="str">
        <v>20240703000</v>
      </c>
      <c r="D337" s="1"/>
      <c r="E337" s="1"/>
      <c r="F337" s="13" t="str">
        <v>20260313003</v>
      </c>
    </row>
    <row r="338" spans="1:6">
      <c r="A338" s="1" t="s">
        <v>2791</v>
      </c>
      <c r="B338" s="1" t="s">
        <v>1977</v>
      </c>
      <c r="C338" s="10" t="str">
        <v>20240715000</v>
      </c>
      <c r="D338" s="1"/>
      <c r="E338" s="1"/>
      <c r="F338" s="13" t="str">
        <v>20260313004</v>
      </c>
    </row>
    <row r="339" spans="1:6">
      <c r="A339" s="1" t="s">
        <v>2804</v>
      </c>
      <c r="B339" s="1" t="s">
        <v>1984</v>
      </c>
      <c r="C339" s="10" t="str">
        <v>20240716001</v>
      </c>
      <c r="D339" s="1"/>
      <c r="E339" s="1"/>
      <c r="F339" s="13" t="str">
        <v>20260316004</v>
      </c>
    </row>
    <row r="340" spans="1:6">
      <c r="A340" s="1" t="s">
        <v>2798</v>
      </c>
      <c r="B340" s="1" t="s">
        <v>1979</v>
      </c>
      <c r="C340" s="10" t="str">
        <v>20240723003</v>
      </c>
      <c r="D340" s="1"/>
      <c r="E340" s="1"/>
      <c r="F340" s="13" t="str">
        <v>20260317000</v>
      </c>
    </row>
    <row r="341" spans="1:6">
      <c r="A341" s="1" t="s">
        <v>2810</v>
      </c>
      <c r="B341" s="1" t="s">
        <v>2003</v>
      </c>
      <c r="C341" s="10" t="str">
        <v>20240723004</v>
      </c>
      <c r="D341" s="1"/>
      <c r="E341" s="1"/>
      <c r="F341" s="13" t="str">
        <v>20260317001</v>
      </c>
    </row>
    <row r="342" spans="1:6">
      <c r="A342" s="1" t="s">
        <v>2824</v>
      </c>
      <c r="B342" s="1" t="s">
        <v>2012</v>
      </c>
      <c r="C342" s="10" t="str">
        <v>20240723006</v>
      </c>
      <c r="D342" s="1"/>
      <c r="E342" s="1"/>
      <c r="F342" s="13" t="str">
        <v>20260318000</v>
      </c>
    </row>
    <row r="343" spans="1:6">
      <c r="A343" s="1" t="s">
        <v>2822</v>
      </c>
      <c r="B343" s="1" t="s">
        <v>2014</v>
      </c>
      <c r="C343" s="10" t="str">
        <v>20240723008</v>
      </c>
      <c r="D343" s="1"/>
      <c r="E343" s="1"/>
      <c r="F343" s="13" t="str">
        <v>20260320000</v>
      </c>
    </row>
    <row r="344" spans="1:6">
      <c r="A344" s="1" t="s">
        <v>2834</v>
      </c>
      <c r="B344" s="1" t="s">
        <v>2017</v>
      </c>
      <c r="C344" s="10" t="str">
        <v>20240723009</v>
      </c>
      <c r="D344" s="1"/>
      <c r="E344" s="1"/>
      <c r="F344" s="13" t="str">
        <v>20260325001</v>
      </c>
    </row>
    <row r="345" spans="1:6">
      <c r="A345" s="1" t="s">
        <v>2839</v>
      </c>
      <c r="B345" s="1" t="s">
        <v>2019</v>
      </c>
      <c r="C345" s="10" t="str">
        <v>20240724001</v>
      </c>
      <c r="D345" s="1"/>
      <c r="E345" s="1"/>
      <c r="F345" s="13" t="str">
        <v>20260325004</v>
      </c>
    </row>
    <row r="346" spans="1:6">
      <c r="A346" s="1" t="s">
        <v>2845</v>
      </c>
      <c r="B346" s="1" t="s">
        <v>2024</v>
      </c>
      <c r="C346" s="10" t="str">
        <v>20240724002</v>
      </c>
      <c r="D346" s="1"/>
      <c r="E346" s="1"/>
      <c r="F346" s="13" t="str">
        <v>20260326003</v>
      </c>
    </row>
    <row r="347" spans="1:6">
      <c r="A347" s="1" t="s">
        <v>2863</v>
      </c>
      <c r="B347" s="1" t="s">
        <v>2026</v>
      </c>
      <c r="C347" s="10" t="str">
        <v>20240725000</v>
      </c>
      <c r="D347" s="1"/>
      <c r="E347" s="1"/>
      <c r="F347" s="13" t="str">
        <v>20260330000</v>
      </c>
    </row>
    <row r="348" spans="1:6">
      <c r="A348" s="1" t="s">
        <v>2881</v>
      </c>
      <c r="B348" s="1" t="s">
        <v>2032</v>
      </c>
      <c r="C348" s="10" t="str">
        <v>20240725001</v>
      </c>
      <c r="D348" s="1"/>
      <c r="E348" s="1"/>
      <c r="F348" s="13" t="str">
        <v>20260330003</v>
      </c>
    </row>
    <row r="349" spans="1:6">
      <c r="A349" s="1" t="s">
        <v>2887</v>
      </c>
      <c r="B349" s="1" t="s">
        <v>2034</v>
      </c>
      <c r="C349" s="10" t="str">
        <v>20240726002</v>
      </c>
      <c r="D349" s="1"/>
      <c r="E349" s="1"/>
      <c r="F349" s="13" t="str">
        <v>20260331002</v>
      </c>
    </row>
    <row r="350" spans="1:6">
      <c r="A350" s="1" t="s">
        <v>2892</v>
      </c>
      <c r="B350" s="1" t="s">
        <v>2036</v>
      </c>
      <c r="C350" s="10" t="str">
        <v>20240729000</v>
      </c>
      <c r="D350" s="1"/>
      <c r="E350" s="1"/>
      <c r="F350" s="13" t="str">
        <v>20260331003</v>
      </c>
    </row>
    <row r="351" spans="1:6">
      <c r="A351" s="1" t="s">
        <v>2904</v>
      </c>
      <c r="B351" s="1" t="s">
        <v>2041</v>
      </c>
      <c r="C351" s="10" t="str">
        <v>20240729001</v>
      </c>
      <c r="D351" s="1"/>
      <c r="E351" s="1"/>
      <c r="F351" s="13" t="str">
        <v>20260401003</v>
      </c>
    </row>
    <row r="352" spans="1:6">
      <c r="A352" s="1" t="s">
        <v>2921</v>
      </c>
      <c r="B352" s="1" t="s">
        <v>2053</v>
      </c>
      <c r="C352" s="10" t="str">
        <v>20240729002</v>
      </c>
      <c r="D352" s="1"/>
      <c r="E352" s="1"/>
      <c r="F352" s="13" t="str">
        <v>20260402000</v>
      </c>
    </row>
    <row r="353" spans="1:6">
      <c r="A353" s="1" t="s">
        <v>2929</v>
      </c>
      <c r="B353" s="1" t="s">
        <v>2044</v>
      </c>
      <c r="C353" s="10" t="str">
        <v>20240729005</v>
      </c>
      <c r="D353" s="1"/>
      <c r="E353" s="1"/>
      <c r="F353" s="13" t="str">
        <v>20260409003</v>
      </c>
    </row>
    <row r="354" spans="1:6">
      <c r="A354" s="1" t="s">
        <v>2912</v>
      </c>
      <c r="B354" s="1" t="s">
        <v>2062</v>
      </c>
      <c r="C354" s="10" t="str">
        <v>20240730002</v>
      </c>
      <c r="D354" s="1"/>
      <c r="E354" s="1"/>
      <c r="F354" s="13" t="str">
        <v>20260413005</v>
      </c>
    </row>
    <row r="355" spans="1:6">
      <c r="A355" s="1" t="s">
        <v>2953</v>
      </c>
      <c r="B355" s="1" t="s">
        <v>2084</v>
      </c>
      <c r="C355" s="10" t="str">
        <v>20240730003</v>
      </c>
      <c r="D355" s="1"/>
      <c r="E355" s="1"/>
      <c r="F355" s="13" t="str">
        <v>20260414002</v>
      </c>
    </row>
    <row r="356" spans="1:6">
      <c r="A356" s="1" t="s">
        <v>2938</v>
      </c>
      <c r="B356" s="1" t="s">
        <v>2078</v>
      </c>
      <c r="C356" s="10" t="str">
        <v>20240730004</v>
      </c>
      <c r="D356" s="1"/>
      <c r="E356" s="1"/>
      <c r="F356" s="13" t="str">
        <v>20260415003</v>
      </c>
    </row>
    <row r="357" spans="1:6">
      <c r="A357" s="1" t="s">
        <v>2966</v>
      </c>
      <c r="B357" s="1" t="s">
        <v>2096</v>
      </c>
      <c r="C357" s="10" t="str">
        <v>20240730005</v>
      </c>
      <c r="D357" s="1"/>
      <c r="E357" s="1"/>
      <c r="F357" s="13" t="str">
        <v>20260416000</v>
      </c>
    </row>
    <row r="358" spans="1:6">
      <c r="A358" s="1" t="s">
        <v>2968</v>
      </c>
      <c r="B358" s="1" t="s">
        <v>2097</v>
      </c>
      <c r="C358" s="10" t="str">
        <v>20240805007</v>
      </c>
      <c r="D358" s="1"/>
      <c r="E358" s="1"/>
      <c r="F358" s="13" t="str">
        <v>20260421000</v>
      </c>
    </row>
    <row r="359" spans="1:6">
      <c r="A359" s="1" t="s">
        <v>2977</v>
      </c>
      <c r="B359" s="1" t="s">
        <v>2092</v>
      </c>
      <c r="C359" s="10" t="str">
        <v>20240806003</v>
      </c>
      <c r="D359" s="1"/>
      <c r="E359" s="1"/>
      <c r="F359" s="13" t="str">
        <v>20260421001</v>
      </c>
    </row>
    <row r="360" spans="1:6">
      <c r="A360" s="1" t="s">
        <v>2982</v>
      </c>
      <c r="B360" s="1" t="s">
        <v>2106</v>
      </c>
      <c r="C360" s="10" t="str">
        <v>20240806004</v>
      </c>
      <c r="D360" s="1"/>
      <c r="E360" s="1"/>
      <c r="F360" s="13" t="str">
        <v>20260422003</v>
      </c>
    </row>
    <row r="361" spans="1:6">
      <c r="A361" s="1" t="s">
        <v>2988</v>
      </c>
      <c r="B361" s="1" t="s">
        <v>2107</v>
      </c>
      <c r="C361" s="10" t="str">
        <v>20240806005</v>
      </c>
      <c r="D361" s="1"/>
      <c r="E361" s="1"/>
      <c r="F361" s="13" t="str">
        <v>20260425000</v>
      </c>
    </row>
    <row r="362" spans="1:6">
      <c r="A362" s="1" t="s">
        <v>2998</v>
      </c>
      <c r="B362" s="1" t="s">
        <v>2130</v>
      </c>
      <c r="C362" s="10" t="str">
        <v>20240806006</v>
      </c>
      <c r="D362" s="1"/>
      <c r="E362" s="1"/>
      <c r="F362" s="13" t="str">
        <v>20260427001</v>
      </c>
    </row>
    <row r="363" spans="1:6">
      <c r="A363" s="1" t="s">
        <v>3009</v>
      </c>
      <c r="B363" s="1" t="s">
        <v>2115</v>
      </c>
      <c r="C363" s="10" t="str">
        <v>20240808000</v>
      </c>
      <c r="D363" s="1"/>
      <c r="E363" s="1"/>
      <c r="F363" s="13" t="str">
        <v>20260427003</v>
      </c>
    </row>
    <row r="364" spans="1:6">
      <c r="A364" s="1" t="s">
        <v>3020</v>
      </c>
      <c r="B364" s="1" t="s">
        <v>2149</v>
      </c>
      <c r="C364" s="10" t="str">
        <v>20240808002</v>
      </c>
      <c r="D364" s="1"/>
      <c r="E364" s="1"/>
      <c r="F364" s="13" t="str">
        <v>20260427008</v>
      </c>
    </row>
    <row r="365" spans="1:6">
      <c r="A365" s="1" t="s">
        <v>3026</v>
      </c>
      <c r="B365" s="1" t="s">
        <v>2150</v>
      </c>
      <c r="C365" s="10" t="str">
        <v>20240813001</v>
      </c>
      <c r="D365" s="1"/>
      <c r="E365" s="1"/>
      <c r="F365" s="13" t="str">
        <v>20260427009</v>
      </c>
    </row>
    <row r="366" spans="1:6">
      <c r="A366" s="1" t="s">
        <v>3038</v>
      </c>
      <c r="B366" s="1" t="s">
        <v>2153</v>
      </c>
      <c r="C366" s="10" t="str">
        <v>20240813003</v>
      </c>
      <c r="D366" s="1"/>
      <c r="E366" s="1"/>
      <c r="F366" s="13" t="str">
        <v>20260428000</v>
      </c>
    </row>
    <row r="367" spans="1:6">
      <c r="A367" s="1" t="s">
        <v>3050</v>
      </c>
      <c r="B367" s="1" t="s">
        <v>2155</v>
      </c>
      <c r="C367" s="10" t="str">
        <v>20240813004</v>
      </c>
      <c r="D367" s="1"/>
      <c r="E367" s="1"/>
      <c r="F367" s="13" t="str">
        <v>20260429000</v>
      </c>
    </row>
    <row r="368" spans="1:6">
      <c r="A368" s="1" t="s">
        <v>3062</v>
      </c>
      <c r="B368" s="1" t="s">
        <v>2162</v>
      </c>
      <c r="C368" s="10" t="str">
        <v>20240813006</v>
      </c>
      <c r="D368" s="1"/>
      <c r="E368" s="1"/>
      <c r="F368" s="13" t="str">
        <v>20260429001</v>
      </c>
    </row>
    <row r="369" spans="1:6">
      <c r="A369" s="1" t="s">
        <v>3069</v>
      </c>
      <c r="B369" s="1" t="s">
        <v>2165</v>
      </c>
      <c r="C369" s="10" t="str">
        <v>20240814000</v>
      </c>
      <c r="D369" s="1"/>
      <c r="E369" s="1"/>
      <c r="F369" s="13" t="str">
        <v>20260429003</v>
      </c>
    </row>
    <row r="370" spans="1:6">
      <c r="A370" s="1" t="s">
        <v>3075</v>
      </c>
      <c r="B370" s="1" t="s">
        <v>2171</v>
      </c>
      <c r="C370" s="10" t="str">
        <v>20240814002</v>
      </c>
      <c r="D370" s="1"/>
      <c r="E370" s="1"/>
      <c r="F370" s="13" t="str">
        <v>20260429004</v>
      </c>
    </row>
    <row r="371" spans="1:6">
      <c r="A371" s="1" t="s">
        <v>3081</v>
      </c>
      <c r="B371" s="1" t="s">
        <v>2177</v>
      </c>
      <c r="C371" s="10" t="str">
        <v>20240819000</v>
      </c>
      <c r="D371" s="1"/>
      <c r="E371" s="1"/>
      <c r="F371" s="13" t="str">
        <v>20260501000</v>
      </c>
    </row>
    <row r="372" spans="1:6">
      <c r="A372" s="1" t="s">
        <v>3091</v>
      </c>
      <c r="B372" s="1" t="s">
        <v>2179</v>
      </c>
      <c r="C372" s="10" t="str">
        <v>20240819002</v>
      </c>
      <c r="D372" s="1"/>
      <c r="E372" s="1"/>
      <c r="F372" s="13" t="str">
        <v>20260504006</v>
      </c>
    </row>
    <row r="373" spans="1:6">
      <c r="A373" s="1" t="s">
        <v>3104</v>
      </c>
      <c r="B373" s="1" t="s">
        <v>2180</v>
      </c>
      <c r="C373" s="10" t="str">
        <v>20240821000</v>
      </c>
      <c r="D373" s="1"/>
      <c r="E373" s="1"/>
      <c r="F373" s="13" t="str">
        <v>20260506001</v>
      </c>
    </row>
    <row r="374" spans="1:6">
      <c r="A374" s="1" t="s">
        <v>3112</v>
      </c>
      <c r="B374" s="1" t="s">
        <v>2189</v>
      </c>
      <c r="C374" s="10" t="str">
        <v>20240822001</v>
      </c>
      <c r="D374" s="1"/>
      <c r="E374" s="1"/>
      <c r="F374" s="13" t="str">
        <v>20260514000</v>
      </c>
    </row>
    <row r="375" spans="1:6">
      <c r="A375" s="1" t="s">
        <v>3118</v>
      </c>
      <c r="B375" s="1" t="s">
        <v>2194</v>
      </c>
      <c r="C375" s="10" t="str">
        <v>20240822003</v>
      </c>
      <c r="D375" s="1"/>
      <c r="E375" s="1"/>
      <c r="F375" s="13" t="str">
        <v>20260515000</v>
      </c>
    </row>
    <row r="376" spans="1:6">
      <c r="A376" s="1" t="s">
        <v>3141</v>
      </c>
      <c r="B376" s="1" t="s">
        <v>2196</v>
      </c>
      <c r="C376" s="10" t="str">
        <v>20240822004</v>
      </c>
      <c r="D376" s="1"/>
      <c r="E376" s="1"/>
      <c r="F376" s="13" t="str">
        <v>20260518000</v>
      </c>
    </row>
    <row r="377" spans="1:6">
      <c r="A377" s="1" t="s">
        <v>3152</v>
      </c>
      <c r="B377" s="1" t="s">
        <v>2209</v>
      </c>
      <c r="C377" s="10" t="str">
        <v>20240823000</v>
      </c>
      <c r="D377" s="1"/>
      <c r="E377" s="1"/>
      <c r="F377" s="13" t="str">
        <v>20260520000</v>
      </c>
    </row>
    <row r="378" spans="1:6">
      <c r="A378" s="1" t="s">
        <v>3148</v>
      </c>
      <c r="B378" s="1" t="s">
        <v>2220</v>
      </c>
      <c r="C378" s="10" t="str">
        <v>20240823003</v>
      </c>
      <c r="D378" s="1"/>
      <c r="E378" s="1"/>
      <c r="F378" s="13" t="str">
        <v>20260520001</v>
      </c>
    </row>
    <row r="379" spans="1:6">
      <c r="A379" s="1" t="s">
        <v>3125</v>
      </c>
      <c r="B379" s="1" t="s">
        <v>2225</v>
      </c>
      <c r="C379" s="10" t="str">
        <v>20240826002</v>
      </c>
      <c r="D379" s="1"/>
      <c r="E379" s="1"/>
      <c r="F379" s="13" t="str">
        <v>20260522000</v>
      </c>
    </row>
    <row r="380" spans="1:6">
      <c r="A380" s="1" t="s">
        <v>3133</v>
      </c>
      <c r="B380" s="1" t="s">
        <v>2211</v>
      </c>
      <c r="C380" s="10" t="str">
        <v>20240826005</v>
      </c>
      <c r="D380" s="1"/>
      <c r="E380" s="1"/>
      <c r="F380" s="13" t="str">
        <v>20260522001</v>
      </c>
    </row>
    <row r="381" spans="1:6">
      <c r="A381" s="1" t="s">
        <v>3127</v>
      </c>
      <c r="B381" s="1" t="s">
        <v>2242</v>
      </c>
      <c r="C381" s="10" t="str">
        <v>20240826012</v>
      </c>
      <c r="D381" s="1"/>
      <c r="E381" s="1"/>
      <c r="F381" s="13" t="str">
        <v>20260526000</v>
      </c>
    </row>
    <row r="382" spans="1:6">
      <c r="A382" s="1" t="s">
        <v>3169</v>
      </c>
      <c r="B382" s="1" t="s">
        <v>2226</v>
      </c>
      <c r="C382" s="10" t="str">
        <v>20240827002</v>
      </c>
      <c r="D382" s="1"/>
      <c r="E382" s="1"/>
      <c r="F382" s="13" t="str">
        <v>20260529001</v>
      </c>
    </row>
    <row r="383" spans="1:6">
      <c r="A383" s="1" t="s">
        <v>3163</v>
      </c>
      <c r="B383" s="1" t="s">
        <v>2251</v>
      </c>
      <c r="C383" s="10" t="str">
        <v>20240829001</v>
      </c>
      <c r="D383" s="1"/>
      <c r="E383" s="1"/>
      <c r="F383" s="13" t="str">
        <v>20260529004</v>
      </c>
    </row>
    <row r="384" spans="1:6">
      <c r="A384" s="1" t="s">
        <v>3176</v>
      </c>
      <c r="B384" s="1" t="s">
        <v>2261</v>
      </c>
      <c r="C384" s="10" t="str">
        <v>20240829005</v>
      </c>
      <c r="D384" s="1"/>
      <c r="E384" s="1"/>
      <c r="F384" s="13" t="str">
        <v>20260529005</v>
      </c>
    </row>
    <row r="385" spans="1:6">
      <c r="A385" s="1" t="s">
        <v>3185</v>
      </c>
      <c r="B385" s="1" t="s">
        <v>2264</v>
      </c>
      <c r="C385" s="10" t="str">
        <v>20240830001</v>
      </c>
      <c r="D385" s="1"/>
      <c r="E385" s="1"/>
      <c r="F385" s="13" t="str">
        <v>20260602000</v>
      </c>
    </row>
    <row r="386" spans="1:6">
      <c r="A386" s="1" t="s">
        <v>3193</v>
      </c>
      <c r="B386" s="1" t="s">
        <v>2270</v>
      </c>
      <c r="C386" s="10" t="str">
        <v>20240902000</v>
      </c>
      <c r="D386" s="1"/>
      <c r="E386" s="1"/>
      <c r="F386" s="13" t="str">
        <v>20260602001</v>
      </c>
    </row>
    <row r="387" spans="1:6">
      <c r="A387" s="1" t="s">
        <v>3201</v>
      </c>
      <c r="B387" s="1" t="s">
        <v>2278</v>
      </c>
      <c r="C387" s="10" t="str">
        <v>20240902002</v>
      </c>
      <c r="D387" s="1"/>
      <c r="E387" s="1"/>
      <c r="F387" s="13" t="str">
        <v>20260603000</v>
      </c>
    </row>
    <row r="388" spans="1:6">
      <c r="A388" s="1" t="s">
        <v>3215</v>
      </c>
      <c r="B388" s="1" t="s">
        <v>2280</v>
      </c>
      <c r="C388" s="10" t="str">
        <v>20240903000</v>
      </c>
      <c r="D388" s="1"/>
      <c r="E388" s="1"/>
      <c r="F388" s="13" t="str">
        <v>20260604000</v>
      </c>
    </row>
    <row r="389" spans="1:6">
      <c r="A389" s="1" t="s">
        <v>3205</v>
      </c>
      <c r="B389" s="1" t="s">
        <v>2283</v>
      </c>
      <c r="C389" s="10" t="str">
        <v>20240910000</v>
      </c>
      <c r="D389" s="1"/>
      <c r="E389" s="1"/>
      <c r="F389" s="13" t="str">
        <v>20260605001</v>
      </c>
    </row>
    <row r="390" spans="1:6">
      <c r="A390" s="1" t="s">
        <v>3220</v>
      </c>
      <c r="B390" s="1" t="s">
        <v>2286</v>
      </c>
      <c r="C390" s="10" t="str">
        <v>20240910001</v>
      </c>
      <c r="D390" s="1"/>
      <c r="E390" s="1"/>
      <c r="F390" s="13" t="str">
        <v>20260608001</v>
      </c>
    </row>
    <row r="391" spans="1:6">
      <c r="A391" s="1" t="s">
        <v>3229</v>
      </c>
      <c r="B391" s="1" t="s">
        <v>2294</v>
      </c>
      <c r="C391" s="10" t="str">
        <v>20240910002</v>
      </c>
      <c r="D391" s="1"/>
      <c r="E391" s="1"/>
      <c r="F391" s="13" t="str">
        <v>20260609002</v>
      </c>
    </row>
    <row r="392" spans="1:6">
      <c r="A392" s="1" t="s">
        <v>3247</v>
      </c>
      <c r="B392" s="1" t="s">
        <v>2296</v>
      </c>
      <c r="C392" s="10" t="str">
        <v>20240911001</v>
      </c>
      <c r="D392" s="1"/>
      <c r="E392" s="1"/>
      <c r="F392" s="13" t="str">
        <v>20260611002</v>
      </c>
    </row>
    <row r="393" spans="1:6">
      <c r="A393" s="1" t="s">
        <v>3254</v>
      </c>
      <c r="B393" s="1" t="s">
        <v>2299</v>
      </c>
      <c r="C393" s="10" t="str">
        <v>20240911002</v>
      </c>
      <c r="D393" s="1"/>
      <c r="E393" s="1"/>
      <c r="F393" s="13" t="str">
        <v>20260612001</v>
      </c>
    </row>
    <row r="394" spans="1:6">
      <c r="A394" s="1" t="s">
        <v>3268</v>
      </c>
      <c r="B394" s="1" t="s">
        <v>2304</v>
      </c>
      <c r="C394" s="10" t="str">
        <v>20240912000</v>
      </c>
      <c r="D394" s="1"/>
      <c r="E394" s="1"/>
      <c r="F394" s="13" t="str">
        <v>20260612002</v>
      </c>
    </row>
    <row r="395" spans="1:6">
      <c r="A395" s="1" t="s">
        <v>3274</v>
      </c>
      <c r="B395" s="1" t="s">
        <v>2310</v>
      </c>
      <c r="C395" s="10" t="str">
        <v>20240921001</v>
      </c>
      <c r="D395" s="1"/>
      <c r="E395" s="1"/>
      <c r="F395" s="13" t="str">
        <v>20260615000</v>
      </c>
    </row>
    <row r="396" spans="1:6">
      <c r="A396" s="1" t="s">
        <v>3280</v>
      </c>
      <c r="B396" s="1" t="s">
        <v>2313</v>
      </c>
      <c r="C396" s="10" t="str">
        <v>20240922001</v>
      </c>
      <c r="D396" s="1"/>
      <c r="E396" s="1"/>
      <c r="F396" s="13" t="str">
        <v>20260615001</v>
      </c>
    </row>
    <row r="397" spans="1:6">
      <c r="A397" s="1" t="s">
        <v>3310</v>
      </c>
      <c r="B397" s="1" t="s">
        <v>2324</v>
      </c>
      <c r="C397" s="10" t="str">
        <v>20240923004</v>
      </c>
      <c r="D397" s="1"/>
      <c r="E397" s="1"/>
      <c r="F397" s="13" t="str">
        <v>20260617000</v>
      </c>
    </row>
    <row r="398" spans="1:6">
      <c r="A398" s="1" t="s">
        <v>3306</v>
      </c>
      <c r="B398" s="1" t="s">
        <v>2329</v>
      </c>
      <c r="C398" s="10" t="str">
        <v>20240923006</v>
      </c>
      <c r="D398" s="1"/>
      <c r="E398" s="1"/>
      <c r="F398" s="13" t="str">
        <v>20260617001</v>
      </c>
    </row>
    <row r="399" spans="1:6">
      <c r="A399" s="1" t="s">
        <v>3325</v>
      </c>
      <c r="B399" s="1" t="s">
        <v>2334</v>
      </c>
      <c r="C399" s="10" t="str">
        <v>20240923007</v>
      </c>
      <c r="D399" s="1"/>
      <c r="E399" s="1"/>
      <c r="F399" s="13" t="str">
        <v>20260618000</v>
      </c>
    </row>
    <row r="400" spans="1:6">
      <c r="A400" s="1" t="s">
        <v>3334</v>
      </c>
      <c r="B400" s="1" t="s">
        <v>2340</v>
      </c>
      <c r="C400" s="10" t="str">
        <v>20240930001</v>
      </c>
      <c r="D400" s="1"/>
      <c r="E400" s="1"/>
      <c r="F400" s="13" t="str">
        <v>20260629004</v>
      </c>
    </row>
    <row r="401" spans="1:6">
      <c r="A401" s="1" t="s">
        <v>3329</v>
      </c>
      <c r="B401" s="1" t="s">
        <v>2347</v>
      </c>
      <c r="C401" s="10" t="str">
        <v>20240930002</v>
      </c>
      <c r="D401" s="1"/>
      <c r="E401" s="1"/>
      <c r="F401" s="13" t="str">
        <v>20260630001</v>
      </c>
    </row>
    <row r="402" spans="1:6">
      <c r="A402" s="1" t="s">
        <v>3347</v>
      </c>
      <c r="B402" s="1" t="s">
        <v>2349</v>
      </c>
      <c r="C402" s="10" t="str">
        <v>20240930003</v>
      </c>
      <c r="D402" s="1"/>
      <c r="E402" s="1"/>
      <c r="F402" s="13" t="str">
        <v>20260702000</v>
      </c>
    </row>
    <row r="403" spans="1:6">
      <c r="A403" s="1" t="s">
        <v>3355</v>
      </c>
      <c r="B403" s="1" t="s">
        <v>2342</v>
      </c>
      <c r="C403" s="10" t="str">
        <v>20240930007</v>
      </c>
      <c r="D403" s="1"/>
      <c r="E403" s="1"/>
      <c r="F403" s="13" t="str">
        <v>20260702002</v>
      </c>
    </row>
    <row r="404" spans="1:6">
      <c r="A404" s="1" t="s">
        <v>3371</v>
      </c>
      <c r="B404" s="1" t="s">
        <v>2357</v>
      </c>
      <c r="C404" s="10" t="str">
        <v>20240930009</v>
      </c>
      <c r="D404" s="1"/>
      <c r="E404" s="1"/>
      <c r="F404" s="13" t="str">
        <v>20260707000</v>
      </c>
    </row>
    <row r="405" spans="1:6">
      <c r="A405" s="1" t="s">
        <v>3380</v>
      </c>
      <c r="B405" s="1" t="s">
        <v>2363</v>
      </c>
      <c r="C405" s="10" t="str">
        <v>20241001000</v>
      </c>
      <c r="D405" s="1"/>
      <c r="E405" s="1"/>
      <c r="F405" s="13" t="str">
        <v>20260707002</v>
      </c>
    </row>
    <row r="406" spans="1:6">
      <c r="A406" s="1" t="s">
        <v>3388</v>
      </c>
      <c r="B406" s="1" t="s">
        <v>2365</v>
      </c>
      <c r="C406" s="10" t="str">
        <v>20241001001</v>
      </c>
      <c r="D406" s="1"/>
      <c r="E406" s="1"/>
      <c r="F406" s="13" t="str">
        <v>20260709000</v>
      </c>
    </row>
    <row r="407" spans="1:6">
      <c r="A407" s="1" t="s">
        <v>3394</v>
      </c>
      <c r="B407" s="1" t="s">
        <v>2368</v>
      </c>
      <c r="C407" s="10" t="str">
        <v>20241001003</v>
      </c>
      <c r="D407" s="1"/>
      <c r="E407" s="1"/>
      <c r="F407" s="13" t="str">
        <v>20260710000</v>
      </c>
    </row>
    <row r="408" spans="1:6">
      <c r="A408" s="1" t="s">
        <v>3402</v>
      </c>
      <c r="B408" s="1" t="s">
        <v>2386</v>
      </c>
      <c r="C408" s="10" t="str">
        <v>20241004001</v>
      </c>
      <c r="D408" s="1"/>
      <c r="E408" s="1"/>
      <c r="F408" s="13" t="str">
        <v>20260713002</v>
      </c>
    </row>
    <row r="409" spans="1:6">
      <c r="A409" s="1" t="s">
        <v>3430</v>
      </c>
      <c r="B409" s="1" t="s">
        <v>2388</v>
      </c>
      <c r="C409" s="10" t="str">
        <v>20241004002</v>
      </c>
      <c r="D409" s="1"/>
      <c r="E409" s="1"/>
      <c r="F409" s="13" t="str">
        <v>20260717000</v>
      </c>
    </row>
    <row r="410" spans="1:6">
      <c r="A410" s="1" t="s">
        <v>3444</v>
      </c>
      <c r="B410" s="1" t="s">
        <v>2390</v>
      </c>
      <c r="C410" s="10" t="str">
        <v>20241007002</v>
      </c>
      <c r="D410" s="1"/>
      <c r="E410" s="1"/>
      <c r="F410" s="13" t="str">
        <v>20260721000</v>
      </c>
    </row>
    <row r="411" spans="1:6">
      <c r="A411" s="1" t="s">
        <v>3451</v>
      </c>
      <c r="B411" s="1" t="s">
        <v>2398</v>
      </c>
      <c r="C411" s="10" t="str">
        <v>20241010000</v>
      </c>
      <c r="D411" s="1"/>
      <c r="E411" s="1"/>
      <c r="F411" s="13" t="str">
        <v>20260730000</v>
      </c>
    </row>
    <row r="412" spans="1:6">
      <c r="A412" s="1" t="s">
        <v>3452</v>
      </c>
      <c r="B412" s="1" t="s">
        <v>2400</v>
      </c>
      <c r="C412" s="10" t="str">
        <v>20241014000</v>
      </c>
      <c r="D412" s="1"/>
      <c r="E412" s="1"/>
      <c r="F412" s="13" t="str">
        <v>20260730001</v>
      </c>
    </row>
    <row r="413" spans="1:6">
      <c r="A413" s="1" t="s">
        <v>3465</v>
      </c>
      <c r="B413" s="1" t="s">
        <v>2403</v>
      </c>
      <c r="C413" s="10" t="str">
        <v>20241015000</v>
      </c>
      <c r="D413" s="1"/>
      <c r="E413" s="1"/>
      <c r="F413" s="13" t="str">
        <v>20260803000</v>
      </c>
    </row>
    <row r="414" spans="1:6">
      <c r="A414" s="1" t="s">
        <v>3478</v>
      </c>
      <c r="B414" s="1" t="s">
        <v>2419</v>
      </c>
      <c r="C414" s="10" t="str">
        <v>20241015001</v>
      </c>
      <c r="D414" s="1"/>
      <c r="E414" s="1"/>
      <c r="F414" s="13" t="str">
        <v>20260803001</v>
      </c>
    </row>
    <row r="415" spans="1:6">
      <c r="A415" s="1" t="s">
        <v>3489</v>
      </c>
      <c r="B415" s="1" t="s">
        <v>2414</v>
      </c>
      <c r="C415" s="10" t="str">
        <v>20241015002</v>
      </c>
      <c r="D415" s="1"/>
      <c r="E415" s="1"/>
      <c r="F415" s="13" t="str">
        <v>20260805000</v>
      </c>
    </row>
    <row r="416" spans="1:6">
      <c r="A416" s="1" t="s">
        <v>3483</v>
      </c>
      <c r="B416" s="1" t="s">
        <v>2425</v>
      </c>
      <c r="C416" s="10" t="str">
        <v>20241015003</v>
      </c>
      <c r="D416" s="1"/>
      <c r="E416" s="1"/>
      <c r="F416" s="13" t="str">
        <v>20260806001</v>
      </c>
    </row>
    <row r="417" spans="1:6">
      <c r="A417" s="1" t="s">
        <v>3499</v>
      </c>
      <c r="B417" s="1" t="s">
        <v>2431</v>
      </c>
      <c r="C417" s="10" t="str">
        <v>20241015004</v>
      </c>
      <c r="D417" s="1"/>
      <c r="E417" s="1"/>
      <c r="F417" s="13" t="str">
        <v>20260806004</v>
      </c>
    </row>
    <row r="418" spans="1:6">
      <c r="A418" s="1" t="s">
        <v>3494</v>
      </c>
      <c r="B418" s="1" t="s">
        <v>2437</v>
      </c>
      <c r="C418" s="10" t="str">
        <v>20241022000</v>
      </c>
      <c r="D418" s="1"/>
      <c r="E418" s="1"/>
      <c r="F418" s="13"/>
    </row>
    <row r="419" spans="1:6">
      <c r="A419" s="1" t="s">
        <v>3507</v>
      </c>
      <c r="B419" s="1" t="s">
        <v>2440</v>
      </c>
      <c r="C419" s="10" t="str">
        <v>20241022002</v>
      </c>
      <c r="D419" s="1"/>
      <c r="E419" s="1"/>
      <c r="F419" s="13"/>
    </row>
    <row r="420" spans="1:6">
      <c r="A420" s="1" t="s">
        <v>3547</v>
      </c>
      <c r="B420" s="1" t="s">
        <v>2454</v>
      </c>
      <c r="C420" s="10" t="str">
        <v>20241028000</v>
      </c>
      <c r="D420" s="1"/>
      <c r="E420" s="1"/>
      <c r="F420" s="1"/>
    </row>
    <row r="421" spans="1:6">
      <c r="A421" s="1" t="s">
        <v>3567</v>
      </c>
      <c r="B421" s="1" t="s">
        <v>2460</v>
      </c>
      <c r="C421" s="10" t="str">
        <v>20241030002</v>
      </c>
      <c r="D421" s="1"/>
      <c r="E421" s="1"/>
      <c r="F421" s="1"/>
    </row>
    <row r="422" spans="1:6">
      <c r="A422" s="1" t="s">
        <v>3561</v>
      </c>
      <c r="B422" s="1" t="s">
        <v>2468</v>
      </c>
      <c r="C422" s="10" t="str">
        <v>20241101000</v>
      </c>
      <c r="D422" s="1"/>
      <c r="E422" s="1"/>
      <c r="F422" s="1"/>
    </row>
    <row r="423" spans="1:6">
      <c r="A423" s="1" t="s">
        <v>3578</v>
      </c>
      <c r="B423" s="1" t="s">
        <v>2470</v>
      </c>
      <c r="C423" s="10" t="str">
        <v>20241101001</v>
      </c>
      <c r="D423" s="1"/>
      <c r="E423" s="1"/>
      <c r="F423" s="1"/>
    </row>
    <row r="424" spans="1:6">
      <c r="A424" s="1" t="s">
        <v>3586</v>
      </c>
      <c r="B424" s="1" t="s">
        <v>2471</v>
      </c>
      <c r="C424" s="10" t="str">
        <v>20241104000</v>
      </c>
      <c r="D424" s="1"/>
      <c r="E424" s="1"/>
      <c r="F424" s="1"/>
    </row>
    <row r="425" spans="1:6">
      <c r="A425" s="1" t="s">
        <v>3592</v>
      </c>
      <c r="B425" s="1" t="s">
        <v>2474</v>
      </c>
      <c r="C425" s="10" t="str">
        <v>20241106000</v>
      </c>
      <c r="D425" s="1"/>
      <c r="E425" s="1"/>
      <c r="F425" s="1"/>
    </row>
    <row r="426" spans="1:6">
      <c r="A426" s="1" t="s">
        <v>3597</v>
      </c>
      <c r="B426" s="1" t="s">
        <v>2476</v>
      </c>
      <c r="C426" s="10" t="str">
        <v>20241108001</v>
      </c>
      <c r="D426" s="1"/>
      <c r="E426" s="1"/>
      <c r="F426" s="1"/>
    </row>
    <row r="427" spans="1:6">
      <c r="A427" s="1" t="s">
        <v>3608</v>
      </c>
      <c r="B427" s="1" t="s">
        <v>2488</v>
      </c>
      <c r="C427" s="10" t="str">
        <v>20241112000</v>
      </c>
      <c r="D427" s="1"/>
      <c r="E427" s="1"/>
      <c r="F427" s="1"/>
    </row>
    <row r="428" spans="1:6">
      <c r="A428" s="1" t="s">
        <v>3620</v>
      </c>
      <c r="B428" s="1" t="s">
        <v>2483</v>
      </c>
      <c r="C428" s="10" t="str">
        <v>20241115000</v>
      </c>
      <c r="D428" s="1"/>
      <c r="E428" s="1"/>
      <c r="F428" s="1"/>
    </row>
    <row r="429" spans="1:6">
      <c r="A429" s="1" t="s">
        <v>3652</v>
      </c>
      <c r="B429" s="1" t="s">
        <v>2504</v>
      </c>
      <c r="C429" s="10" t="str">
        <v>20241115002</v>
      </c>
      <c r="D429" s="1"/>
      <c r="E429" s="1"/>
      <c r="F429" s="1"/>
    </row>
    <row r="430" spans="1:6">
      <c r="A430" s="1" t="s">
        <v>3667</v>
      </c>
      <c r="B430" s="1" t="s">
        <v>2529</v>
      </c>
      <c r="C430" s="10" t="str">
        <v>20241115003</v>
      </c>
      <c r="D430" s="1"/>
      <c r="E430" s="1"/>
      <c r="F430" s="1"/>
    </row>
    <row r="431" spans="1:6">
      <c r="A431" s="1" t="s">
        <v>3675</v>
      </c>
      <c r="B431" s="1" t="s">
        <v>2535</v>
      </c>
      <c r="C431" s="10" t="str">
        <v>20241115004</v>
      </c>
      <c r="D431" s="1"/>
      <c r="E431" s="1"/>
      <c r="F431" s="1"/>
    </row>
    <row r="432" spans="1:6">
      <c r="A432" s="1" t="s">
        <v>3688</v>
      </c>
      <c r="B432" s="1" t="s">
        <v>2538</v>
      </c>
      <c r="C432" s="10" t="str">
        <v>20241115007</v>
      </c>
      <c r="D432" s="1"/>
      <c r="E432" s="1"/>
      <c r="F432" s="1"/>
    </row>
    <row r="433" spans="1:6">
      <c r="A433" s="1" t="s">
        <v>3728</v>
      </c>
      <c r="B433" s="1" t="s">
        <v>2540</v>
      </c>
      <c r="C433" s="10" t="str">
        <v>20241115008</v>
      </c>
      <c r="D433" s="1"/>
      <c r="E433" s="1"/>
      <c r="F433" s="1"/>
    </row>
    <row r="434" spans="1:6">
      <c r="A434" s="1" t="s">
        <v>3735</v>
      </c>
      <c r="B434" s="1" t="s">
        <v>2549</v>
      </c>
      <c r="C434" s="10" t="str">
        <v>20241119001</v>
      </c>
      <c r="D434" s="1"/>
      <c r="E434" s="1"/>
      <c r="F434" s="1"/>
    </row>
    <row r="435" spans="1:6">
      <c r="A435" s="1" t="s">
        <v>3762</v>
      </c>
      <c r="B435" s="1" t="s">
        <v>2551</v>
      </c>
      <c r="C435" s="10" t="str">
        <v>20241119002</v>
      </c>
      <c r="D435" s="1"/>
      <c r="E435" s="1"/>
      <c r="F435" s="1"/>
    </row>
    <row r="436" spans="1:6">
      <c r="A436" s="1" t="s">
        <v>3774</v>
      </c>
      <c r="B436" s="1" t="s">
        <v>2555</v>
      </c>
      <c r="C436" s="10" t="str">
        <v>20241119003</v>
      </c>
      <c r="D436" s="1"/>
      <c r="E436" s="1"/>
      <c r="F436" s="1"/>
    </row>
    <row r="437" spans="1:6">
      <c r="A437" s="1" t="s">
        <v>3786</v>
      </c>
      <c r="B437" s="1" t="s">
        <v>2557</v>
      </c>
      <c r="C437" s="10" t="str">
        <v>20241119005</v>
      </c>
      <c r="D437" s="1"/>
      <c r="E437" s="1"/>
      <c r="F437" s="1"/>
    </row>
    <row r="438" spans="1:6">
      <c r="A438" s="1" t="s">
        <v>3800</v>
      </c>
      <c r="B438" s="1" t="s">
        <v>2562</v>
      </c>
      <c r="C438" s="10" t="str">
        <v>20241119006</v>
      </c>
      <c r="D438" s="1"/>
      <c r="E438" s="1"/>
      <c r="F438" s="1"/>
    </row>
    <row r="439" spans="1:6">
      <c r="A439" s="1" t="s">
        <v>3807</v>
      </c>
      <c r="B439" s="1" t="s">
        <v>2564</v>
      </c>
      <c r="C439" s="10" t="str">
        <v>20241119007</v>
      </c>
      <c r="D439" s="1"/>
      <c r="E439" s="1"/>
      <c r="F439" s="1"/>
    </row>
    <row r="440" spans="1:6">
      <c r="A440" s="1" t="s">
        <v>3837</v>
      </c>
      <c r="B440" s="1" t="s">
        <v>2566</v>
      </c>
      <c r="C440" s="10" t="str">
        <v>20241119008</v>
      </c>
      <c r="D440" s="1"/>
      <c r="E440" s="1"/>
      <c r="F440" s="1"/>
    </row>
    <row r="441" spans="1:6">
      <c r="A441" s="10"/>
      <c r="B441" s="1" t="s">
        <v>2572</v>
      </c>
      <c r="C441" s="10" t="str">
        <v>20241119009</v>
      </c>
      <c r="D441" s="1"/>
      <c r="E441" s="1"/>
      <c r="F441" s="1"/>
    </row>
    <row r="442" spans="1:6">
      <c r="A442" s="10"/>
      <c r="B442" s="1" t="s">
        <v>2574</v>
      </c>
      <c r="C442" s="10" t="str">
        <v>20241204001</v>
      </c>
      <c r="D442" s="1"/>
      <c r="E442" s="1"/>
      <c r="F442" s="1"/>
    </row>
    <row r="443" spans="1:6">
      <c r="A443" s="10"/>
      <c r="B443" s="1" t="s">
        <v>2582</v>
      </c>
      <c r="C443" s="10" t="str">
        <v>20241205000</v>
      </c>
      <c r="D443" s="1"/>
      <c r="E443" s="1"/>
      <c r="F443" s="1"/>
    </row>
    <row r="444" spans="1:6">
      <c r="A444" s="10"/>
      <c r="B444" s="1" t="s">
        <v>2590</v>
      </c>
      <c r="C444" s="10" t="str">
        <v>20241205001</v>
      </c>
      <c r="D444" s="1"/>
      <c r="E444" s="1"/>
      <c r="F444" s="1"/>
    </row>
    <row r="445" spans="1:6">
      <c r="A445" s="10"/>
      <c r="B445" s="1" t="s">
        <v>2596</v>
      </c>
      <c r="C445" s="10" t="str">
        <v>20241209000</v>
      </c>
      <c r="D445" s="1"/>
      <c r="E445" s="1"/>
      <c r="F445" s="1"/>
    </row>
    <row r="446" spans="1:6">
      <c r="A446" s="10"/>
      <c r="B446" s="1" t="s">
        <v>2598</v>
      </c>
      <c r="C446" s="10" t="str">
        <v>20241209001</v>
      </c>
      <c r="D446" s="1"/>
      <c r="E446" s="1"/>
      <c r="F446" s="1"/>
    </row>
    <row r="447" spans="1:6">
      <c r="A447" s="10"/>
      <c r="B447" s="1" t="s">
        <v>2600</v>
      </c>
      <c r="C447" s="10" t="str">
        <v>20241211000</v>
      </c>
      <c r="D447" s="1"/>
      <c r="E447" s="1"/>
      <c r="F447" s="1"/>
    </row>
    <row r="448" spans="1:6">
      <c r="A448" s="10"/>
      <c r="B448" s="1" t="s">
        <v>2610</v>
      </c>
      <c r="C448" s="10" t="str">
        <v>20241213000</v>
      </c>
      <c r="D448" s="1"/>
      <c r="E448" s="1"/>
      <c r="F448" s="1"/>
    </row>
    <row r="449" spans="1:6">
      <c r="A449" s="10"/>
      <c r="B449" s="1" t="s">
        <v>2615</v>
      </c>
      <c r="C449" s="10" t="str">
        <v>20241217001</v>
      </c>
      <c r="D449" s="1"/>
      <c r="E449" s="1"/>
      <c r="F449" s="1"/>
    </row>
    <row r="450" spans="1:6">
      <c r="A450" s="10"/>
      <c r="B450" s="1" t="s">
        <v>2620</v>
      </c>
      <c r="C450" s="10" t="str">
        <v>20241217002</v>
      </c>
      <c r="D450" s="1"/>
      <c r="E450" s="1"/>
      <c r="F450" s="1"/>
    </row>
    <row r="451" spans="1:6">
      <c r="A451" s="10"/>
      <c r="B451" s="1" t="s">
        <v>2627</v>
      </c>
      <c r="C451" s="10" t="str">
        <v>20241217003</v>
      </c>
      <c r="D451" s="1"/>
      <c r="E451" s="1"/>
      <c r="F451" s="1"/>
    </row>
    <row r="452" spans="1:6">
      <c r="A452" s="10"/>
      <c r="B452" s="1" t="s">
        <v>2630</v>
      </c>
      <c r="C452" s="10" t="str">
        <v>20241217004</v>
      </c>
      <c r="D452" s="1"/>
      <c r="E452" s="1"/>
      <c r="F452" s="1"/>
    </row>
    <row r="453" spans="1:6">
      <c r="A453" s="10"/>
      <c r="B453" s="1" t="s">
        <v>2639</v>
      </c>
      <c r="C453" s="10" t="str">
        <v>20241217009</v>
      </c>
      <c r="D453" s="1"/>
      <c r="E453" s="1"/>
      <c r="F453" s="1"/>
    </row>
    <row r="454" spans="1:6">
      <c r="A454" s="10"/>
      <c r="B454" s="1" t="s">
        <v>2644</v>
      </c>
      <c r="C454" s="10" t="str">
        <v>20241217016</v>
      </c>
      <c r="D454" s="1"/>
      <c r="E454" s="1"/>
      <c r="F454" s="1"/>
    </row>
    <row r="455" spans="1:6">
      <c r="A455" s="10"/>
      <c r="B455" s="1" t="s">
        <v>2649</v>
      </c>
      <c r="C455" s="10" t="str">
        <v>20241217019</v>
      </c>
      <c r="D455" s="1"/>
      <c r="E455" s="1"/>
      <c r="F455" s="1"/>
    </row>
    <row r="456" spans="1:6">
      <c r="A456" s="10"/>
      <c r="B456" s="1" t="s">
        <v>2655</v>
      </c>
      <c r="C456" s="10" t="str">
        <v>20241217020</v>
      </c>
      <c r="D456" s="1"/>
      <c r="E456" s="1"/>
      <c r="F456" s="1"/>
    </row>
    <row r="457" spans="1:6">
      <c r="A457" s="10"/>
      <c r="B457" s="1" t="s">
        <v>2667</v>
      </c>
      <c r="C457" s="10" t="str">
        <v>20241217021</v>
      </c>
      <c r="D457" s="1"/>
      <c r="E457" s="1"/>
      <c r="F457" s="1"/>
    </row>
    <row r="458" spans="1:6">
      <c r="A458" s="10"/>
      <c r="B458" s="1" t="s">
        <v>2674</v>
      </c>
      <c r="C458" s="10" t="str">
        <v>20241218001</v>
      </c>
      <c r="D458" s="1"/>
      <c r="E458" s="1"/>
      <c r="F458" s="1"/>
    </row>
    <row r="459" spans="1:6">
      <c r="A459" s="10"/>
      <c r="B459" s="1" t="s">
        <v>2687</v>
      </c>
      <c r="C459" s="10" t="str">
        <v>20241218003</v>
      </c>
      <c r="D459" s="1"/>
      <c r="E459" s="1"/>
      <c r="F459" s="1"/>
    </row>
    <row r="460" spans="1:6">
      <c r="A460" s="10"/>
      <c r="B460" s="1" t="s">
        <v>2693</v>
      </c>
      <c r="C460" s="10" t="str">
        <v>20241218004</v>
      </c>
      <c r="D460" s="1"/>
      <c r="E460" s="1"/>
      <c r="F460" s="1"/>
    </row>
    <row r="461" spans="1:6">
      <c r="A461" s="10"/>
      <c r="B461" s="1" t="s">
        <v>2699</v>
      </c>
      <c r="C461" s="10" t="str">
        <v>20241218005</v>
      </c>
      <c r="D461" s="1"/>
      <c r="E461" s="1"/>
      <c r="F461" s="1"/>
    </row>
    <row r="462" spans="1:6">
      <c r="A462" s="10"/>
      <c r="B462" s="1" t="s">
        <v>2706</v>
      </c>
      <c r="C462" s="10" t="str">
        <v>20241218006</v>
      </c>
      <c r="D462" s="1"/>
      <c r="E462" s="1"/>
      <c r="F462" s="1"/>
    </row>
    <row r="463" spans="1:6">
      <c r="A463" s="10"/>
      <c r="B463" s="1" t="s">
        <v>2731</v>
      </c>
      <c r="C463" s="10" t="str">
        <v>20241218007</v>
      </c>
      <c r="D463" s="1"/>
      <c r="E463" s="1"/>
      <c r="F463" s="1"/>
    </row>
    <row r="464" spans="1:6">
      <c r="A464" s="10"/>
      <c r="B464" s="1" t="s">
        <v>2726</v>
      </c>
      <c r="C464" s="10" t="str">
        <v>20241219000</v>
      </c>
      <c r="D464" s="1"/>
      <c r="E464" s="1"/>
      <c r="F464" s="1"/>
    </row>
    <row r="465" spans="1:6">
      <c r="A465" s="10"/>
      <c r="B465" s="1" t="s">
        <v>2736</v>
      </c>
      <c r="C465" s="10" t="str">
        <v>20241219001</v>
      </c>
      <c r="D465" s="1"/>
      <c r="E465" s="1"/>
      <c r="F465" s="1"/>
    </row>
    <row r="466" spans="1:6">
      <c r="A466" s="10"/>
      <c r="B466" s="1" t="s">
        <v>2744</v>
      </c>
      <c r="C466" s="10" t="str">
        <v>20241219003</v>
      </c>
      <c r="D466" s="1"/>
      <c r="E466" s="1"/>
      <c r="F466" s="1"/>
    </row>
    <row r="467" spans="1:6">
      <c r="A467" s="10"/>
      <c r="B467" s="1" t="s">
        <v>2752</v>
      </c>
      <c r="C467" s="10" t="str">
        <v>20241219004</v>
      </c>
      <c r="D467" s="1"/>
      <c r="E467" s="1"/>
      <c r="F467" s="1"/>
    </row>
    <row r="468" spans="1:6">
      <c r="A468" s="10"/>
      <c r="B468" s="1" t="s">
        <v>2754</v>
      </c>
      <c r="C468" s="10" t="str">
        <v>20241220000</v>
      </c>
      <c r="D468" s="1"/>
      <c r="E468" s="1"/>
      <c r="F468" s="1"/>
    </row>
    <row r="469" spans="1:6">
      <c r="A469" s="10"/>
      <c r="B469" s="1" t="s">
        <v>2763</v>
      </c>
      <c r="C469" s="10" t="str">
        <v>20241220002</v>
      </c>
      <c r="D469" s="1"/>
      <c r="E469" s="1"/>
      <c r="F469" s="1"/>
    </row>
    <row r="470" spans="1:6">
      <c r="A470" s="10"/>
      <c r="B470" s="1" t="s">
        <v>2769</v>
      </c>
      <c r="C470" s="10" t="str">
        <v>20241223001</v>
      </c>
      <c r="D470" s="1"/>
      <c r="E470" s="1"/>
      <c r="F470" s="1"/>
    </row>
    <row r="471" spans="1:6">
      <c r="A471" s="10"/>
      <c r="B471" s="1" t="s">
        <v>2772</v>
      </c>
      <c r="C471" s="10" t="str">
        <v>20241223002</v>
      </c>
      <c r="D471" s="1"/>
      <c r="E471" s="1"/>
      <c r="F471" s="1"/>
    </row>
    <row r="472" spans="1:6">
      <c r="A472" s="10"/>
      <c r="B472" s="1" t="s">
        <v>2778</v>
      </c>
      <c r="C472" s="10" t="str">
        <v>20241223006</v>
      </c>
      <c r="D472" s="1"/>
      <c r="E472" s="1"/>
      <c r="F472" s="1"/>
    </row>
    <row r="473" spans="1:6">
      <c r="A473" s="10"/>
      <c r="B473" s="1" t="s">
        <v>2784</v>
      </c>
      <c r="C473" s="10" t="str">
        <v>20241223007</v>
      </c>
      <c r="D473" s="1"/>
      <c r="E473" s="1"/>
      <c r="F473" s="1"/>
    </row>
    <row r="474" spans="1:6">
      <c r="A474" s="10"/>
      <c r="B474" s="1" t="s">
        <v>2786</v>
      </c>
      <c r="C474" s="10" t="str">
        <v>20241226000</v>
      </c>
      <c r="D474" s="1"/>
      <c r="E474" s="1"/>
      <c r="F474" s="1"/>
    </row>
    <row r="475" spans="1:6">
      <c r="A475" s="10"/>
      <c r="B475" s="1" t="s">
        <v>2791</v>
      </c>
      <c r="C475" s="10" t="str">
        <v>20241230000</v>
      </c>
      <c r="D475" s="1"/>
      <c r="E475" s="1"/>
      <c r="F475" s="1"/>
    </row>
    <row r="476" spans="1:6">
      <c r="A476" s="10"/>
      <c r="B476" s="1" t="s">
        <v>2798</v>
      </c>
      <c r="C476" s="10" t="str">
        <v>20241230001</v>
      </c>
      <c r="D476" s="1"/>
      <c r="E476" s="1"/>
      <c r="F476" s="1"/>
    </row>
    <row r="477" spans="1:6">
      <c r="A477" s="10"/>
      <c r="B477" s="1" t="s">
        <v>2810</v>
      </c>
      <c r="C477" s="10" t="str">
        <v>20250102000</v>
      </c>
      <c r="D477" s="1"/>
      <c r="E477" s="1"/>
      <c r="F477" s="1"/>
    </row>
    <row r="478" spans="1:6">
      <c r="A478" s="10"/>
      <c r="B478" s="1" t="s">
        <v>2816</v>
      </c>
      <c r="C478" s="10" t="str">
        <v>20250106000</v>
      </c>
      <c r="D478" s="1"/>
      <c r="E478" s="1"/>
      <c r="F478" s="1"/>
    </row>
    <row r="479" spans="1:6">
      <c r="A479" s="10"/>
      <c r="B479" s="1" t="s">
        <v>2822</v>
      </c>
      <c r="C479" s="10" t="str">
        <v>20250107000</v>
      </c>
      <c r="D479" s="1"/>
      <c r="E479" s="1"/>
      <c r="F479" s="1"/>
    </row>
    <row r="480" spans="1:6">
      <c r="A480" s="10"/>
      <c r="B480" s="1" t="s">
        <v>2833</v>
      </c>
      <c r="C480" s="10" t="str">
        <v>20250108001</v>
      </c>
      <c r="D480" s="1"/>
      <c r="E480" s="1"/>
      <c r="F480" s="1"/>
    </row>
    <row r="481" spans="1:6">
      <c r="A481" s="10"/>
      <c r="B481" s="1" t="s">
        <v>2845</v>
      </c>
      <c r="C481" s="10" t="str">
        <v>20250109000</v>
      </c>
      <c r="D481" s="1"/>
      <c r="E481" s="1"/>
      <c r="F481" s="1"/>
    </row>
    <row r="482" spans="1:6">
      <c r="A482" s="10"/>
      <c r="B482" s="1" t="s">
        <v>2855</v>
      </c>
      <c r="C482" s="10" t="str">
        <v>20250110000</v>
      </c>
      <c r="D482" s="1"/>
      <c r="E482" s="1"/>
      <c r="F482" s="1"/>
    </row>
    <row r="483" spans="1:6">
      <c r="A483" s="10"/>
      <c r="B483" s="1" t="s">
        <v>2857</v>
      </c>
      <c r="C483" s="10" t="str">
        <v>20250115001</v>
      </c>
      <c r="D483" s="1"/>
      <c r="E483" s="1"/>
      <c r="F483" s="1"/>
    </row>
    <row r="484" spans="1:6">
      <c r="A484" s="10"/>
      <c r="B484" s="1" t="s">
        <v>2858</v>
      </c>
      <c r="C484" s="10" t="str">
        <v>20250121001</v>
      </c>
      <c r="D484" s="1"/>
      <c r="E484" s="1"/>
      <c r="F484" s="1"/>
    </row>
    <row r="485" spans="1:6">
      <c r="A485" s="10"/>
      <c r="B485" s="1" t="s">
        <v>2861</v>
      </c>
      <c r="C485" s="10" t="str">
        <v>20250122001</v>
      </c>
      <c r="D485" s="1"/>
      <c r="E485" s="1"/>
      <c r="F485" s="1"/>
    </row>
    <row r="486" spans="1:6">
      <c r="A486" s="10"/>
      <c r="B486" s="1" t="s">
        <v>2863</v>
      </c>
      <c r="C486" s="10" t="str">
        <v>20250124000</v>
      </c>
      <c r="D486" s="1"/>
      <c r="E486" s="1"/>
      <c r="F486" s="1"/>
    </row>
    <row r="487" spans="1:6">
      <c r="A487" s="10"/>
      <c r="B487" s="1" t="s">
        <v>2869</v>
      </c>
      <c r="C487" s="10" t="str">
        <v>20250124001</v>
      </c>
      <c r="D487" s="1"/>
      <c r="E487" s="1"/>
      <c r="F487" s="1"/>
    </row>
    <row r="488" spans="1:6">
      <c r="A488" s="10"/>
      <c r="B488" s="1" t="s">
        <v>2870</v>
      </c>
      <c r="C488" s="10" t="str">
        <v>20250127004</v>
      </c>
      <c r="D488" s="1"/>
      <c r="E488" s="1"/>
      <c r="F488" s="1"/>
    </row>
    <row r="489" spans="1:6">
      <c r="A489" s="10"/>
      <c r="B489" s="1" t="s">
        <v>2872</v>
      </c>
      <c r="C489" s="10" t="str">
        <v>20250128002</v>
      </c>
      <c r="D489" s="1"/>
      <c r="E489" s="1"/>
      <c r="F489" s="1"/>
    </row>
    <row r="490" spans="1:6">
      <c r="A490" s="10"/>
      <c r="B490" s="1" t="s">
        <v>2874</v>
      </c>
      <c r="C490" s="10" t="str">
        <v>20250128003</v>
      </c>
      <c r="D490" s="1"/>
      <c r="E490" s="1"/>
      <c r="F490" s="1"/>
    </row>
    <row r="491" spans="1:6">
      <c r="A491" s="10"/>
      <c r="B491" s="1" t="s">
        <v>2876</v>
      </c>
      <c r="C491" s="10" t="str">
        <v>20250129001</v>
      </c>
      <c r="D491" s="1"/>
      <c r="E491" s="1"/>
      <c r="F491" s="1"/>
    </row>
    <row r="492" spans="1:6">
      <c r="A492" s="10"/>
      <c r="B492" s="1" t="s">
        <v>2878</v>
      </c>
      <c r="C492" s="10" t="str">
        <v>20250129002</v>
      </c>
      <c r="D492" s="1"/>
      <c r="E492" s="1"/>
      <c r="F492" s="1"/>
    </row>
    <row r="493" spans="1:6">
      <c r="A493" s="10"/>
      <c r="B493" s="1" t="s">
        <v>2887</v>
      </c>
      <c r="C493" s="10" t="str">
        <v>20250129004</v>
      </c>
      <c r="D493" s="1"/>
      <c r="E493" s="1"/>
      <c r="F493" s="1"/>
    </row>
    <row r="494" spans="1:6">
      <c r="A494" s="10"/>
      <c r="B494" s="1" t="s">
        <v>2892</v>
      </c>
      <c r="C494" s="10" t="str">
        <v>20250130000</v>
      </c>
      <c r="D494" s="1"/>
      <c r="E494" s="1"/>
      <c r="F494" s="1"/>
    </row>
    <row r="495" spans="1:6">
      <c r="A495" s="10"/>
      <c r="B495" s="1" t="s">
        <v>2893</v>
      </c>
      <c r="C495" s="10" t="str">
        <v>20250131001</v>
      </c>
      <c r="D495" s="1"/>
      <c r="E495" s="1"/>
      <c r="F495" s="1"/>
    </row>
    <row r="496" spans="1:6">
      <c r="A496" s="10"/>
      <c r="B496" s="1" t="s">
        <v>2894</v>
      </c>
      <c r="C496" s="10" t="str">
        <v>20250131002</v>
      </c>
      <c r="D496" s="1"/>
      <c r="E496" s="1"/>
      <c r="F496" s="1"/>
    </row>
    <row r="497" spans="1:6">
      <c r="A497" s="10"/>
      <c r="B497" s="1" t="s">
        <v>2909</v>
      </c>
      <c r="C497" s="10" t="str">
        <v>20250203006</v>
      </c>
      <c r="D497" s="1"/>
      <c r="E497" s="1"/>
      <c r="F497" s="1"/>
    </row>
    <row r="498" spans="1:6">
      <c r="A498" s="10"/>
      <c r="B498" s="1" t="s">
        <v>2904</v>
      </c>
      <c r="C498" s="10" t="str">
        <v>20250204000</v>
      </c>
      <c r="D498" s="1"/>
      <c r="E498" s="1"/>
      <c r="F498" s="1"/>
    </row>
    <row r="499" spans="1:6">
      <c r="A499" s="10"/>
      <c r="B499" s="1" t="s">
        <v>2912</v>
      </c>
      <c r="C499" s="10" t="str">
        <v>20250204001</v>
      </c>
      <c r="D499" s="1"/>
      <c r="E499" s="1"/>
      <c r="F499" s="1"/>
    </row>
    <row r="500" spans="1:6">
      <c r="A500" s="10"/>
      <c r="B500" s="1" t="s">
        <v>2919</v>
      </c>
      <c r="C500" s="10" t="str">
        <v>20250204002</v>
      </c>
      <c r="D500" s="1"/>
      <c r="E500" s="1"/>
      <c r="F500" s="1"/>
    </row>
    <row r="501" spans="1:6">
      <c r="A501" s="10"/>
      <c r="B501" s="1" t="s">
        <v>2921</v>
      </c>
      <c r="C501" s="10" t="str">
        <v>20250205000</v>
      </c>
      <c r="D501" s="1"/>
      <c r="E501" s="1"/>
      <c r="F501" s="1"/>
    </row>
    <row r="502" spans="1:6">
      <c r="A502" s="10"/>
      <c r="B502" s="1" t="s">
        <v>2923</v>
      </c>
      <c r="C502" s="10" t="str">
        <v>20250205001</v>
      </c>
      <c r="D502" s="1"/>
      <c r="E502" s="1"/>
      <c r="F502" s="1"/>
    </row>
    <row r="503" spans="1:6">
      <c r="A503" s="10"/>
      <c r="B503" s="1" t="s">
        <v>2935</v>
      </c>
      <c r="C503" s="10" t="str">
        <v>20250212004</v>
      </c>
      <c r="D503" s="1"/>
      <c r="E503" s="1"/>
      <c r="F503" s="1"/>
    </row>
    <row r="504" spans="1:6">
      <c r="A504" s="10"/>
      <c r="B504" s="1" t="s">
        <v>2938</v>
      </c>
      <c r="C504" s="10" t="str">
        <v>20250212005</v>
      </c>
      <c r="D504" s="1"/>
      <c r="E504" s="1"/>
      <c r="F504" s="1"/>
    </row>
    <row r="505" spans="1:6">
      <c r="A505" s="10"/>
      <c r="B505" s="1" t="s">
        <v>2948</v>
      </c>
      <c r="C505" s="10" t="str">
        <v>20250212007</v>
      </c>
      <c r="D505" s="1"/>
      <c r="E505" s="1"/>
      <c r="F505" s="1"/>
    </row>
    <row r="506" spans="1:6">
      <c r="A506" s="10"/>
      <c r="B506" s="1" t="s">
        <v>2950</v>
      </c>
      <c r="C506" s="10" t="str">
        <v>20250213001</v>
      </c>
      <c r="D506" s="1"/>
      <c r="E506" s="1"/>
      <c r="F506" s="1"/>
    </row>
    <row r="507" spans="1:6">
      <c r="A507" s="10"/>
      <c r="B507" s="1" t="s">
        <v>2958</v>
      </c>
      <c r="C507" s="10" t="str">
        <v>20250213002</v>
      </c>
      <c r="D507" s="1"/>
      <c r="E507" s="1"/>
      <c r="F507" s="1"/>
    </row>
    <row r="508" spans="1:6">
      <c r="A508" s="10"/>
      <c r="B508" s="1" t="s">
        <v>2961</v>
      </c>
      <c r="C508" s="10" t="str">
        <v>20250213003</v>
      </c>
      <c r="D508" s="1"/>
      <c r="E508" s="1"/>
      <c r="F508" s="1"/>
    </row>
    <row r="509" spans="1:6">
      <c r="A509" s="10"/>
      <c r="B509" s="1" t="s">
        <v>2962</v>
      </c>
      <c r="C509" s="10" t="str">
        <v>20250218000</v>
      </c>
      <c r="D509" s="1"/>
      <c r="E509" s="1"/>
      <c r="F509" s="1"/>
    </row>
    <row r="510" spans="1:6">
      <c r="A510" s="10"/>
      <c r="B510" s="1" t="s">
        <v>2964</v>
      </c>
      <c r="C510" s="10" t="str">
        <v>20250220000</v>
      </c>
      <c r="D510" s="1"/>
      <c r="E510" s="1"/>
      <c r="F510" s="1"/>
    </row>
    <row r="511" spans="1:6">
      <c r="A511" s="10"/>
      <c r="B511" s="1" t="s">
        <v>2966</v>
      </c>
      <c r="C511" s="10" t="str">
        <v>20250224000</v>
      </c>
      <c r="D511" s="1"/>
      <c r="E511" s="1"/>
      <c r="F511" s="1"/>
    </row>
    <row r="512" spans="1:6">
      <c r="A512" s="10"/>
      <c r="B512" s="1" t="s">
        <v>2982</v>
      </c>
      <c r="C512" s="10" t="str">
        <v>20250224001</v>
      </c>
      <c r="D512" s="1"/>
      <c r="E512" s="1"/>
      <c r="F512" s="1"/>
    </row>
    <row r="513" spans="1:6">
      <c r="A513" s="10"/>
      <c r="B513" s="1" t="s">
        <v>3003</v>
      </c>
      <c r="C513" s="10" t="str">
        <v>20250224004</v>
      </c>
      <c r="D513" s="1"/>
      <c r="E513" s="1"/>
      <c r="F513" s="1"/>
    </row>
    <row r="514" spans="1:6">
      <c r="A514" s="10"/>
      <c r="B514" s="1" t="s">
        <v>2998</v>
      </c>
      <c r="C514" s="10" t="str">
        <v>20250225000</v>
      </c>
      <c r="D514" s="1"/>
      <c r="E514" s="1"/>
      <c r="F514" s="1"/>
    </row>
    <row r="515" spans="1:6">
      <c r="A515" s="10"/>
      <c r="B515" s="1" t="s">
        <v>3006</v>
      </c>
      <c r="C515" s="10" t="str">
        <v>20250225001</v>
      </c>
      <c r="D515" s="1"/>
      <c r="E515" s="1"/>
      <c r="F515" s="1"/>
    </row>
    <row r="516" spans="1:6">
      <c r="A516" s="10"/>
      <c r="B516" s="1" t="s">
        <v>3009</v>
      </c>
      <c r="C516" s="10" t="str">
        <v>20250225004</v>
      </c>
      <c r="D516" s="1"/>
      <c r="E516" s="1"/>
      <c r="F516" s="1"/>
    </row>
    <row r="517" spans="1:6">
      <c r="A517" s="10"/>
      <c r="B517" s="1" t="s">
        <v>3020</v>
      </c>
      <c r="C517" s="10" t="str">
        <v>20250225005</v>
      </c>
      <c r="D517" s="1"/>
      <c r="E517" s="1"/>
      <c r="F517" s="1"/>
    </row>
    <row r="518" spans="1:6">
      <c r="A518" s="10"/>
      <c r="B518" s="1" t="s">
        <v>3026</v>
      </c>
      <c r="C518" s="10" t="str">
        <v>20250225006</v>
      </c>
      <c r="D518" s="1"/>
      <c r="E518" s="1"/>
      <c r="F518" s="1"/>
    </row>
    <row r="519" spans="1:6">
      <c r="A519" s="10"/>
      <c r="B519" s="1" t="s">
        <v>3038</v>
      </c>
      <c r="C519" s="10" t="str">
        <v>20250225007</v>
      </c>
      <c r="D519" s="1"/>
      <c r="E519" s="1"/>
      <c r="F519" s="1"/>
    </row>
    <row r="520" spans="1:6">
      <c r="A520" s="10"/>
      <c r="B520" s="1" t="s">
        <v>2977</v>
      </c>
      <c r="C520" s="10" t="str">
        <v>20250226000</v>
      </c>
      <c r="D520" s="1"/>
      <c r="E520" s="1"/>
      <c r="F520" s="1"/>
    </row>
    <row r="521" spans="1:6">
      <c r="A521" s="10"/>
      <c r="B521" s="1" t="s">
        <v>3044</v>
      </c>
      <c r="C521" s="10" t="str">
        <v>20250226003</v>
      </c>
      <c r="D521" s="1"/>
      <c r="E521" s="1"/>
      <c r="F521" s="1"/>
    </row>
    <row r="522" spans="1:6">
      <c r="A522" s="10"/>
      <c r="B522" s="1" t="s">
        <v>3047</v>
      </c>
      <c r="C522" s="10" t="str">
        <v>20250226008</v>
      </c>
      <c r="D522" s="1"/>
      <c r="E522" s="1"/>
      <c r="F522" s="1"/>
    </row>
    <row r="523" spans="1:6">
      <c r="A523" s="10"/>
      <c r="B523" s="1" t="s">
        <v>3056</v>
      </c>
      <c r="C523" s="10" t="str">
        <v>20250303001</v>
      </c>
      <c r="D523" s="1"/>
      <c r="E523" s="1"/>
      <c r="F523" s="1"/>
    </row>
    <row r="524" spans="1:6">
      <c r="A524" s="10"/>
      <c r="B524" s="1" t="s">
        <v>3059</v>
      </c>
      <c r="C524" s="10" t="str">
        <v>20250303003</v>
      </c>
      <c r="D524" s="1"/>
      <c r="E524" s="1"/>
      <c r="F524" s="1"/>
    </row>
    <row r="525" spans="1:6">
      <c r="A525" s="10"/>
      <c r="B525" s="1" t="s">
        <v>3062</v>
      </c>
      <c r="C525" s="10" t="str">
        <v>20250304001</v>
      </c>
      <c r="D525" s="1"/>
      <c r="E525" s="1"/>
      <c r="F525" s="1"/>
    </row>
    <row r="526" spans="1:6">
      <c r="A526" s="10"/>
      <c r="B526" s="1" t="s">
        <v>3069</v>
      </c>
      <c r="C526" s="10" t="str">
        <v>20250306000</v>
      </c>
      <c r="D526" s="1"/>
      <c r="E526" s="1"/>
      <c r="F526" s="1"/>
    </row>
    <row r="527" spans="1:6">
      <c r="A527" s="10"/>
      <c r="B527" s="1" t="s">
        <v>3081</v>
      </c>
      <c r="C527" s="10" t="str">
        <v>20250306001</v>
      </c>
      <c r="D527" s="1"/>
      <c r="E527" s="1"/>
      <c r="F527" s="1"/>
    </row>
    <row r="528" spans="1:6">
      <c r="A528" s="10"/>
      <c r="B528" s="1" t="s">
        <v>3085</v>
      </c>
      <c r="C528" s="10" t="str">
        <v>20250307000</v>
      </c>
      <c r="D528" s="1"/>
      <c r="E528" s="1"/>
      <c r="F528" s="1"/>
    </row>
    <row r="529" spans="1:6">
      <c r="A529" s="10"/>
      <c r="B529" s="1" t="s">
        <v>3088</v>
      </c>
      <c r="C529" s="10" t="str">
        <v>20250307002</v>
      </c>
      <c r="D529" s="1"/>
      <c r="E529" s="1"/>
      <c r="F529" s="1"/>
    </row>
    <row r="530" spans="1:6">
      <c r="A530" s="10"/>
      <c r="B530" s="1" t="s">
        <v>3098</v>
      </c>
      <c r="C530" s="10" t="str">
        <v>20250310001</v>
      </c>
      <c r="D530" s="1"/>
      <c r="E530" s="1"/>
      <c r="F530" s="1"/>
    </row>
    <row r="531" spans="1:6">
      <c r="A531" s="10"/>
      <c r="B531" s="1" t="s">
        <v>3101</v>
      </c>
      <c r="C531" s="10" t="str">
        <v>20250312000</v>
      </c>
      <c r="D531" s="1"/>
      <c r="E531" s="1"/>
      <c r="F531" s="1"/>
    </row>
    <row r="532" spans="1:6">
      <c r="A532" s="10"/>
      <c r="B532" s="1" t="s">
        <v>3118</v>
      </c>
      <c r="C532" s="10" t="str">
        <v>20250312001</v>
      </c>
      <c r="D532" s="1"/>
      <c r="E532" s="1"/>
      <c r="F532" s="1"/>
    </row>
    <row r="533" spans="1:6">
      <c r="A533" s="10"/>
      <c r="B533" s="1" t="s">
        <v>3123</v>
      </c>
      <c r="C533" s="10" t="str">
        <v>20250316002</v>
      </c>
      <c r="D533" s="1"/>
      <c r="E533" s="1"/>
      <c r="F533" s="1"/>
    </row>
    <row r="534" spans="1:6">
      <c r="A534" s="10"/>
      <c r="B534" s="1" t="s">
        <v>3125</v>
      </c>
      <c r="C534" s="10" t="str">
        <v>20250316003</v>
      </c>
      <c r="D534" s="1"/>
      <c r="E534" s="1"/>
      <c r="F534" s="1"/>
    </row>
    <row r="535" spans="1:6">
      <c r="A535" s="10"/>
      <c r="B535" s="1" t="s">
        <v>3141</v>
      </c>
      <c r="C535" s="10" t="str">
        <v>20250316004</v>
      </c>
      <c r="D535" s="1"/>
      <c r="E535" s="1"/>
      <c r="F535" s="1"/>
    </row>
    <row r="536" spans="1:6">
      <c r="A536" s="10"/>
      <c r="B536" s="1" t="s">
        <v>3133</v>
      </c>
      <c r="C536" s="10" t="str">
        <v>20250316005</v>
      </c>
      <c r="D536" s="1"/>
      <c r="E536" s="1"/>
      <c r="F536" s="1"/>
    </row>
    <row r="537" spans="1:6">
      <c r="A537" s="10"/>
      <c r="B537" s="1" t="s">
        <v>3148</v>
      </c>
      <c r="C537" s="10" t="str">
        <v>20250318000</v>
      </c>
      <c r="D537" s="1"/>
      <c r="E537" s="1"/>
      <c r="F537" s="1"/>
    </row>
    <row r="538" spans="1:6">
      <c r="A538" s="10"/>
      <c r="B538" s="1" t="s">
        <v>3150</v>
      </c>
      <c r="C538" s="10" t="str">
        <v>20250319000</v>
      </c>
      <c r="D538" s="1"/>
      <c r="E538" s="1"/>
      <c r="F538" s="1"/>
    </row>
    <row r="539" spans="1:6">
      <c r="A539" s="10"/>
      <c r="B539" s="1" t="s">
        <v>3151</v>
      </c>
      <c r="C539" s="10" t="str">
        <v>20250319001</v>
      </c>
      <c r="D539" s="1"/>
      <c r="E539" s="1"/>
      <c r="F539" s="1"/>
    </row>
    <row r="540" spans="1:6">
      <c r="A540" s="10"/>
      <c r="B540" s="1" t="s">
        <v>3163</v>
      </c>
      <c r="C540" s="10" t="str">
        <v>20250319003</v>
      </c>
      <c r="D540" s="1"/>
      <c r="E540" s="1"/>
      <c r="F540" s="1"/>
    </row>
    <row r="541" spans="1:6">
      <c r="A541" s="10"/>
      <c r="B541" s="1" t="s">
        <v>3169</v>
      </c>
      <c r="C541" s="10" t="str">
        <v>20250324001</v>
      </c>
      <c r="D541" s="1"/>
      <c r="E541" s="1"/>
      <c r="F541" s="1"/>
    </row>
    <row r="542" spans="1:6">
      <c r="A542" s="10"/>
      <c r="B542" s="1" t="s">
        <v>3174</v>
      </c>
      <c r="C542" s="10" t="str">
        <v>20250324002</v>
      </c>
      <c r="D542" s="1"/>
      <c r="E542" s="1"/>
      <c r="F542" s="1"/>
    </row>
    <row r="543" spans="1:6">
      <c r="A543" s="10"/>
      <c r="B543" s="1" t="s">
        <v>3182</v>
      </c>
      <c r="C543" s="10" t="str">
        <v>20250325001</v>
      </c>
      <c r="D543" s="1"/>
      <c r="E543" s="1"/>
      <c r="F543" s="1"/>
    </row>
    <row r="544" spans="1:6">
      <c r="A544" s="10"/>
      <c r="B544" s="1" t="s">
        <v>3191</v>
      </c>
      <c r="C544" s="10" t="str">
        <v>20250326002</v>
      </c>
      <c r="D544" s="1"/>
      <c r="E544" s="1"/>
      <c r="F544" s="1"/>
    </row>
    <row r="545" spans="1:6">
      <c r="A545" s="10"/>
      <c r="B545" s="1" t="s">
        <v>3193</v>
      </c>
      <c r="C545" s="10" t="str">
        <v>20250326003</v>
      </c>
      <c r="D545" s="1"/>
      <c r="E545" s="1"/>
      <c r="F545" s="1"/>
    </row>
    <row r="546" spans="1:6">
      <c r="A546" s="10"/>
      <c r="B546" s="1" t="s">
        <v>3199</v>
      </c>
      <c r="C546" s="10" t="str">
        <v>20250326009</v>
      </c>
      <c r="D546" s="1"/>
      <c r="E546" s="1"/>
      <c r="F546" s="1"/>
    </row>
    <row r="547" spans="1:6">
      <c r="A547" s="10"/>
      <c r="B547" s="1" t="s">
        <v>3201</v>
      </c>
      <c r="C547" s="10" t="str">
        <v>20250327000</v>
      </c>
      <c r="D547" s="1"/>
      <c r="E547" s="1"/>
      <c r="F547" s="1"/>
    </row>
    <row r="548" spans="1:6">
      <c r="A548" s="10"/>
      <c r="B548" s="1" t="s">
        <v>3212</v>
      </c>
      <c r="C548" s="10" t="str">
        <v>20250327004</v>
      </c>
      <c r="D548" s="1"/>
      <c r="E548" s="1"/>
      <c r="F548" s="1"/>
    </row>
    <row r="549" spans="1:6">
      <c r="A549" s="10"/>
      <c r="B549" s="1" t="s">
        <v>3220</v>
      </c>
      <c r="C549" s="10" t="str">
        <v>20250327005</v>
      </c>
      <c r="D549" s="1"/>
      <c r="E549" s="1"/>
      <c r="F549" s="1"/>
    </row>
    <row r="550" spans="1:6">
      <c r="A550" s="10"/>
      <c r="B550" s="1" t="s">
        <v>3225</v>
      </c>
      <c r="C550" s="10" t="str">
        <v>20250331000</v>
      </c>
      <c r="D550" s="1"/>
      <c r="E550" s="1"/>
      <c r="F550" s="1"/>
    </row>
    <row r="551" spans="1:6">
      <c r="A551" s="10"/>
      <c r="B551" s="1" t="s">
        <v>3227</v>
      </c>
      <c r="C551" s="10" t="str">
        <v>20250402002</v>
      </c>
      <c r="D551" s="1"/>
      <c r="E551" s="1"/>
      <c r="F551" s="1"/>
    </row>
    <row r="552" spans="1:6">
      <c r="A552" s="10"/>
      <c r="B552" s="1" t="s">
        <v>3235</v>
      </c>
      <c r="C552" s="10" t="str">
        <v>20250404000</v>
      </c>
      <c r="D552" s="1"/>
      <c r="E552" s="1"/>
      <c r="F552" s="1"/>
    </row>
    <row r="553" spans="1:6">
      <c r="A553" s="10"/>
      <c r="B553" s="1" t="s">
        <v>3229</v>
      </c>
      <c r="C553" s="10" t="str">
        <v>20250404001</v>
      </c>
      <c r="D553" s="1"/>
      <c r="E553" s="1"/>
      <c r="F553" s="1"/>
    </row>
    <row r="554" spans="1:6">
      <c r="A554" s="10"/>
      <c r="B554" s="1" t="s">
        <v>3238</v>
      </c>
      <c r="C554" s="10" t="str">
        <v>20250404005</v>
      </c>
      <c r="D554" s="1"/>
      <c r="E554" s="1"/>
      <c r="F554" s="1"/>
    </row>
    <row r="555" spans="1:6">
      <c r="A555" s="10"/>
      <c r="B555" s="1" t="s">
        <v>3240</v>
      </c>
      <c r="C555" s="10" t="str">
        <v>20250409000</v>
      </c>
      <c r="D555" s="1"/>
      <c r="E555" s="1"/>
      <c r="F555" s="1"/>
    </row>
    <row r="556" spans="1:6">
      <c r="A556" s="10"/>
      <c r="B556" s="1" t="s">
        <v>3242</v>
      </c>
      <c r="C556" s="10" t="str">
        <v>20250412000</v>
      </c>
      <c r="D556" s="1"/>
      <c r="E556" s="1"/>
      <c r="F556" s="1"/>
    </row>
    <row r="557" spans="1:6">
      <c r="A557" s="10"/>
      <c r="B557" s="1" t="s">
        <v>3244</v>
      </c>
      <c r="C557" s="10" t="str">
        <v>20250413000</v>
      </c>
      <c r="D557" s="1"/>
      <c r="E557" s="1"/>
      <c r="F557" s="1"/>
    </row>
    <row r="558" spans="1:6">
      <c r="A558" s="10"/>
      <c r="B558" s="1" t="s">
        <v>3254</v>
      </c>
      <c r="C558" s="10" t="str">
        <v>20250413001</v>
      </c>
      <c r="D558" s="1"/>
      <c r="E558" s="1"/>
      <c r="F558" s="1"/>
    </row>
    <row r="559" spans="1:6">
      <c r="A559" s="10"/>
      <c r="B559" s="1" t="s">
        <v>3266</v>
      </c>
      <c r="C559" s="10" t="str">
        <v>20250414002</v>
      </c>
      <c r="D559" s="1"/>
      <c r="E559" s="1"/>
      <c r="F559" s="1"/>
    </row>
    <row r="560" spans="1:6">
      <c r="A560" s="10"/>
      <c r="B560" s="1" t="s">
        <v>3280</v>
      </c>
      <c r="C560" s="10" t="str">
        <v>20250417000</v>
      </c>
      <c r="D560" s="1"/>
      <c r="E560" s="1"/>
      <c r="F560" s="1"/>
    </row>
    <row r="561" spans="1:6">
      <c r="A561" s="10"/>
      <c r="B561" s="1" t="s">
        <v>3286</v>
      </c>
      <c r="C561" s="10" t="str">
        <v>20250417001</v>
      </c>
      <c r="D561" s="1"/>
      <c r="E561" s="1"/>
      <c r="F561" s="1"/>
    </row>
    <row r="562" spans="1:6">
      <c r="A562" s="10"/>
      <c r="B562" s="1" t="s">
        <v>3289</v>
      </c>
      <c r="C562" s="10" t="str">
        <v>20250417002</v>
      </c>
      <c r="D562" s="1"/>
      <c r="E562" s="1"/>
      <c r="F562" s="1"/>
    </row>
    <row r="563" spans="1:6">
      <c r="A563" s="10"/>
      <c r="B563" s="1" t="s">
        <v>3292</v>
      </c>
      <c r="C563" s="10" t="str">
        <v>20250417003</v>
      </c>
      <c r="D563" s="1"/>
      <c r="E563" s="1"/>
      <c r="F563" s="1"/>
    </row>
    <row r="564" spans="1:6">
      <c r="A564" s="10"/>
      <c r="B564" s="1" t="s">
        <v>3295</v>
      </c>
      <c r="C564" s="10" t="str">
        <v>20250425000</v>
      </c>
      <c r="D564" s="1"/>
      <c r="E564" s="1"/>
      <c r="F564" s="1"/>
    </row>
    <row r="565" spans="1:6">
      <c r="A565" s="10"/>
      <c r="B565" s="1" t="s">
        <v>3297</v>
      </c>
      <c r="C565" s="10" t="str">
        <v>20250429001</v>
      </c>
      <c r="D565" s="1"/>
      <c r="E565" s="1"/>
      <c r="F565" s="1"/>
    </row>
    <row r="566" spans="1:6">
      <c r="A566" s="10"/>
      <c r="B566" s="1" t="s">
        <v>3300</v>
      </c>
      <c r="C566" s="10" t="str">
        <v>20250430001</v>
      </c>
      <c r="D566" s="1"/>
      <c r="E566" s="1"/>
      <c r="F566" s="1"/>
    </row>
    <row r="567" spans="1:6">
      <c r="A567" s="10"/>
      <c r="B567" s="1" t="s">
        <v>3301</v>
      </c>
      <c r="C567" s="10" t="str">
        <v>20250430002</v>
      </c>
      <c r="D567" s="1"/>
      <c r="E567" s="1"/>
      <c r="F567" s="1"/>
    </row>
    <row r="568" spans="1:6">
      <c r="A568" s="10"/>
      <c r="B568" s="1" t="s">
        <v>3303</v>
      </c>
      <c r="C568" s="10" t="str">
        <v>20250505000</v>
      </c>
      <c r="D568" s="1"/>
      <c r="E568" s="1"/>
      <c r="F568" s="1"/>
    </row>
    <row r="569" spans="1:6">
      <c r="A569" s="10"/>
      <c r="B569" s="1" t="s">
        <v>3306</v>
      </c>
      <c r="C569" s="10" t="str">
        <v>20250508000</v>
      </c>
      <c r="D569" s="1"/>
      <c r="E569" s="1"/>
      <c r="F569" s="1"/>
    </row>
    <row r="570" spans="1:6">
      <c r="A570" s="10"/>
      <c r="B570" s="1" t="s">
        <v>3308</v>
      </c>
      <c r="C570" s="10" t="str">
        <v>20250508004</v>
      </c>
      <c r="D570" s="1"/>
      <c r="E570" s="1"/>
      <c r="F570" s="1"/>
    </row>
    <row r="571" spans="1:6">
      <c r="A571" s="10"/>
      <c r="B571" s="1" t="s">
        <v>3310</v>
      </c>
      <c r="C571" s="10" t="str">
        <v>20250514001</v>
      </c>
      <c r="D571" s="1"/>
      <c r="E571" s="1"/>
      <c r="F571" s="1"/>
    </row>
    <row r="572" spans="1:6">
      <c r="A572" s="10"/>
      <c r="B572" s="1" t="s">
        <v>3320</v>
      </c>
      <c r="C572" s="10" t="str">
        <v>20250514002</v>
      </c>
      <c r="D572" s="1"/>
      <c r="E572" s="1"/>
      <c r="F572" s="1"/>
    </row>
    <row r="573" spans="1:6">
      <c r="A573" s="10"/>
      <c r="B573" s="1" t="s">
        <v>3321</v>
      </c>
      <c r="C573" s="10" t="str">
        <v>20250514003</v>
      </c>
      <c r="D573" s="1"/>
      <c r="E573" s="1"/>
      <c r="F573" s="1"/>
    </row>
    <row r="574" spans="1:6">
      <c r="A574" s="10"/>
      <c r="B574" s="1" t="s">
        <v>3323</v>
      </c>
      <c r="C574" s="10" t="str">
        <v>20250519001</v>
      </c>
      <c r="D574" s="1"/>
      <c r="E574" s="1"/>
      <c r="F574" s="1"/>
    </row>
    <row r="575" spans="1:6">
      <c r="A575" s="10"/>
      <c r="B575" s="1" t="s">
        <v>3325</v>
      </c>
      <c r="C575" s="10" t="str">
        <v>20250520000</v>
      </c>
      <c r="D575" s="1"/>
      <c r="E575" s="1"/>
      <c r="F575" s="1"/>
    </row>
    <row r="576" spans="1:6">
      <c r="A576" s="10"/>
      <c r="B576" s="1" t="s">
        <v>3334</v>
      </c>
      <c r="C576" s="10" t="str">
        <v>20250527000</v>
      </c>
      <c r="D576" s="1"/>
      <c r="E576" s="1"/>
      <c r="F576" s="1"/>
    </row>
    <row r="577" spans="1:6">
      <c r="A577" s="10"/>
      <c r="B577" s="1" t="s">
        <v>3340</v>
      </c>
      <c r="C577" s="10" t="str">
        <v>20250528000</v>
      </c>
      <c r="D577" s="1"/>
      <c r="E577" s="1"/>
      <c r="F577" s="1"/>
    </row>
    <row r="578" spans="1:6">
      <c r="A578" s="10"/>
      <c r="B578" s="1" t="s">
        <v>3342</v>
      </c>
      <c r="C578" s="10" t="str">
        <v>20250529001</v>
      </c>
      <c r="D578" s="1"/>
      <c r="E578" s="1"/>
      <c r="F578" s="1"/>
    </row>
    <row r="579" spans="1:6">
      <c r="A579" s="10"/>
      <c r="B579" s="1" t="s">
        <v>3343</v>
      </c>
      <c r="C579" s="10" t="str">
        <v>20250602000</v>
      </c>
      <c r="D579" s="1"/>
      <c r="E579" s="1"/>
      <c r="F579" s="1"/>
    </row>
    <row r="580" spans="1:6">
      <c r="A580" s="10"/>
      <c r="B580" s="1" t="s">
        <v>3345</v>
      </c>
      <c r="C580" s="10" t="str">
        <v>20250602001</v>
      </c>
      <c r="D580" s="1"/>
      <c r="E580" s="1"/>
      <c r="F580" s="1"/>
    </row>
    <row r="581" spans="1:6">
      <c r="A581" s="10"/>
      <c r="B581" s="1" t="s">
        <v>3347</v>
      </c>
      <c r="C581" s="10" t="str">
        <v>20250604003</v>
      </c>
      <c r="D581" s="1"/>
      <c r="E581" s="1"/>
      <c r="F581" s="1"/>
    </row>
    <row r="582" spans="1:6">
      <c r="A582" s="10"/>
      <c r="B582" s="1" t="s">
        <v>3353</v>
      </c>
      <c r="C582" s="10" t="str">
        <v>20250608000</v>
      </c>
      <c r="D582" s="1"/>
      <c r="E582" s="1"/>
      <c r="F582" s="1"/>
    </row>
    <row r="583" spans="1:6">
      <c r="A583" s="10"/>
      <c r="B583" s="1" t="s">
        <v>3361</v>
      </c>
      <c r="C583" s="10" t="str">
        <v>20250608001</v>
      </c>
      <c r="D583" s="1"/>
      <c r="E583" s="1"/>
      <c r="F583" s="1"/>
    </row>
    <row r="584" spans="1:6">
      <c r="A584" s="10"/>
      <c r="B584" s="1" t="s">
        <v>3364</v>
      </c>
      <c r="C584" s="10" t="str">
        <v>20250608002</v>
      </c>
      <c r="D584" s="1"/>
      <c r="E584" s="1"/>
      <c r="F584" s="1"/>
    </row>
    <row r="585" spans="1:6">
      <c r="A585" s="10"/>
      <c r="B585" s="1" t="s">
        <v>3366</v>
      </c>
      <c r="C585" s="10" t="str">
        <v>20250608003</v>
      </c>
      <c r="D585" s="1"/>
      <c r="E585" s="1"/>
      <c r="F585" s="1"/>
    </row>
    <row r="586" spans="1:6">
      <c r="A586" s="10"/>
      <c r="B586" s="1" t="s">
        <v>3369</v>
      </c>
      <c r="C586" s="10" t="str">
        <v>20250610001</v>
      </c>
      <c r="D586" s="1"/>
      <c r="E586" s="1"/>
      <c r="F586" s="1"/>
    </row>
    <row r="587" spans="1:6">
      <c r="A587" s="10"/>
      <c r="B587" s="1" t="s">
        <v>3377</v>
      </c>
      <c r="C587" s="10" t="str">
        <v>20250612000</v>
      </c>
      <c r="D587" s="1"/>
      <c r="E587" s="1"/>
      <c r="F587" s="1"/>
    </row>
    <row r="588" spans="1:6">
      <c r="A588" s="10"/>
      <c r="B588" s="1" t="s">
        <v>3380</v>
      </c>
      <c r="C588" s="10" t="str">
        <v>20250616001</v>
      </c>
      <c r="D588" s="1"/>
      <c r="E588" s="1"/>
      <c r="F588" s="1"/>
    </row>
    <row r="589" spans="1:6">
      <c r="A589" s="10"/>
      <c r="B589" s="1" t="s">
        <v>3386</v>
      </c>
      <c r="C589" s="10" t="str">
        <v>20250618000</v>
      </c>
      <c r="D589" s="1"/>
      <c r="E589" s="1"/>
      <c r="F589" s="1"/>
    </row>
    <row r="590" spans="1:6">
      <c r="A590" s="10"/>
      <c r="B590" s="1" t="s">
        <v>3388</v>
      </c>
      <c r="C590" s="10" t="str">
        <v>20250618002</v>
      </c>
      <c r="D590" s="1"/>
      <c r="E590" s="1"/>
      <c r="F590" s="1"/>
    </row>
    <row r="591" spans="1:6">
      <c r="A591" s="10"/>
      <c r="B591" s="1" t="s">
        <v>3394</v>
      </c>
      <c r="C591" s="10" t="str">
        <v>20250618003</v>
      </c>
      <c r="D591" s="1"/>
      <c r="E591" s="1"/>
      <c r="F591" s="1"/>
    </row>
    <row r="592" spans="1:6">
      <c r="A592" s="10"/>
      <c r="B592" s="1" t="s">
        <v>3399</v>
      </c>
      <c r="C592" s="10" t="str">
        <v>20250618004</v>
      </c>
      <c r="D592" s="1"/>
      <c r="E592" s="1"/>
      <c r="F592" s="1"/>
    </row>
    <row r="593" spans="1:6">
      <c r="A593" s="10"/>
      <c r="B593" s="1" t="s">
        <v>3406</v>
      </c>
      <c r="C593" s="10" t="str">
        <v>20250618005</v>
      </c>
      <c r="D593" s="1"/>
      <c r="E593" s="1"/>
      <c r="F593" s="1"/>
    </row>
    <row r="594" spans="1:6">
      <c r="A594" s="10"/>
      <c r="B594" s="1" t="s">
        <v>3402</v>
      </c>
      <c r="C594" s="10" t="str">
        <v>20250618006</v>
      </c>
      <c r="D594" s="1"/>
      <c r="E594" s="1"/>
      <c r="F594" s="1"/>
    </row>
    <row r="595" spans="1:6">
      <c r="A595" s="10"/>
      <c r="B595" s="1" t="s">
        <v>3409</v>
      </c>
      <c r="C595" s="10" t="str">
        <v>20250618007</v>
      </c>
      <c r="D595" s="1"/>
      <c r="E595" s="1"/>
      <c r="F595" s="1"/>
    </row>
    <row r="596" spans="1:6">
      <c r="A596" s="10"/>
      <c r="B596" s="1" t="s">
        <v>3412</v>
      </c>
      <c r="C596" s="10" t="str">
        <v>20250618008</v>
      </c>
      <c r="D596" s="1"/>
      <c r="E596" s="1"/>
      <c r="F596" s="1"/>
    </row>
    <row r="597" spans="1:6">
      <c r="A597" s="10"/>
      <c r="B597" s="1" t="s">
        <v>3415</v>
      </c>
      <c r="C597" s="10" t="str">
        <v>20250618009</v>
      </c>
      <c r="D597" s="1"/>
      <c r="E597" s="1"/>
      <c r="F597" s="1"/>
    </row>
    <row r="598" spans="1:6">
      <c r="A598" s="10"/>
      <c r="B598" s="1" t="s">
        <v>3418</v>
      </c>
      <c r="C598" s="10" t="str">
        <v>20250618011</v>
      </c>
      <c r="D598" s="1"/>
      <c r="E598" s="1"/>
      <c r="F598" s="1"/>
    </row>
    <row r="599" spans="1:6">
      <c r="A599" s="10"/>
      <c r="B599" s="1" t="s">
        <v>3420</v>
      </c>
      <c r="C599" s="10" t="str">
        <v>20250618012</v>
      </c>
      <c r="D599" s="1"/>
      <c r="E599" s="1"/>
      <c r="F599" s="1"/>
    </row>
    <row r="600" spans="1:6">
      <c r="A600" s="10"/>
      <c r="B600" s="1" t="s">
        <v>3422</v>
      </c>
      <c r="C600" s="10" t="str">
        <v>20250625003</v>
      </c>
      <c r="D600" s="1"/>
      <c r="E600" s="1"/>
      <c r="F600" s="1"/>
    </row>
    <row r="601" spans="1:6">
      <c r="A601" s="10"/>
      <c r="B601" s="1" t="s">
        <v>3423</v>
      </c>
      <c r="C601" s="10" t="str">
        <v>20250625004</v>
      </c>
      <c r="D601" s="1"/>
      <c r="E601" s="1"/>
      <c r="F601" s="1"/>
    </row>
    <row r="602" spans="1:6">
      <c r="A602" s="10"/>
      <c r="B602" s="1" t="s">
        <v>3424</v>
      </c>
      <c r="C602" s="10" t="str">
        <v>20250630000</v>
      </c>
      <c r="D602" s="1"/>
      <c r="E602" s="1"/>
      <c r="F602" s="1"/>
    </row>
    <row r="603" spans="1:6">
      <c r="A603" s="10"/>
      <c r="B603" s="1" t="s">
        <v>3427</v>
      </c>
      <c r="C603" s="10" t="str">
        <v>20250630001</v>
      </c>
      <c r="D603" s="1"/>
      <c r="E603" s="1"/>
      <c r="F603" s="1"/>
    </row>
    <row r="604" spans="1:6">
      <c r="A604" s="10"/>
      <c r="B604" s="1" t="s">
        <v>3430</v>
      </c>
      <c r="C604" s="10" t="str">
        <v>20250701000</v>
      </c>
      <c r="D604" s="1"/>
      <c r="E604" s="1"/>
      <c r="F604" s="1"/>
    </row>
    <row r="605" spans="1:6">
      <c r="A605" s="10"/>
      <c r="B605" s="1" t="s">
        <v>3432</v>
      </c>
      <c r="C605" s="10" t="str">
        <v>20250702000</v>
      </c>
      <c r="D605" s="1"/>
      <c r="E605" s="1"/>
      <c r="F605" s="1"/>
    </row>
    <row r="606" spans="1:6">
      <c r="A606" s="10"/>
      <c r="B606" s="1" t="s">
        <v>3434</v>
      </c>
      <c r="C606" s="10" t="str">
        <v>20250703000</v>
      </c>
      <c r="D606" s="1"/>
      <c r="E606" s="1"/>
      <c r="F606" s="1"/>
    </row>
    <row r="607" spans="1:6">
      <c r="A607" s="10"/>
      <c r="B607" s="1" t="s">
        <v>3440</v>
      </c>
      <c r="C607" s="10" t="str">
        <v>20250709000</v>
      </c>
      <c r="D607" s="1"/>
      <c r="E607" s="1"/>
      <c r="F607" s="1"/>
    </row>
    <row r="608" spans="1:6">
      <c r="A608" s="10"/>
      <c r="B608" s="1" t="s">
        <v>3442</v>
      </c>
      <c r="C608" s="10" t="str">
        <v>20250709002</v>
      </c>
      <c r="D608" s="1"/>
      <c r="E608" s="1"/>
      <c r="F608" s="1"/>
    </row>
    <row r="609" spans="1:6">
      <c r="A609" s="10"/>
      <c r="B609" s="1" t="s">
        <v>3444</v>
      </c>
      <c r="C609" s="10" t="str">
        <v>20250710000</v>
      </c>
      <c r="D609" s="1"/>
      <c r="E609" s="1"/>
      <c r="F609" s="1"/>
    </row>
    <row r="610" spans="1:6">
      <c r="A610" s="10"/>
      <c r="B610" s="1" t="s">
        <v>3448</v>
      </c>
      <c r="C610" s="10" t="str">
        <v>20250710001</v>
      </c>
      <c r="D610" s="1"/>
      <c r="E610" s="1"/>
      <c r="F610" s="1"/>
    </row>
    <row r="611" spans="1:6">
      <c r="A611" s="10"/>
      <c r="B611" s="1" t="s">
        <v>3451</v>
      </c>
      <c r="C611" s="10" t="str">
        <v>20250711000</v>
      </c>
      <c r="D611" s="1"/>
      <c r="E611" s="1"/>
      <c r="F611" s="1"/>
    </row>
    <row r="612" spans="1:6">
      <c r="A612" s="10"/>
      <c r="B612" s="1" t="s">
        <v>3452</v>
      </c>
      <c r="C612" s="10" t="str">
        <v>20250717000</v>
      </c>
      <c r="D612" s="1"/>
      <c r="E612" s="1"/>
      <c r="F612" s="1"/>
    </row>
    <row r="613" spans="1:6">
      <c r="A613" s="10"/>
      <c r="B613" s="1" t="s">
        <v>3462</v>
      </c>
      <c r="C613" s="10" t="str">
        <v>20250722000</v>
      </c>
      <c r="D613" s="1"/>
      <c r="E613" s="1"/>
      <c r="F613" s="1"/>
    </row>
    <row r="614" spans="1:6">
      <c r="A614" s="10"/>
      <c r="B614" s="1" t="s">
        <v>3465</v>
      </c>
      <c r="C614" s="10" t="str">
        <v>20250728000</v>
      </c>
      <c r="D614" s="1"/>
      <c r="E614" s="1"/>
      <c r="F614" s="1"/>
    </row>
    <row r="615" spans="1:6">
      <c r="A615" s="10"/>
      <c r="B615" s="1" t="s">
        <v>3475</v>
      </c>
      <c r="C615" s="10" t="str">
        <v>20250729001</v>
      </c>
      <c r="D615" s="1"/>
      <c r="E615" s="1"/>
      <c r="F615" s="1"/>
    </row>
    <row r="616" spans="1:6">
      <c r="A616" s="10"/>
      <c r="B616" s="1" t="s">
        <v>3478</v>
      </c>
      <c r="C616" s="10" t="str">
        <v>20250730000</v>
      </c>
      <c r="D616" s="1"/>
      <c r="E616" s="1"/>
      <c r="F616" s="1"/>
    </row>
    <row r="617" spans="1:6">
      <c r="A617" s="10"/>
      <c r="B617" s="1" t="s">
        <v>3489</v>
      </c>
      <c r="C617" s="10" t="str">
        <v>20250730004</v>
      </c>
      <c r="D617" s="1"/>
      <c r="E617" s="1"/>
      <c r="F617" s="1"/>
    </row>
    <row r="618" spans="1:6">
      <c r="A618" s="10"/>
      <c r="B618" s="1" t="s">
        <v>3499</v>
      </c>
      <c r="C618" s="10" t="str">
        <v>20250730005</v>
      </c>
      <c r="D618" s="1"/>
      <c r="E618" s="1"/>
      <c r="F618" s="1"/>
    </row>
    <row r="619" spans="1:6">
      <c r="A619" s="10"/>
      <c r="B619" s="1" t="s">
        <v>3494</v>
      </c>
      <c r="C619" s="10" t="str">
        <v>20250730007</v>
      </c>
      <c r="D619" s="1"/>
      <c r="E619" s="1"/>
      <c r="F619" s="1"/>
    </row>
    <row r="620" spans="1:6">
      <c r="A620" s="10"/>
      <c r="B620" s="1" t="s">
        <v>3501</v>
      </c>
      <c r="C620" s="10" t="str">
        <v>20250730008</v>
      </c>
      <c r="D620" s="1"/>
      <c r="E620" s="1"/>
      <c r="F620" s="1"/>
    </row>
    <row r="621" spans="1:6">
      <c r="A621" s="10"/>
      <c r="B621" s="1" t="s">
        <v>3507</v>
      </c>
      <c r="C621" s="10" t="str">
        <v>20250730010</v>
      </c>
      <c r="D621" s="1"/>
      <c r="E621" s="1"/>
      <c r="F621" s="1"/>
    </row>
    <row r="622" spans="1:6">
      <c r="A622" s="10"/>
      <c r="B622" s="1" t="s">
        <v>3514</v>
      </c>
      <c r="C622" s="10" t="str">
        <v>20250731001</v>
      </c>
      <c r="D622" s="1"/>
      <c r="E622" s="1"/>
      <c r="F622" s="1"/>
    </row>
    <row r="623" spans="1:6">
      <c r="A623" s="10"/>
      <c r="B623" s="1" t="s">
        <v>3515</v>
      </c>
      <c r="C623" s="10" t="str">
        <v>20250801000</v>
      </c>
      <c r="D623" s="1"/>
      <c r="E623" s="1"/>
      <c r="F623" s="1"/>
    </row>
    <row r="624" spans="1:6">
      <c r="A624" s="10"/>
      <c r="B624" s="1" t="s">
        <v>3517</v>
      </c>
      <c r="C624" s="10" t="str">
        <v>20250805001</v>
      </c>
      <c r="D624" s="1"/>
      <c r="E624" s="1"/>
      <c r="F624" s="1"/>
    </row>
    <row r="625" spans="1:6">
      <c r="A625" s="10"/>
      <c r="B625" s="1" t="s">
        <v>3520</v>
      </c>
      <c r="C625" s="10" t="str">
        <v>20250806000</v>
      </c>
      <c r="D625" s="1"/>
      <c r="E625" s="1"/>
      <c r="F625" s="1"/>
    </row>
    <row r="626" spans="1:6">
      <c r="A626" s="10"/>
      <c r="B626" s="1" t="s">
        <v>3523</v>
      </c>
      <c r="C626" s="10" t="str">
        <v>20250806001</v>
      </c>
      <c r="D626" s="1"/>
      <c r="E626" s="1"/>
      <c r="F626" s="1"/>
    </row>
    <row r="627" spans="1:6">
      <c r="A627" s="10"/>
      <c r="B627" s="1" t="s">
        <v>3526</v>
      </c>
      <c r="C627" s="10" t="str">
        <v>20250807000</v>
      </c>
      <c r="D627" s="1"/>
      <c r="E627" s="1"/>
      <c r="F627" s="1"/>
    </row>
    <row r="628" spans="1:6">
      <c r="A628" s="10"/>
      <c r="B628" s="1" t="s">
        <v>3529</v>
      </c>
      <c r="C628" s="10" t="str">
        <v>20250818000</v>
      </c>
      <c r="D628" s="1"/>
      <c r="E628" s="1"/>
      <c r="F628" s="1"/>
    </row>
    <row r="629" spans="1:6">
      <c r="A629" s="10"/>
      <c r="B629" s="1" t="s">
        <v>3532</v>
      </c>
      <c r="C629" s="10" t="str">
        <v>20250819001</v>
      </c>
      <c r="D629" s="1"/>
      <c r="E629" s="1"/>
      <c r="F629" s="1"/>
    </row>
    <row r="630" spans="1:6">
      <c r="A630" s="10"/>
      <c r="B630" s="1" t="s">
        <v>3535</v>
      </c>
      <c r="C630" s="10" t="str">
        <v>20250821002</v>
      </c>
      <c r="D630" s="1"/>
      <c r="E630" s="1"/>
      <c r="F630" s="1"/>
    </row>
    <row r="631" spans="1:6">
      <c r="A631" s="10"/>
      <c r="B631" s="1" t="s">
        <v>3536</v>
      </c>
      <c r="C631" s="10" t="str">
        <v>20250822000</v>
      </c>
      <c r="D631" s="1"/>
      <c r="E631" s="1"/>
      <c r="F631" s="1"/>
    </row>
    <row r="632" spans="1:6">
      <c r="A632" s="10"/>
      <c r="B632" s="1" t="s">
        <v>3538</v>
      </c>
      <c r="C632" s="10" t="str">
        <v>20250827001</v>
      </c>
      <c r="D632" s="1"/>
      <c r="E632" s="1"/>
      <c r="F632" s="1"/>
    </row>
    <row r="633" spans="1:6">
      <c r="A633" s="10"/>
      <c r="B633" s="1" t="s">
        <v>3541</v>
      </c>
      <c r="C633" s="10" t="str">
        <v>20250829000</v>
      </c>
      <c r="D633" s="1"/>
      <c r="E633" s="1"/>
      <c r="F633" s="1"/>
    </row>
    <row r="634" spans="1:6">
      <c r="A634" s="10"/>
      <c r="B634" s="1" t="s">
        <v>3544</v>
      </c>
      <c r="C634" s="10" t="str">
        <v>20250903001</v>
      </c>
      <c r="D634" s="1"/>
      <c r="E634" s="1"/>
      <c r="F634" s="1"/>
    </row>
    <row r="635" spans="1:6">
      <c r="A635" s="10"/>
      <c r="B635" s="1" t="s">
        <v>3547</v>
      </c>
      <c r="C635" s="10" t="str">
        <v>20250910001</v>
      </c>
      <c r="D635" s="1"/>
      <c r="E635" s="1"/>
      <c r="F635" s="1"/>
    </row>
    <row r="636" spans="1:6">
      <c r="A636" s="10"/>
      <c r="B636" s="1" t="s">
        <v>3551</v>
      </c>
      <c r="C636" s="10" t="str">
        <v>20250910002</v>
      </c>
      <c r="D636" s="1"/>
      <c r="E636" s="1"/>
      <c r="F636" s="1"/>
    </row>
    <row r="637" spans="1:6">
      <c r="A637" s="10"/>
      <c r="B637" s="1" t="s">
        <v>3554</v>
      </c>
      <c r="C637" s="10" t="str">
        <v>20250918000</v>
      </c>
      <c r="D637" s="1"/>
      <c r="E637" s="1"/>
      <c r="F637" s="1"/>
    </row>
    <row r="638" spans="1:6">
      <c r="A638" s="10"/>
      <c r="B638" s="1" t="s">
        <v>3556</v>
      </c>
      <c r="C638" s="10" t="str">
        <v>20250919000</v>
      </c>
      <c r="D638" s="1"/>
      <c r="E638" s="1"/>
      <c r="F638" s="1"/>
    </row>
    <row r="639" spans="1:6">
      <c r="A639" s="10"/>
      <c r="B639" s="1" t="s">
        <v>3558</v>
      </c>
      <c r="C639" s="10" t="str">
        <v>20250922000</v>
      </c>
      <c r="D639" s="1"/>
      <c r="E639" s="1"/>
      <c r="F639" s="1"/>
    </row>
    <row r="640" spans="1:6">
      <c r="A640" s="10"/>
      <c r="B640" s="1" t="s">
        <v>3561</v>
      </c>
      <c r="C640" s="10" t="str">
        <v>20250923000</v>
      </c>
      <c r="D640" s="1"/>
      <c r="E640" s="1"/>
      <c r="F640" s="1"/>
    </row>
    <row r="641" spans="1:6">
      <c r="A641" s="10"/>
      <c r="B641" s="1" t="s">
        <v>3567</v>
      </c>
      <c r="C641" s="10" t="str">
        <v>20250924000</v>
      </c>
      <c r="D641" s="1"/>
      <c r="E641" s="1"/>
      <c r="F641" s="1"/>
    </row>
    <row r="642" spans="1:6">
      <c r="A642" s="10"/>
      <c r="B642" s="1" t="s">
        <v>3573</v>
      </c>
      <c r="C642" s="10" t="str">
        <v>20250925000</v>
      </c>
      <c r="D642" s="1"/>
      <c r="E642" s="1"/>
      <c r="F642" s="1"/>
    </row>
    <row r="643" spans="1:6">
      <c r="A643" s="10"/>
      <c r="B643" s="1" t="s">
        <v>3575</v>
      </c>
      <c r="C643" s="10" t="str">
        <v>20250930000</v>
      </c>
      <c r="D643" s="1"/>
      <c r="E643" s="1"/>
      <c r="F643" s="1"/>
    </row>
    <row r="644" spans="1:6">
      <c r="A644" s="10"/>
      <c r="B644" s="1" t="s">
        <v>3578</v>
      </c>
      <c r="C644" s="10" t="str">
        <v>20251003000</v>
      </c>
      <c r="D644" s="1"/>
      <c r="E644" s="1"/>
      <c r="F644" s="1"/>
    </row>
    <row r="645" spans="1:6">
      <c r="A645" s="10"/>
      <c r="B645" s="1" t="s">
        <v>3584</v>
      </c>
      <c r="C645" s="10" t="str">
        <v>20251008002</v>
      </c>
      <c r="D645" s="1"/>
      <c r="E645" s="1"/>
      <c r="F645" s="1"/>
    </row>
    <row r="646" spans="1:6">
      <c r="A646" s="10"/>
      <c r="B646" s="1" t="s">
        <v>3586</v>
      </c>
      <c r="C646" s="10" t="str">
        <v>20251009000</v>
      </c>
      <c r="D646" s="1"/>
      <c r="E646" s="1"/>
      <c r="F646" s="1"/>
    </row>
    <row r="647" spans="1:6">
      <c r="A647" s="10"/>
      <c r="B647" s="1" t="s">
        <v>3597</v>
      </c>
      <c r="C647" s="10" t="str">
        <v>20251009001</v>
      </c>
      <c r="D647" s="1"/>
      <c r="E647" s="1"/>
      <c r="F647" s="1"/>
    </row>
    <row r="648" spans="1:6">
      <c r="A648" s="10"/>
      <c r="B648" s="1" t="s">
        <v>3603</v>
      </c>
      <c r="C648" s="10" t="str">
        <v>20251013000</v>
      </c>
      <c r="D648" s="1"/>
      <c r="E648" s="1"/>
      <c r="F648" s="1"/>
    </row>
    <row r="649" spans="1:6">
      <c r="A649" s="10"/>
      <c r="B649" s="1" t="s">
        <v>3605</v>
      </c>
      <c r="C649" s="10" t="str">
        <v>20251014000</v>
      </c>
      <c r="D649" s="1"/>
      <c r="E649" s="1"/>
      <c r="F649" s="1"/>
    </row>
    <row r="650" spans="1:6">
      <c r="A650" s="10"/>
      <c r="B650" s="1" t="s">
        <v>3608</v>
      </c>
      <c r="C650" s="10" t="str">
        <v>20251014001</v>
      </c>
      <c r="D650" s="1"/>
      <c r="E650" s="1"/>
      <c r="F650" s="1"/>
    </row>
    <row r="651" spans="1:6">
      <c r="A651" s="10"/>
      <c r="B651" s="1" t="s">
        <v>3614</v>
      </c>
      <c r="C651" s="10" t="str">
        <v>20251015000</v>
      </c>
      <c r="D651" s="1"/>
      <c r="E651" s="1"/>
      <c r="F651" s="1"/>
    </row>
    <row r="652" spans="1:6">
      <c r="A652" s="10"/>
      <c r="B652" s="1" t="s">
        <v>3617</v>
      </c>
      <c r="C652" s="10" t="str">
        <v>20251015003</v>
      </c>
      <c r="D652" s="1"/>
      <c r="E652" s="1"/>
      <c r="F652" s="1"/>
    </row>
    <row r="653" spans="1:6">
      <c r="A653" s="10"/>
      <c r="B653" s="1" t="s">
        <v>3620</v>
      </c>
      <c r="C653" s="10" t="str">
        <v>20251015004</v>
      </c>
      <c r="D653" s="1"/>
      <c r="E653" s="1"/>
      <c r="F653" s="1"/>
    </row>
    <row r="654" spans="1:6">
      <c r="A654" s="10"/>
      <c r="B654" s="1" t="s">
        <v>3622</v>
      </c>
      <c r="C654" s="10" t="str">
        <v>20251016000</v>
      </c>
      <c r="D654" s="1"/>
      <c r="E654" s="1"/>
      <c r="F654" s="1"/>
    </row>
    <row r="655" spans="1:6">
      <c r="A655" s="10"/>
      <c r="B655" s="1" t="s">
        <v>3629</v>
      </c>
      <c r="C655" s="10" t="str">
        <v>20251017000</v>
      </c>
      <c r="D655" s="1"/>
      <c r="E655" s="1"/>
      <c r="F655" s="1"/>
    </row>
    <row r="656" spans="1:6">
      <c r="A656" s="10"/>
      <c r="B656" s="1" t="s">
        <v>3631</v>
      </c>
      <c r="C656" s="10" t="str">
        <v>20251017001</v>
      </c>
      <c r="D656" s="1"/>
      <c r="E656" s="1"/>
      <c r="F656" s="1"/>
    </row>
    <row r="657" spans="1:6">
      <c r="A657" s="10"/>
      <c r="B657" s="1" t="s">
        <v>3633</v>
      </c>
      <c r="C657" s="10" t="str">
        <v>20251021000</v>
      </c>
      <c r="D657" s="1"/>
      <c r="E657" s="1"/>
      <c r="F657" s="1"/>
    </row>
    <row r="658" spans="1:6">
      <c r="A658" s="10"/>
      <c r="B658" s="1" t="s">
        <v>3635</v>
      </c>
      <c r="C658" s="10" t="str">
        <v>20251022001</v>
      </c>
      <c r="D658" s="1"/>
      <c r="E658" s="1"/>
      <c r="F658" s="1"/>
    </row>
    <row r="659" spans="1:6">
      <c r="A659" s="10"/>
      <c r="B659" s="1" t="s">
        <v>3636</v>
      </c>
      <c r="C659" s="10" t="str">
        <v>20251022002</v>
      </c>
      <c r="D659" s="1"/>
      <c r="E659" s="1"/>
      <c r="F659" s="1"/>
    </row>
    <row r="660" spans="1:6">
      <c r="A660" s="10"/>
      <c r="B660" s="1" t="s">
        <v>3639</v>
      </c>
      <c r="C660" s="10" t="str">
        <v>20251027001</v>
      </c>
      <c r="D660" s="1"/>
      <c r="E660" s="1"/>
      <c r="F660" s="1"/>
    </row>
    <row r="661" spans="1:6">
      <c r="A661" s="10"/>
      <c r="B661" s="1" t="s">
        <v>3642</v>
      </c>
      <c r="C661" s="10" t="str">
        <v>20251028001</v>
      </c>
      <c r="D661" s="1"/>
      <c r="E661" s="1"/>
      <c r="F661" s="1"/>
    </row>
    <row r="662" spans="1:6">
      <c r="A662" s="10"/>
      <c r="B662" s="1" t="s">
        <v>3645</v>
      </c>
      <c r="C662" s="10" t="str">
        <v>20251029000</v>
      </c>
      <c r="D662" s="1"/>
      <c r="E662" s="1"/>
      <c r="F662" s="1"/>
    </row>
    <row r="663" spans="1:6">
      <c r="A663" s="10"/>
      <c r="B663" s="1" t="s">
        <v>3647</v>
      </c>
      <c r="C663" s="10" t="str">
        <v>20251029001</v>
      </c>
      <c r="D663" s="1"/>
      <c r="E663" s="1"/>
      <c r="F663" s="1"/>
    </row>
    <row r="664" spans="1:6">
      <c r="A664" s="10"/>
      <c r="B664" s="1" t="s">
        <v>3649</v>
      </c>
      <c r="C664" s="10" t="str">
        <v>20251029002</v>
      </c>
      <c r="D664" s="1"/>
      <c r="E664" s="1"/>
      <c r="F664" s="1"/>
    </row>
    <row r="665" spans="1:6">
      <c r="A665" s="10"/>
      <c r="B665" s="1" t="s">
        <v>3650</v>
      </c>
      <c r="C665" s="10" t="str">
        <v>20251031003</v>
      </c>
      <c r="D665" s="1"/>
      <c r="E665" s="1"/>
      <c r="F665" s="1"/>
    </row>
    <row r="666" spans="1:6">
      <c r="A666" s="10"/>
      <c r="B666" s="1" t="s">
        <v>3652</v>
      </c>
      <c r="C666" s="10" t="str">
        <v>20251102000</v>
      </c>
      <c r="D666" s="1"/>
      <c r="E666" s="1"/>
      <c r="F666" s="1"/>
    </row>
    <row r="667" spans="1:6">
      <c r="A667" s="10"/>
      <c r="B667" s="1" t="s">
        <v>3659</v>
      </c>
      <c r="C667" s="10" t="str">
        <v>20251103000</v>
      </c>
      <c r="D667" s="1"/>
      <c r="E667" s="1"/>
      <c r="F667" s="1"/>
    </row>
    <row r="668" spans="1:6">
      <c r="A668" s="10"/>
      <c r="B668" s="1" t="s">
        <v>3662</v>
      </c>
      <c r="C668" s="10" t="str">
        <v>20251103001</v>
      </c>
      <c r="D668" s="1"/>
      <c r="E668" s="1"/>
      <c r="F668" s="1"/>
    </row>
    <row r="669" spans="1:6">
      <c r="A669" s="10"/>
      <c r="B669" s="1" t="s">
        <v>3664</v>
      </c>
      <c r="C669" s="10" t="str">
        <v>20251103004</v>
      </c>
      <c r="D669" s="1"/>
      <c r="E669" s="1"/>
      <c r="F669" s="1"/>
    </row>
    <row r="670" spans="1:6">
      <c r="A670" s="10"/>
      <c r="B670" s="1" t="s">
        <v>3667</v>
      </c>
      <c r="C670" s="10" t="str">
        <v>20251104000</v>
      </c>
      <c r="D670" s="1"/>
      <c r="E670" s="1"/>
      <c r="F670" s="1"/>
    </row>
    <row r="671" spans="1:6">
      <c r="A671" s="10"/>
      <c r="B671" s="1" t="s">
        <v>3672</v>
      </c>
      <c r="C671" s="10" t="str">
        <v>20251104001</v>
      </c>
      <c r="D671" s="1"/>
      <c r="E671" s="1"/>
      <c r="F671" s="1"/>
    </row>
    <row r="672" spans="1:6">
      <c r="A672" s="10"/>
      <c r="B672" s="1" t="s">
        <v>3675</v>
      </c>
      <c r="C672" s="10" t="str">
        <v>20251104003</v>
      </c>
      <c r="D672" s="1"/>
      <c r="E672" s="1"/>
      <c r="F672" s="1"/>
    </row>
    <row r="673" spans="1:6">
      <c r="A673" s="10"/>
      <c r="B673" s="1" t="s">
        <v>3682</v>
      </c>
      <c r="C673" s="10" t="str">
        <v>20251105000</v>
      </c>
      <c r="D673" s="1"/>
      <c r="E673" s="1"/>
      <c r="F673" s="1"/>
    </row>
    <row r="674" spans="1:6">
      <c r="A674" s="10"/>
      <c r="B674" s="1" t="s">
        <v>3684</v>
      </c>
      <c r="C674" s="10" t="str">
        <v>20251107002</v>
      </c>
      <c r="D674" s="1"/>
      <c r="E674" s="1"/>
      <c r="F674" s="1"/>
    </row>
    <row r="675" spans="1:6">
      <c r="A675" s="10"/>
      <c r="B675" s="1" t="s">
        <v>3687</v>
      </c>
      <c r="C675" s="10" t="str">
        <v>20251109000</v>
      </c>
      <c r="D675" s="1"/>
      <c r="E675" s="1"/>
      <c r="F675" s="1"/>
    </row>
    <row r="676" spans="1:6">
      <c r="A676" s="10"/>
      <c r="B676" s="1" t="s">
        <v>3688</v>
      </c>
      <c r="C676" s="10" t="str">
        <v>20251111000</v>
      </c>
      <c r="D676" s="1"/>
      <c r="E676" s="1"/>
      <c r="F676" s="1"/>
    </row>
    <row r="677" spans="1:6">
      <c r="A677" s="10"/>
      <c r="B677" s="1" t="s">
        <v>3695</v>
      </c>
      <c r="C677" s="10" t="str">
        <v>20251111002</v>
      </c>
      <c r="D677" s="1"/>
      <c r="E677" s="1"/>
      <c r="F677" s="1"/>
    </row>
    <row r="678" spans="1:6">
      <c r="A678" s="10"/>
      <c r="B678" s="1" t="s">
        <v>3698</v>
      </c>
      <c r="C678" s="10" t="str">
        <v>20251111003</v>
      </c>
      <c r="D678" s="1"/>
      <c r="E678" s="1"/>
      <c r="F678" s="1"/>
    </row>
    <row r="679" spans="1:6">
      <c r="A679" s="10"/>
      <c r="B679" s="1" t="s">
        <v>3701</v>
      </c>
      <c r="C679" s="10" t="str">
        <v>20251112000</v>
      </c>
      <c r="D679" s="1"/>
      <c r="E679" s="1"/>
      <c r="F679" s="1"/>
    </row>
    <row r="680" spans="1:6">
      <c r="A680" s="10"/>
      <c r="B680" s="1" t="s">
        <v>3704</v>
      </c>
      <c r="C680" s="10" t="str">
        <v>20251112005</v>
      </c>
      <c r="D680" s="1"/>
      <c r="E680" s="1"/>
      <c r="F680" s="1"/>
    </row>
    <row r="681" spans="1:6">
      <c r="A681" s="10"/>
      <c r="B681" s="1" t="s">
        <v>3706</v>
      </c>
      <c r="C681" s="10" t="str">
        <v>20251114001</v>
      </c>
      <c r="D681" s="1"/>
      <c r="E681" s="1"/>
      <c r="F681" s="1"/>
    </row>
    <row r="682" spans="1:6">
      <c r="A682" s="10"/>
      <c r="B682" s="1" t="s">
        <v>3708</v>
      </c>
      <c r="C682" s="10" t="str">
        <v>20251118001</v>
      </c>
      <c r="D682" s="1"/>
      <c r="E682" s="1"/>
      <c r="F682" s="1"/>
    </row>
    <row r="683" spans="1:6">
      <c r="A683" s="10"/>
      <c r="B683" s="1" t="s">
        <v>3710</v>
      </c>
      <c r="C683" s="10" t="str">
        <v>20251118002</v>
      </c>
      <c r="D683" s="1"/>
      <c r="E683" s="1"/>
      <c r="F683" s="1"/>
    </row>
    <row r="684" spans="1:6">
      <c r="A684" s="10"/>
      <c r="B684" s="1" t="s">
        <v>3713</v>
      </c>
      <c r="C684" s="10" t="str">
        <v>20251119000</v>
      </c>
      <c r="D684" s="1"/>
      <c r="E684" s="1"/>
      <c r="F684" s="1"/>
    </row>
    <row r="685" spans="1:6">
      <c r="A685" s="10"/>
      <c r="B685" s="1" t="s">
        <v>3715</v>
      </c>
      <c r="C685" s="10" t="str">
        <v>20251126000</v>
      </c>
      <c r="D685" s="1"/>
      <c r="E685" s="1"/>
      <c r="F685" s="1"/>
    </row>
    <row r="686" spans="1:6">
      <c r="A686" s="10"/>
      <c r="B686" s="1" t="s">
        <v>3717</v>
      </c>
      <c r="C686" s="10" t="str">
        <v>20251126001</v>
      </c>
      <c r="D686" s="1"/>
      <c r="E686" s="1"/>
      <c r="F686" s="1"/>
    </row>
    <row r="687" spans="1:6">
      <c r="A687" s="10"/>
      <c r="B687" s="1" t="s">
        <v>3720</v>
      </c>
      <c r="C687" s="10" t="str">
        <v>20251201000</v>
      </c>
      <c r="D687" s="1"/>
      <c r="E687" s="1"/>
      <c r="F687" s="1"/>
    </row>
    <row r="688" spans="1:6">
      <c r="A688" s="10"/>
      <c r="B688" s="1" t="s">
        <v>3722</v>
      </c>
      <c r="C688" s="10" t="str">
        <v>20251203002</v>
      </c>
      <c r="D688" s="1"/>
      <c r="E688" s="1"/>
      <c r="F688" s="1"/>
    </row>
    <row r="689" spans="1:6">
      <c r="A689" s="10"/>
      <c r="B689" s="1" t="s">
        <v>3725</v>
      </c>
      <c r="C689" s="10" t="str">
        <v>20251208002</v>
      </c>
      <c r="D689" s="1"/>
      <c r="E689" s="1"/>
      <c r="F689" s="1"/>
    </row>
    <row r="690" spans="1:6">
      <c r="A690" s="10"/>
      <c r="B690" s="1" t="s">
        <v>3728</v>
      </c>
      <c r="C690" s="10" t="str">
        <v>20251209000</v>
      </c>
      <c r="D690" s="1"/>
      <c r="E690" s="1"/>
      <c r="F690" s="1"/>
    </row>
    <row r="691" spans="1:6">
      <c r="A691" s="10"/>
      <c r="B691" s="1" t="s">
        <v>3735</v>
      </c>
      <c r="C691" s="10" t="str">
        <v>20251210000</v>
      </c>
      <c r="D691" s="1"/>
      <c r="E691" s="1"/>
      <c r="F691" s="1"/>
    </row>
    <row r="692" spans="1:6">
      <c r="A692" s="10"/>
      <c r="B692" s="1" t="s">
        <v>3740</v>
      </c>
      <c r="C692" s="10" t="str">
        <v>20251210001</v>
      </c>
      <c r="D692" s="1"/>
      <c r="E692" s="1"/>
      <c r="F692" s="1"/>
    </row>
    <row r="693" spans="1:6">
      <c r="A693" s="10"/>
      <c r="B693" s="1" t="s">
        <v>3742</v>
      </c>
      <c r="C693" s="10" t="str">
        <v>20251210002</v>
      </c>
      <c r="D693" s="1"/>
      <c r="E693" s="1"/>
      <c r="F693" s="1"/>
    </row>
    <row r="694" spans="1:6">
      <c r="A694" s="10"/>
      <c r="B694" s="1" t="s">
        <v>3745</v>
      </c>
      <c r="C694" s="10" t="str">
        <v>20251211001</v>
      </c>
      <c r="D694" s="1"/>
      <c r="E694" s="1"/>
      <c r="F694" s="1"/>
    </row>
    <row r="695" spans="1:6">
      <c r="A695" s="10"/>
      <c r="B695" s="1" t="s">
        <v>3747</v>
      </c>
      <c r="C695" s="10" t="str">
        <v>20251211002</v>
      </c>
      <c r="D695" s="1"/>
      <c r="E695" s="1"/>
      <c r="F695" s="1"/>
    </row>
    <row r="696" spans="1:6">
      <c r="A696" s="10"/>
      <c r="B696" s="1" t="s">
        <v>3750</v>
      </c>
      <c r="C696" s="10" t="str">
        <v>20251212001</v>
      </c>
      <c r="D696" s="1"/>
      <c r="E696" s="1"/>
      <c r="F696" s="1"/>
    </row>
    <row r="697" spans="1:6">
      <c r="A697" s="10"/>
      <c r="B697" s="1" t="s">
        <v>3752</v>
      </c>
      <c r="C697" s="10" t="str">
        <v>20251212002</v>
      </c>
      <c r="D697" s="1"/>
      <c r="E697" s="1"/>
      <c r="F697" s="1"/>
    </row>
    <row r="698" spans="1:6">
      <c r="A698" s="10"/>
      <c r="B698" s="1" t="s">
        <v>3755</v>
      </c>
      <c r="C698" s="10" t="str">
        <v>20251215001</v>
      </c>
      <c r="D698" s="1"/>
      <c r="E698" s="1"/>
      <c r="F698" s="1"/>
    </row>
    <row r="699" spans="1:6">
      <c r="A699" s="10"/>
      <c r="B699" s="1" t="s">
        <v>3758</v>
      </c>
      <c r="C699" s="10" t="str">
        <v>20251215002</v>
      </c>
      <c r="D699" s="1"/>
      <c r="E699" s="1"/>
      <c r="F699" s="1"/>
    </row>
    <row r="700" spans="1:6">
      <c r="A700" s="10"/>
      <c r="B700" s="1" t="s">
        <v>3760</v>
      </c>
      <c r="C700" s="10" t="str">
        <v>20251216003</v>
      </c>
      <c r="D700" s="1"/>
      <c r="E700" s="1"/>
      <c r="F700" s="1"/>
    </row>
    <row r="701" spans="1:6">
      <c r="A701" s="10"/>
      <c r="B701" s="1" t="s">
        <v>3767</v>
      </c>
      <c r="C701" s="10" t="str">
        <v>20251217001</v>
      </c>
      <c r="D701" s="1"/>
      <c r="E701" s="1"/>
      <c r="F701" s="1"/>
    </row>
    <row r="702" spans="1:6">
      <c r="A702" s="10"/>
      <c r="B702" s="1" t="s">
        <v>3762</v>
      </c>
      <c r="C702" s="10" t="str">
        <v>20251217002</v>
      </c>
      <c r="D702" s="1"/>
      <c r="E702" s="1"/>
      <c r="F702" s="1"/>
    </row>
    <row r="703" spans="1:6">
      <c r="A703" s="10"/>
      <c r="B703" s="1" t="s">
        <v>3152</v>
      </c>
      <c r="C703" s="10" t="str">
        <v>20251217003</v>
      </c>
      <c r="D703" s="1"/>
      <c r="E703" s="1"/>
      <c r="F703" s="1"/>
    </row>
    <row r="704" spans="1:6">
      <c r="A704" s="10"/>
      <c r="B704" s="1" t="s">
        <v>3771</v>
      </c>
      <c r="C704" s="10" t="str">
        <v>20251218002</v>
      </c>
      <c r="D704" s="1"/>
      <c r="E704" s="1"/>
      <c r="F704" s="1"/>
    </row>
    <row r="705" spans="1:6">
      <c r="A705" s="10"/>
      <c r="B705" s="1" t="s">
        <v>3779</v>
      </c>
      <c r="C705" s="10" t="str">
        <v>20251218004</v>
      </c>
      <c r="D705" s="1"/>
      <c r="E705" s="1"/>
      <c r="F705" s="1"/>
    </row>
    <row r="706" spans="1:6">
      <c r="A706" s="10"/>
      <c r="B706" s="1" t="s">
        <v>3774</v>
      </c>
      <c r="C706" s="10" t="str">
        <v>20251218005</v>
      </c>
      <c r="D706" s="1"/>
      <c r="E706" s="1"/>
      <c r="F706" s="1"/>
    </row>
    <row r="707" spans="1:6">
      <c r="A707" s="10"/>
      <c r="B707" s="1" t="s">
        <v>3783</v>
      </c>
      <c r="C707" s="10" t="str">
        <v>20251218007</v>
      </c>
      <c r="D707" s="1"/>
      <c r="E707" s="1"/>
      <c r="F707" s="1"/>
    </row>
    <row r="708" spans="1:6">
      <c r="A708" s="10"/>
      <c r="B708" s="1" t="s">
        <v>3786</v>
      </c>
      <c r="C708" s="10" t="str">
        <v>20251219000</v>
      </c>
      <c r="D708" s="1"/>
      <c r="E708" s="1"/>
      <c r="F708" s="1"/>
    </row>
    <row r="709" spans="1:6">
      <c r="A709" s="10"/>
      <c r="B709" s="1" t="s">
        <v>3792</v>
      </c>
      <c r="C709" s="10" t="str">
        <v>20260107001</v>
      </c>
      <c r="D709" s="1"/>
      <c r="E709" s="1"/>
      <c r="F709" s="1"/>
    </row>
    <row r="710" spans="1:6">
      <c r="A710" s="10"/>
      <c r="B710" s="1" t="s">
        <v>3794</v>
      </c>
      <c r="C710" s="10" t="str">
        <v>20260108000</v>
      </c>
      <c r="D710" s="1"/>
      <c r="E710" s="1"/>
      <c r="F710" s="1"/>
    </row>
    <row r="711" spans="1:6">
      <c r="A711" s="10"/>
      <c r="B711" s="1" t="s">
        <v>3797</v>
      </c>
      <c r="C711" s="10" t="str">
        <v>20260112000</v>
      </c>
      <c r="D711" s="1"/>
      <c r="E711" s="1"/>
      <c r="F711" s="1"/>
    </row>
    <row r="712" spans="1:6">
      <c r="A712" s="10"/>
      <c r="B712" s="1" t="s">
        <v>3800</v>
      </c>
      <c r="C712" s="10" t="str">
        <v>20260112004</v>
      </c>
      <c r="D712" s="1"/>
      <c r="E712" s="1"/>
      <c r="F712" s="1"/>
    </row>
    <row r="713" spans="1:6">
      <c r="A713" s="10"/>
      <c r="B713" s="1" t="s">
        <v>3812</v>
      </c>
      <c r="C713" s="10" t="str">
        <v>20260113001</v>
      </c>
      <c r="D713" s="1"/>
      <c r="E713" s="1"/>
      <c r="F713" s="1"/>
    </row>
    <row r="714" spans="1:6">
      <c r="A714" s="10"/>
      <c r="B714" s="1" t="s">
        <v>3814</v>
      </c>
      <c r="C714" s="10" t="str">
        <v>20260115002</v>
      </c>
      <c r="D714" s="1"/>
      <c r="E714" s="1"/>
      <c r="F714" s="1"/>
    </row>
    <row r="715" spans="1:6">
      <c r="A715" s="10"/>
      <c r="B715" s="1" t="s">
        <v>3817</v>
      </c>
      <c r="C715" s="10" t="str">
        <v>20260115003</v>
      </c>
      <c r="D715" s="1"/>
      <c r="E715" s="1"/>
      <c r="F715" s="1"/>
    </row>
    <row r="716" spans="1:6">
      <c r="A716" s="10"/>
      <c r="B716" s="1" t="s">
        <v>3820</v>
      </c>
      <c r="C716" s="10" t="str">
        <v>20260116000</v>
      </c>
      <c r="D716" s="1"/>
      <c r="E716" s="1"/>
      <c r="F716" s="1"/>
    </row>
    <row r="717" spans="1:6">
      <c r="A717" s="10"/>
      <c r="B717" s="1" t="s">
        <v>3823</v>
      </c>
      <c r="C717" s="10" t="str">
        <v>20260116001</v>
      </c>
      <c r="D717" s="1"/>
      <c r="E717" s="1"/>
      <c r="F717" s="1"/>
    </row>
    <row r="718" spans="1:6">
      <c r="A718" s="10"/>
      <c r="B718" s="1" t="s">
        <v>3824</v>
      </c>
      <c r="C718" s="10" t="str">
        <v>20260126000</v>
      </c>
      <c r="D718" s="1"/>
      <c r="E718" s="1"/>
      <c r="F718" s="1"/>
    </row>
    <row r="719" spans="1:6">
      <c r="A719" s="10"/>
      <c r="B719" s="1" t="s">
        <v>3826</v>
      </c>
      <c r="C719" s="10" t="str">
        <v>20260128000</v>
      </c>
      <c r="D719" s="1"/>
      <c r="E719" s="1"/>
      <c r="F719" s="1"/>
    </row>
    <row r="720" spans="1:6">
      <c r="A720" s="10"/>
      <c r="B720" s="1" t="s">
        <v>3828</v>
      </c>
      <c r="C720" s="10" t="str">
        <v>20260129000</v>
      </c>
      <c r="D720" s="1"/>
      <c r="E720" s="1"/>
      <c r="F720" s="1"/>
    </row>
    <row r="721" spans="1:6">
      <c r="A721" s="10"/>
      <c r="B721" s="1" t="s">
        <v>3831</v>
      </c>
      <c r="C721" s="10" t="str">
        <v>20260202000</v>
      </c>
      <c r="D721" s="1"/>
      <c r="E721" s="1"/>
      <c r="F721" s="1"/>
    </row>
    <row r="722" spans="1:6">
      <c r="A722" s="10"/>
      <c r="B722" s="1" t="s">
        <v>3833</v>
      </c>
      <c r="C722" s="10" t="str">
        <v>20260204000</v>
      </c>
      <c r="D722" s="1"/>
      <c r="E722" s="1"/>
      <c r="F722" s="1"/>
    </row>
    <row r="723" spans="1:6">
      <c r="A723" s="10"/>
      <c r="B723" s="1" t="s">
        <v>3835</v>
      </c>
      <c r="C723" s="10" t="str">
        <v>20260206001</v>
      </c>
      <c r="D723" s="1"/>
      <c r="E723" s="1"/>
      <c r="F723" s="1"/>
    </row>
    <row r="724" spans="1:6">
      <c r="A724" s="10"/>
      <c r="B724" s="1" t="s">
        <v>3842</v>
      </c>
      <c r="C724" s="10" t="str">
        <v>20260206004</v>
      </c>
      <c r="D724" s="1"/>
      <c r="E724" s="1"/>
      <c r="F724" s="1"/>
    </row>
    <row r="725" spans="1:6">
      <c r="A725" s="10"/>
      <c r="B725" s="10"/>
      <c r="C725" s="10" t="str">
        <v>20260206007</v>
      </c>
      <c r="D725" s="1"/>
      <c r="E725" s="1"/>
      <c r="F725" s="1"/>
    </row>
    <row r="726" spans="1:6">
      <c r="A726" s="10"/>
      <c r="B726" s="10"/>
      <c r="C726" s="10" t="str">
        <v>20260209003</v>
      </c>
      <c r="D726" s="1"/>
      <c r="E726" s="1"/>
      <c r="F726" s="1"/>
    </row>
    <row r="727" spans="1:6">
      <c r="A727" s="10"/>
      <c r="B727" s="10"/>
      <c r="C727" s="10" t="str">
        <v>20260211000</v>
      </c>
      <c r="D727" s="1"/>
      <c r="E727" s="1"/>
      <c r="F727" s="1"/>
    </row>
    <row r="728" spans="1:6">
      <c r="A728" s="10"/>
      <c r="B728" s="10"/>
      <c r="C728" s="10" t="str">
        <v>20260212000</v>
      </c>
      <c r="D728" s="1"/>
      <c r="E728" s="1"/>
      <c r="F728" s="1"/>
    </row>
    <row r="729" spans="1:6">
      <c r="A729" s="10"/>
      <c r="B729" s="10"/>
      <c r="C729" s="10" t="str">
        <v>20260212001</v>
      </c>
      <c r="D729" s="1"/>
      <c r="E729" s="1"/>
      <c r="F729" s="1"/>
    </row>
    <row r="730" spans="1:6">
      <c r="A730" s="10"/>
      <c r="B730" s="10"/>
      <c r="C730" s="10" t="str">
        <v>20260212002</v>
      </c>
      <c r="D730" s="1"/>
      <c r="E730" s="1"/>
      <c r="F730" s="1"/>
    </row>
    <row r="731" spans="1:6">
      <c r="A731" s="10"/>
      <c r="B731" s="10"/>
      <c r="C731" s="10" t="str">
        <v>20260217004</v>
      </c>
      <c r="D731" s="1"/>
      <c r="E731" s="1"/>
      <c r="F731" s="1"/>
    </row>
    <row r="732" spans="1:6">
      <c r="A732" s="10"/>
      <c r="B732" s="10"/>
      <c r="C732" s="10" t="str">
        <v>20260218001</v>
      </c>
      <c r="D732" s="1"/>
      <c r="E732" s="1"/>
      <c r="F732" s="1"/>
    </row>
    <row r="733" spans="1:6">
      <c r="A733" s="10"/>
      <c r="B733" s="10"/>
      <c r="C733" s="10" t="str">
        <v>20260218004</v>
      </c>
      <c r="D733" s="1"/>
      <c r="E733" s="1"/>
      <c r="F733" s="1"/>
    </row>
    <row r="734" spans="1:6">
      <c r="A734" s="10"/>
      <c r="B734" s="10"/>
      <c r="C734" s="10" t="str">
        <v>20260219000</v>
      </c>
      <c r="D734" s="1"/>
      <c r="E734" s="1"/>
      <c r="F734" s="1"/>
    </row>
    <row r="735" spans="1:6">
      <c r="A735" s="10"/>
      <c r="B735" s="10"/>
      <c r="C735" s="10" t="str">
        <v>20260220001</v>
      </c>
      <c r="D735" s="1"/>
      <c r="E735" s="1"/>
      <c r="F735" s="1"/>
    </row>
    <row r="736" spans="1:6">
      <c r="A736" s="10"/>
      <c r="B736" s="10"/>
      <c r="C736" s="10" t="str">
        <v>20260220002</v>
      </c>
      <c r="D736" s="1"/>
      <c r="E736" s="1"/>
      <c r="F736" s="1"/>
    </row>
    <row r="737" spans="1:6">
      <c r="A737" s="10"/>
      <c r="B737" s="10"/>
      <c r="C737" s="10" t="str">
        <v>20260223006</v>
      </c>
      <c r="D737" s="1"/>
      <c r="E737" s="1"/>
      <c r="F737" s="1"/>
    </row>
    <row r="738" spans="1:6">
      <c r="A738" s="10"/>
      <c r="B738" s="10"/>
      <c r="C738" s="10" t="str">
        <v>20260223007</v>
      </c>
      <c r="D738" s="1"/>
      <c r="E738" s="1"/>
      <c r="F738" s="1"/>
    </row>
    <row r="739" spans="1:6">
      <c r="A739" s="10"/>
      <c r="B739" s="10"/>
      <c r="C739" s="10" t="str">
        <v>20260223008</v>
      </c>
      <c r="D739" s="1"/>
      <c r="E739" s="1"/>
      <c r="F739" s="1"/>
    </row>
    <row r="740" spans="1:6">
      <c r="A740" s="10"/>
      <c r="B740" s="10"/>
      <c r="C740" s="10" t="str">
        <v>20260223009</v>
      </c>
      <c r="D740" s="1"/>
      <c r="E740" s="1"/>
      <c r="F740" s="1"/>
    </row>
    <row r="741" spans="1:6">
      <c r="A741" s="10"/>
      <c r="B741" s="10"/>
      <c r="C741" s="10" t="str">
        <v>20260226000</v>
      </c>
      <c r="D741" s="1"/>
      <c r="E741" s="1"/>
      <c r="F741" s="1"/>
    </row>
    <row r="742" spans="1:6">
      <c r="A742" s="10"/>
      <c r="B742" s="10"/>
      <c r="C742" s="10" t="str">
        <v>20260227000</v>
      </c>
      <c r="D742" s="1"/>
      <c r="E742" s="1"/>
      <c r="F742" s="1"/>
    </row>
    <row r="743" spans="1:6">
      <c r="A743" s="10"/>
      <c r="B743" s="10"/>
      <c r="C743" s="10" t="str">
        <v>20260227001</v>
      </c>
      <c r="D743" s="1"/>
      <c r="E743" s="1"/>
      <c r="F743" s="1"/>
    </row>
    <row r="744" spans="1:6">
      <c r="A744" s="10"/>
      <c r="B744" s="10"/>
      <c r="C744" s="10" t="str">
        <v>20260303000</v>
      </c>
      <c r="D744" s="1"/>
      <c r="E744" s="1"/>
      <c r="F744" s="1"/>
    </row>
    <row r="745" spans="1:6">
      <c r="A745" s="10"/>
      <c r="B745" s="10"/>
      <c r="C745" s="10" t="str">
        <v>20260305001</v>
      </c>
      <c r="D745" s="1"/>
      <c r="E745" s="1"/>
      <c r="F745" s="1"/>
    </row>
    <row r="746" spans="1:6">
      <c r="A746" s="10"/>
      <c r="B746" s="10"/>
      <c r="C746" s="10" t="str">
        <v>20260305003</v>
      </c>
      <c r="D746" s="1"/>
      <c r="E746" s="1"/>
      <c r="F746" s="1"/>
    </row>
    <row r="747" spans="1:6">
      <c r="A747" s="10"/>
      <c r="B747" s="10"/>
      <c r="C747" s="10" t="str">
        <v>20260306001</v>
      </c>
      <c r="D747" s="1"/>
      <c r="E747" s="1"/>
      <c r="F747" s="1"/>
    </row>
    <row r="748" spans="1:6">
      <c r="A748" s="10"/>
      <c r="B748" s="10"/>
      <c r="C748" s="10" t="str">
        <v>20260309000</v>
      </c>
      <c r="D748" s="1"/>
      <c r="E748" s="1"/>
      <c r="F748" s="1"/>
    </row>
    <row r="749" spans="1:6">
      <c r="A749" s="10"/>
      <c r="B749" s="10"/>
      <c r="C749" s="10" t="str">
        <v>20260309001</v>
      </c>
      <c r="D749" s="1"/>
      <c r="E749" s="1"/>
      <c r="F749" s="1"/>
    </row>
    <row r="750" spans="1:6">
      <c r="A750" s="10"/>
      <c r="B750" s="10"/>
      <c r="C750" s="10" t="str">
        <v>20260311000</v>
      </c>
      <c r="D750" s="1"/>
      <c r="E750" s="1"/>
      <c r="F750" s="1"/>
    </row>
    <row r="751" spans="1:6">
      <c r="A751" s="10"/>
      <c r="B751" s="10"/>
      <c r="C751" s="10" t="str">
        <v>20260312000</v>
      </c>
      <c r="D751" s="1"/>
      <c r="E751" s="1"/>
      <c r="F751" s="1"/>
    </row>
    <row r="752" spans="1:6">
      <c r="A752" s="10"/>
      <c r="B752" s="10"/>
      <c r="C752" s="10" t="str">
        <v>20260312002</v>
      </c>
      <c r="D752" s="1"/>
      <c r="E752" s="1"/>
      <c r="F752" s="1"/>
    </row>
    <row r="753" spans="1:6">
      <c r="A753" s="10"/>
      <c r="B753" s="10"/>
      <c r="C753" s="10" t="str">
        <v>20260313000</v>
      </c>
      <c r="D753" s="1"/>
      <c r="E753" s="1"/>
      <c r="F753" s="1"/>
    </row>
    <row r="754" spans="1:6">
      <c r="A754" s="10"/>
      <c r="B754" s="10"/>
      <c r="C754" s="10" t="str">
        <v>20260313003</v>
      </c>
      <c r="D754" s="1"/>
      <c r="E754" s="1"/>
      <c r="F754" s="1"/>
    </row>
    <row r="755" spans="1:6">
      <c r="A755" s="10"/>
      <c r="B755" s="10"/>
      <c r="C755" s="10" t="str">
        <v>20260313004</v>
      </c>
      <c r="D755" s="1"/>
      <c r="E755" s="1"/>
      <c r="F755" s="1"/>
    </row>
    <row r="756" spans="1:6">
      <c r="A756" s="10"/>
      <c r="B756" s="10"/>
      <c r="C756" s="10" t="str">
        <v>20260316004</v>
      </c>
      <c r="D756" s="1"/>
      <c r="E756" s="1"/>
      <c r="F756" s="1"/>
    </row>
    <row r="757" spans="1:6">
      <c r="A757" s="10"/>
      <c r="B757" s="10"/>
      <c r="C757" s="10" t="str">
        <v>20260317000</v>
      </c>
      <c r="D757" s="1"/>
      <c r="E757" s="1"/>
      <c r="F757" s="1"/>
    </row>
    <row r="758" spans="1:6">
      <c r="A758" s="10"/>
      <c r="B758" s="10"/>
      <c r="C758" s="10" t="str">
        <v>20260317001</v>
      </c>
      <c r="D758" s="1"/>
      <c r="E758" s="1"/>
      <c r="F758" s="1"/>
    </row>
    <row r="759" spans="1:6">
      <c r="A759" s="10"/>
      <c r="B759" s="10"/>
      <c r="C759" s="10" t="str">
        <v>20260318000</v>
      </c>
      <c r="D759" s="1"/>
      <c r="E759" s="1"/>
      <c r="F759" s="1"/>
    </row>
    <row r="760" spans="1:6">
      <c r="A760" s="10"/>
      <c r="B760" s="10"/>
      <c r="C760" s="10" t="str">
        <v>20260320000</v>
      </c>
      <c r="D760" s="1"/>
      <c r="E760" s="1"/>
      <c r="F760" s="1"/>
    </row>
    <row r="761" spans="1:6">
      <c r="A761" s="10"/>
      <c r="B761" s="10"/>
      <c r="C761" s="10" t="str">
        <v>20260325001</v>
      </c>
      <c r="D761" s="1"/>
      <c r="E761" s="1"/>
      <c r="F761" s="1"/>
    </row>
    <row r="762" spans="1:6">
      <c r="A762" s="10"/>
      <c r="B762" s="10"/>
      <c r="C762" s="10" t="str">
        <v>20260325004</v>
      </c>
      <c r="D762" s="1"/>
      <c r="E762" s="1"/>
      <c r="F762" s="1"/>
    </row>
    <row r="763" spans="1:6">
      <c r="A763" s="10"/>
      <c r="B763" s="10"/>
      <c r="C763" s="10" t="str">
        <v>20260326003</v>
      </c>
      <c r="D763" s="1"/>
      <c r="E763" s="1"/>
      <c r="F763" s="1"/>
    </row>
    <row r="764" spans="1:6">
      <c r="A764" s="10"/>
      <c r="B764" s="10"/>
      <c r="C764" s="10" t="str">
        <v>20260327000</v>
      </c>
      <c r="D764" s="1"/>
      <c r="E764" s="1"/>
      <c r="F764" s="1"/>
    </row>
    <row r="765" spans="1:6">
      <c r="A765" s="10"/>
      <c r="B765" s="10"/>
      <c r="C765" s="10" t="str">
        <v>20260330000</v>
      </c>
      <c r="D765" s="1"/>
      <c r="E765" s="1"/>
      <c r="F765" s="1"/>
    </row>
    <row r="766" spans="1:6">
      <c r="A766" s="10"/>
      <c r="B766" s="10"/>
      <c r="C766" s="10" t="str">
        <v>20260330003</v>
      </c>
      <c r="D766" s="1"/>
      <c r="E766" s="1"/>
      <c r="F766" s="1"/>
    </row>
    <row r="767" spans="1:6">
      <c r="A767" s="10"/>
      <c r="B767" s="10"/>
      <c r="C767" s="10" t="str">
        <v>20260331002</v>
      </c>
      <c r="D767" s="1"/>
      <c r="E767" s="1"/>
      <c r="F767" s="1"/>
    </row>
    <row r="768" spans="1:6">
      <c r="A768" s="10"/>
      <c r="B768" s="10"/>
      <c r="C768" s="10" t="str">
        <v>20260331003</v>
      </c>
      <c r="D768" s="1"/>
      <c r="E768" s="1"/>
      <c r="F768" s="1"/>
    </row>
    <row r="769" spans="1:6">
      <c r="A769" s="10"/>
      <c r="B769" s="10"/>
      <c r="C769" s="10" t="str">
        <v>20260401001</v>
      </c>
      <c r="D769" s="1"/>
      <c r="E769" s="1"/>
      <c r="F769" s="1"/>
    </row>
    <row r="770" spans="1:6">
      <c r="A770" s="10"/>
      <c r="B770" s="10"/>
      <c r="C770" s="10" t="str">
        <v>20260401002</v>
      </c>
      <c r="D770" s="1"/>
      <c r="E770" s="1"/>
      <c r="F770" s="1"/>
    </row>
    <row r="771" spans="1:6">
      <c r="A771" s="10"/>
      <c r="B771" s="10"/>
      <c r="C771" s="10" t="str">
        <v>20260401003</v>
      </c>
      <c r="D771" s="1"/>
      <c r="E771" s="1"/>
      <c r="F771" s="1"/>
    </row>
    <row r="772" spans="1:6">
      <c r="A772" s="10"/>
      <c r="B772" s="10"/>
      <c r="C772" s="10" t="str">
        <v>20260402000</v>
      </c>
      <c r="D772" s="1"/>
      <c r="E772" s="1"/>
      <c r="F772" s="1"/>
    </row>
    <row r="773" spans="1:6">
      <c r="A773" s="10"/>
      <c r="B773" s="10"/>
      <c r="C773" s="10" t="str">
        <v>20260409003</v>
      </c>
      <c r="D773" s="1"/>
      <c r="E773" s="1"/>
      <c r="F773" s="1"/>
    </row>
    <row r="774" spans="1:6">
      <c r="A774" s="10"/>
      <c r="B774" s="10"/>
      <c r="C774" s="10" t="str">
        <v>20260409005</v>
      </c>
      <c r="D774" s="1"/>
      <c r="E774" s="1"/>
      <c r="F774" s="1"/>
    </row>
    <row r="775" spans="1:6">
      <c r="A775" s="10"/>
      <c r="B775" s="10"/>
      <c r="C775" s="10" t="str">
        <v>20260413005</v>
      </c>
      <c r="D775" s="1"/>
      <c r="E775" s="1"/>
      <c r="F775" s="1"/>
    </row>
    <row r="776" spans="1:6">
      <c r="A776" s="10"/>
      <c r="B776" s="10"/>
      <c r="C776" s="10" t="str">
        <v>20260414000</v>
      </c>
      <c r="D776" s="1"/>
      <c r="E776" s="1"/>
      <c r="F776" s="1"/>
    </row>
    <row r="777" spans="1:6">
      <c r="A777" s="10"/>
      <c r="B777" s="10"/>
      <c r="C777" s="10" t="str">
        <v>20260414002</v>
      </c>
      <c r="D777" s="1"/>
      <c r="E777" s="1"/>
      <c r="F777" s="1"/>
    </row>
    <row r="778" spans="1:6">
      <c r="A778" s="10"/>
      <c r="B778" s="10"/>
      <c r="C778" s="10" t="str">
        <v>20260415000</v>
      </c>
      <c r="D778" s="1"/>
      <c r="E778" s="1"/>
      <c r="F778" s="1"/>
    </row>
    <row r="779" spans="1:6">
      <c r="A779" s="10"/>
      <c r="B779" s="10"/>
      <c r="C779" s="10" t="str">
        <v>20260415001</v>
      </c>
      <c r="D779" s="1"/>
      <c r="E779" s="1"/>
      <c r="F779" s="1"/>
    </row>
    <row r="780" spans="1:6">
      <c r="A780" s="10"/>
      <c r="B780" s="10"/>
      <c r="C780" s="10" t="str">
        <v>20260415003</v>
      </c>
      <c r="D780" s="1"/>
      <c r="E780" s="1"/>
      <c r="F780" s="1"/>
    </row>
    <row r="781" spans="1:6">
      <c r="A781" s="10"/>
      <c r="B781" s="10"/>
      <c r="C781" s="10" t="str">
        <v>20260416000</v>
      </c>
      <c r="D781" s="1"/>
      <c r="E781" s="1"/>
      <c r="F781" s="1"/>
    </row>
    <row r="782" spans="1:6">
      <c r="A782" s="10"/>
      <c r="B782" s="10"/>
      <c r="C782" s="10" t="str">
        <v>20260416003</v>
      </c>
      <c r="D782" s="1"/>
      <c r="E782" s="1"/>
      <c r="F782" s="1"/>
    </row>
    <row r="783" spans="1:6">
      <c r="A783" s="10"/>
      <c r="B783" s="10"/>
      <c r="C783" s="10" t="str">
        <v>20260421000</v>
      </c>
      <c r="D783" s="1"/>
      <c r="E783" s="1"/>
      <c r="F783" s="1"/>
    </row>
    <row r="784" spans="1:6">
      <c r="A784" s="10"/>
      <c r="B784" s="10"/>
      <c r="C784" s="10" t="str">
        <v>20260421001</v>
      </c>
      <c r="D784" s="1"/>
      <c r="E784" s="1"/>
      <c r="F784" s="1"/>
    </row>
    <row r="785" spans="1:6">
      <c r="A785" s="10"/>
      <c r="B785" s="10"/>
      <c r="C785" s="10" t="str">
        <v>20260422003</v>
      </c>
      <c r="D785" s="1"/>
      <c r="E785" s="1"/>
      <c r="F785" s="1"/>
    </row>
    <row r="786" spans="1:6">
      <c r="A786" s="10"/>
      <c r="B786" s="10"/>
      <c r="C786" s="10" t="str">
        <v>20260422005</v>
      </c>
      <c r="D786" s="1"/>
      <c r="E786" s="1"/>
      <c r="F786" s="1"/>
    </row>
    <row r="787" spans="1:6">
      <c r="A787" s="10"/>
      <c r="B787" s="10"/>
      <c r="C787" s="10" t="str">
        <v>20260425000</v>
      </c>
      <c r="D787" s="1"/>
      <c r="E787" s="1"/>
      <c r="F787" s="1"/>
    </row>
    <row r="788" spans="1:6">
      <c r="A788" s="10"/>
      <c r="B788" s="10"/>
      <c r="C788" s="10" t="str">
        <v>20260427001</v>
      </c>
      <c r="D788" s="1"/>
      <c r="E788" s="1"/>
      <c r="F788" s="1"/>
    </row>
    <row r="789" spans="1:6">
      <c r="A789" s="10"/>
      <c r="B789" s="10"/>
      <c r="C789" s="10" t="str">
        <v>20260427003</v>
      </c>
      <c r="D789" s="1"/>
      <c r="E789" s="1"/>
      <c r="F789" s="1"/>
    </row>
    <row r="790" spans="1:6">
      <c r="A790" s="10"/>
      <c r="B790" s="10"/>
      <c r="C790" s="10" t="str">
        <v>20260427008</v>
      </c>
      <c r="D790" s="1"/>
      <c r="E790" s="1"/>
      <c r="F790" s="1"/>
    </row>
    <row r="791" spans="1:6">
      <c r="A791" s="10"/>
      <c r="B791" s="10"/>
      <c r="C791" s="10" t="str">
        <v>20260427009</v>
      </c>
      <c r="D791" s="1"/>
      <c r="E791" s="1"/>
      <c r="F791" s="1"/>
    </row>
    <row r="792" spans="1:6">
      <c r="A792" s="10"/>
      <c r="B792" s="10"/>
      <c r="C792" s="10" t="str">
        <v>20260428000</v>
      </c>
      <c r="D792" s="1"/>
      <c r="E792" s="1"/>
      <c r="F792" s="1"/>
    </row>
    <row r="793" spans="1:6">
      <c r="A793" s="10"/>
      <c r="B793" s="10"/>
      <c r="C793" s="10" t="str">
        <v>20260429000</v>
      </c>
      <c r="D793" s="1"/>
      <c r="E793" s="1"/>
      <c r="F793" s="1"/>
    </row>
    <row r="794" spans="1:6">
      <c r="A794" s="10"/>
      <c r="B794" s="10"/>
      <c r="C794" s="10" t="str">
        <v>20260429001</v>
      </c>
      <c r="D794" s="1"/>
      <c r="E794" s="1"/>
      <c r="F794" s="1"/>
    </row>
    <row r="795" spans="1:6">
      <c r="A795" s="10"/>
      <c r="B795" s="10"/>
      <c r="C795" s="10" t="str">
        <v>20260429002</v>
      </c>
      <c r="D795" s="1"/>
      <c r="E795" s="1"/>
      <c r="F795" s="1"/>
    </row>
    <row r="796" spans="1:6">
      <c r="A796" s="10"/>
      <c r="B796" s="10"/>
      <c r="C796" s="10" t="str">
        <v>20260429003</v>
      </c>
      <c r="D796" s="1"/>
      <c r="E796" s="1"/>
      <c r="F796" s="1"/>
    </row>
    <row r="797" spans="1:6">
      <c r="A797" s="10"/>
      <c r="B797" s="10"/>
      <c r="C797" s="10" t="str">
        <v>20260429004</v>
      </c>
      <c r="D797" s="1"/>
      <c r="E797" s="1"/>
      <c r="F797" s="1"/>
    </row>
    <row r="798" spans="1:6">
      <c r="A798" s="10"/>
      <c r="B798" s="10"/>
      <c r="C798" s="10" t="str">
        <v>20260501000</v>
      </c>
      <c r="D798" s="1"/>
      <c r="E798" s="1"/>
      <c r="F798" s="1"/>
    </row>
    <row r="799" spans="1:6">
      <c r="A799" s="10"/>
      <c r="B799" s="10"/>
      <c r="C799" s="10" t="str">
        <v>20260504006</v>
      </c>
      <c r="D799" s="1"/>
      <c r="E799" s="1"/>
      <c r="F799" s="1"/>
    </row>
    <row r="800" spans="1:6">
      <c r="A800" s="10"/>
      <c r="B800" s="10"/>
      <c r="C800" s="10" t="str">
        <v>20260506001</v>
      </c>
      <c r="D800" s="1"/>
      <c r="E800" s="1"/>
      <c r="F800" s="1"/>
    </row>
    <row r="801" spans="1:6">
      <c r="A801" s="10"/>
      <c r="B801" s="10"/>
      <c r="C801" s="10" t="str">
        <v>20260507000</v>
      </c>
      <c r="D801" s="1"/>
      <c r="E801" s="1"/>
      <c r="F801" s="1"/>
    </row>
    <row r="802" spans="1:6">
      <c r="A802" s="10"/>
      <c r="B802" s="10"/>
      <c r="C802" s="10" t="str">
        <v>20260511001</v>
      </c>
      <c r="D802" s="1"/>
      <c r="E802" s="1"/>
      <c r="F802" s="1"/>
    </row>
    <row r="803" spans="1:6">
      <c r="A803" s="10"/>
      <c r="B803" s="10"/>
      <c r="C803" s="10" t="str">
        <v>20260514000</v>
      </c>
      <c r="D803" s="1"/>
      <c r="E803" s="1"/>
      <c r="F803" s="1"/>
    </row>
    <row r="804" spans="1:6">
      <c r="A804" s="10"/>
      <c r="B804" s="10"/>
      <c r="C804" s="10" t="str">
        <v>20260515000</v>
      </c>
      <c r="D804" s="1"/>
      <c r="E804" s="1"/>
      <c r="F804" s="1"/>
    </row>
    <row r="805" spans="1:6">
      <c r="A805" s="10"/>
      <c r="B805" s="10"/>
      <c r="C805" s="10" t="str">
        <v>20260518000</v>
      </c>
      <c r="D805" s="1"/>
      <c r="E805" s="1"/>
      <c r="F805" s="1"/>
    </row>
    <row r="806" spans="1:6">
      <c r="A806" s="10"/>
      <c r="B806" s="10"/>
      <c r="C806" s="10" t="str">
        <v>20260518001</v>
      </c>
      <c r="D806" s="1"/>
      <c r="E806" s="1"/>
      <c r="F806" s="1"/>
    </row>
    <row r="807" spans="1:6">
      <c r="A807" s="10"/>
      <c r="B807" s="10"/>
      <c r="C807" s="10" t="str">
        <v>20260520000</v>
      </c>
      <c r="D807" s="1"/>
      <c r="E807" s="1"/>
      <c r="F807" s="1"/>
    </row>
    <row r="808" spans="1:6">
      <c r="A808" s="10"/>
      <c r="B808" s="10"/>
      <c r="C808" s="10" t="str">
        <v>20260520001</v>
      </c>
      <c r="D808" s="1"/>
      <c r="E808" s="1"/>
      <c r="F808" s="1"/>
    </row>
    <row r="809" spans="1:6">
      <c r="A809" s="10"/>
      <c r="B809" s="10"/>
      <c r="C809" s="10" t="str">
        <v>20260522000</v>
      </c>
      <c r="D809" s="1"/>
      <c r="E809" s="1"/>
      <c r="F809" s="1"/>
    </row>
    <row r="810" spans="1:6">
      <c r="A810" s="10"/>
      <c r="B810" s="10"/>
      <c r="C810" s="10" t="str">
        <v>20260522001</v>
      </c>
      <c r="D810" s="1"/>
      <c r="E810" s="1"/>
      <c r="F810" s="1"/>
    </row>
    <row r="811" spans="1:6">
      <c r="A811" s="10"/>
      <c r="B811" s="10"/>
      <c r="C811" s="10" t="str">
        <v>20260526000</v>
      </c>
      <c r="D811" s="1"/>
      <c r="E811" s="1"/>
      <c r="F811" s="1"/>
    </row>
    <row r="812" spans="1:6">
      <c r="A812" s="10"/>
      <c r="B812" s="10"/>
      <c r="C812" s="10" t="str">
        <v>20260529001</v>
      </c>
      <c r="D812" s="1"/>
      <c r="E812" s="1"/>
      <c r="F812" s="1"/>
    </row>
    <row r="813" spans="1:6">
      <c r="A813" s="10"/>
      <c r="B813" s="10"/>
      <c r="C813" s="10" t="str">
        <v>20260529004</v>
      </c>
      <c r="D813" s="1"/>
      <c r="E813" s="1"/>
      <c r="F813" s="1"/>
    </row>
    <row r="814" spans="1:6">
      <c r="A814" s="10"/>
      <c r="B814" s="10"/>
      <c r="C814" s="10" t="str">
        <v>20260529005</v>
      </c>
      <c r="D814" s="1"/>
      <c r="E814" s="1"/>
      <c r="F814" s="1"/>
    </row>
    <row r="815" spans="1:6">
      <c r="A815" s="10"/>
      <c r="B815" s="10"/>
      <c r="C815" s="10" t="str">
        <v>20260602000</v>
      </c>
      <c r="D815" s="1"/>
      <c r="E815" s="1"/>
      <c r="F815" s="1"/>
    </row>
    <row r="816" spans="1:6">
      <c r="A816" s="10"/>
      <c r="B816" s="10"/>
      <c r="C816" s="10" t="str">
        <v>20260602001</v>
      </c>
      <c r="D816" s="1"/>
      <c r="E816" s="1"/>
      <c r="F816" s="1"/>
    </row>
    <row r="817" spans="1:6">
      <c r="A817" s="10"/>
      <c r="B817" s="10"/>
      <c r="C817" s="10" t="str">
        <v>20260603000</v>
      </c>
      <c r="D817" s="1"/>
      <c r="E817" s="1"/>
      <c r="F817" s="1"/>
    </row>
    <row r="818" spans="1:6">
      <c r="A818" s="10"/>
      <c r="B818" s="10"/>
      <c r="C818" s="10" t="str">
        <v>20260604000</v>
      </c>
      <c r="D818" s="1"/>
      <c r="E818" s="1"/>
      <c r="F818" s="1"/>
    </row>
    <row r="819" spans="1:6">
      <c r="A819" s="10"/>
      <c r="B819" s="10"/>
      <c r="C819" s="10" t="str">
        <v>20260605001</v>
      </c>
      <c r="D819" s="1"/>
      <c r="E819" s="1"/>
      <c r="F819" s="1"/>
    </row>
    <row r="820" spans="1:6">
      <c r="A820" s="10"/>
      <c r="B820" s="10"/>
      <c r="C820" s="10" t="str">
        <v>20260608001</v>
      </c>
      <c r="D820" s="1"/>
      <c r="E820" s="1"/>
      <c r="F820" s="1"/>
    </row>
    <row r="821" spans="1:6">
      <c r="A821" s="10"/>
      <c r="B821" s="10"/>
      <c r="C821" s="10" t="str">
        <v>20260609002</v>
      </c>
      <c r="D821" s="1"/>
      <c r="E821" s="1"/>
      <c r="F821" s="1"/>
    </row>
    <row r="822" spans="1:6">
      <c r="A822" s="10"/>
      <c r="B822" s="10"/>
      <c r="C822" s="10" t="str">
        <v>20260610000</v>
      </c>
      <c r="D822" s="1"/>
      <c r="E822" s="1"/>
      <c r="F822" s="1"/>
    </row>
    <row r="823" spans="1:6">
      <c r="A823" s="10"/>
      <c r="B823" s="10"/>
      <c r="C823" s="10" t="str">
        <v>20260611001</v>
      </c>
      <c r="D823" s="1"/>
      <c r="E823" s="1"/>
      <c r="F823" s="1"/>
    </row>
    <row r="824" spans="1:6">
      <c r="A824" s="10"/>
      <c r="B824" s="10"/>
      <c r="C824" s="10" t="str">
        <v>20260611002</v>
      </c>
      <c r="D824" s="1"/>
      <c r="E824" s="1"/>
      <c r="F824" s="1"/>
    </row>
    <row r="825" spans="1:6">
      <c r="A825" s="10"/>
      <c r="B825" s="10"/>
      <c r="C825" s="10" t="str">
        <v>20260612001</v>
      </c>
      <c r="D825" s="1"/>
      <c r="E825" s="1"/>
      <c r="F825" s="1"/>
    </row>
    <row r="826" spans="1:6">
      <c r="A826" s="10"/>
      <c r="B826" s="10"/>
      <c r="C826" s="10" t="str">
        <v>20260612002</v>
      </c>
      <c r="D826" s="1"/>
      <c r="E826" s="1"/>
      <c r="F826" s="1"/>
    </row>
    <row r="827" spans="1:6">
      <c r="A827" s="10"/>
      <c r="B827" s="10"/>
      <c r="C827" s="10" t="str">
        <v>20260615000</v>
      </c>
      <c r="D827" s="1"/>
      <c r="E827" s="1"/>
      <c r="F827" s="1"/>
    </row>
    <row r="828" spans="1:6">
      <c r="A828" s="10"/>
      <c r="B828" s="10"/>
      <c r="C828" s="10" t="str">
        <v>20260615001</v>
      </c>
      <c r="D828" s="1"/>
      <c r="E828" s="1"/>
      <c r="F828" s="1"/>
    </row>
    <row r="829" spans="1:6">
      <c r="A829" s="10"/>
      <c r="B829" s="10"/>
      <c r="C829" s="10" t="str">
        <v>20260617000</v>
      </c>
      <c r="D829" s="1"/>
      <c r="E829" s="1"/>
      <c r="F829" s="1"/>
    </row>
    <row r="830" spans="1:6">
      <c r="A830" s="10"/>
      <c r="B830" s="10"/>
      <c r="C830" s="10" t="str">
        <v>20260617001</v>
      </c>
      <c r="D830" s="1"/>
      <c r="E830" s="1"/>
      <c r="F830" s="1"/>
    </row>
    <row r="831" spans="1:6">
      <c r="A831" s="10"/>
      <c r="B831" s="10"/>
      <c r="C831" s="10" t="str">
        <v>20260618000</v>
      </c>
      <c r="D831" s="1"/>
      <c r="E831" s="1"/>
      <c r="F831" s="1"/>
    </row>
    <row r="832" spans="1:6">
      <c r="A832" s="10"/>
      <c r="B832" s="10"/>
      <c r="C832" s="10" t="str">
        <v>20260618002</v>
      </c>
      <c r="D832" s="1"/>
      <c r="E832" s="1"/>
      <c r="F832" s="1"/>
    </row>
    <row r="833" spans="1:6">
      <c r="A833" s="10"/>
      <c r="B833" s="10"/>
      <c r="C833" s="10" t="str">
        <v>20260629004</v>
      </c>
      <c r="D833" s="1"/>
      <c r="E833" s="1"/>
      <c r="F833" s="1"/>
    </row>
    <row r="834" spans="1:6">
      <c r="A834" s="10"/>
      <c r="B834" s="10"/>
      <c r="C834" s="10" t="str">
        <v>20260630000</v>
      </c>
      <c r="D834" s="1"/>
      <c r="E834" s="1"/>
      <c r="F834" s="1"/>
    </row>
    <row r="835" spans="1:6">
      <c r="A835" s="10"/>
      <c r="B835" s="10"/>
      <c r="C835" s="10" t="str">
        <v>20260630001</v>
      </c>
      <c r="D835" s="1"/>
      <c r="E835" s="1"/>
      <c r="F835" s="1"/>
    </row>
    <row r="836" spans="1:6">
      <c r="A836" s="10"/>
      <c r="B836" s="10"/>
      <c r="C836" s="10" t="str">
        <v>20260702000</v>
      </c>
      <c r="D836" s="1"/>
      <c r="E836" s="1"/>
      <c r="F836" s="1"/>
    </row>
    <row r="837" spans="1:6">
      <c r="A837" s="10"/>
      <c r="B837" s="10"/>
      <c r="C837" s="10" t="str">
        <v>20260702001</v>
      </c>
      <c r="D837" s="1"/>
      <c r="E837" s="1"/>
      <c r="F837" s="1"/>
    </row>
    <row r="838" spans="1:6">
      <c r="A838" s="10"/>
      <c r="B838" s="10"/>
      <c r="C838" s="10" t="str">
        <v>20260702002</v>
      </c>
      <c r="D838" s="1"/>
      <c r="E838" s="1"/>
      <c r="F838" s="1"/>
    </row>
    <row r="839" spans="1:6">
      <c r="A839" s="10"/>
      <c r="B839" s="10"/>
      <c r="C839" s="10" t="str">
        <v>20260707000</v>
      </c>
      <c r="D839" s="1"/>
      <c r="E839" s="1"/>
      <c r="F839" s="1"/>
    </row>
    <row r="840" spans="1:6">
      <c r="A840" s="10"/>
      <c r="B840" s="10"/>
      <c r="C840" s="10" t="str">
        <v>20260707002</v>
      </c>
      <c r="D840" s="1"/>
      <c r="E840" s="1"/>
      <c r="F840" s="1"/>
    </row>
    <row r="841" spans="1:6">
      <c r="A841" s="10"/>
      <c r="B841" s="10"/>
      <c r="C841" s="10" t="str">
        <v>20260709000</v>
      </c>
      <c r="D841" s="1"/>
      <c r="E841" s="1"/>
      <c r="F841" s="1"/>
    </row>
    <row r="842" spans="1:6">
      <c r="A842" s="10"/>
      <c r="B842" s="10"/>
      <c r="C842" s="10" t="str">
        <v>20260710000</v>
      </c>
      <c r="D842" s="1"/>
      <c r="E842" s="1"/>
      <c r="F842" s="1"/>
    </row>
    <row r="843" spans="1:6">
      <c r="A843" s="10"/>
      <c r="B843" s="10"/>
      <c r="C843" s="10" t="str">
        <v>20260713002</v>
      </c>
      <c r="D843" s="1"/>
      <c r="E843" s="1"/>
      <c r="F843" s="1"/>
    </row>
    <row r="844" spans="1:6">
      <c r="A844" s="10"/>
      <c r="B844" s="10"/>
      <c r="C844" s="10" t="str">
        <v>20260715001</v>
      </c>
      <c r="D844" s="1"/>
      <c r="E844" s="1"/>
      <c r="F844" s="1"/>
    </row>
    <row r="845" spans="1:6">
      <c r="A845" s="10"/>
      <c r="B845" s="10"/>
      <c r="C845" s="10" t="str">
        <v>20260715002</v>
      </c>
      <c r="D845" s="1"/>
      <c r="E845" s="1"/>
      <c r="F845" s="1"/>
    </row>
    <row r="846" spans="1:6">
      <c r="A846" s="10"/>
      <c r="B846" s="10"/>
      <c r="C846" s="10" t="str">
        <v>20260717000</v>
      </c>
      <c r="D846" s="1"/>
      <c r="E846" s="1"/>
      <c r="F846" s="1"/>
    </row>
    <row r="847" spans="1:6">
      <c r="A847" s="10"/>
      <c r="B847" s="10"/>
      <c r="C847" s="10" t="str">
        <v>20260721000</v>
      </c>
      <c r="D847" s="1"/>
      <c r="E847" s="1"/>
      <c r="F847" s="1"/>
    </row>
    <row r="848" spans="1:6">
      <c r="A848" s="10"/>
      <c r="B848" s="10"/>
      <c r="C848" s="10" t="str">
        <v>20260730000</v>
      </c>
      <c r="D848" s="1"/>
      <c r="E848" s="1"/>
      <c r="F848" s="1"/>
    </row>
    <row r="849" spans="1:6">
      <c r="A849" s="10"/>
      <c r="B849" s="10"/>
      <c r="C849" s="10" t="str">
        <v>20260730001</v>
      </c>
      <c r="D849" s="1"/>
      <c r="E849" s="1"/>
      <c r="F849" s="1"/>
    </row>
    <row r="850" spans="1:6">
      <c r="A850" s="10"/>
      <c r="B850" s="10"/>
      <c r="C850" s="10" t="str">
        <v>20260803000</v>
      </c>
      <c r="D850" s="1"/>
      <c r="E850" s="1"/>
      <c r="F850" s="1"/>
    </row>
    <row r="851" spans="1:6">
      <c r="A851" s="10"/>
      <c r="B851" s="10"/>
      <c r="C851" s="10" t="str">
        <v>20260803001</v>
      </c>
      <c r="D851" s="1"/>
      <c r="E851" s="1"/>
      <c r="F851" s="1"/>
    </row>
    <row r="852" spans="1:6">
      <c r="A852" s="10"/>
      <c r="B852" s="10"/>
      <c r="C852" s="10" t="str">
        <v>20260805000</v>
      </c>
      <c r="D852" s="1"/>
      <c r="E852" s="1"/>
      <c r="F852" s="1"/>
    </row>
    <row r="853" spans="1:6">
      <c r="A853" s="10"/>
      <c r="B853" s="10"/>
      <c r="C853" s="10" t="str">
        <v>20260806001</v>
      </c>
      <c r="D853" s="1"/>
      <c r="E853" s="1"/>
      <c r="F853" s="1"/>
    </row>
    <row r="854" spans="1:6">
      <c r="A854" s="10"/>
      <c r="B854" s="10"/>
      <c r="C854" s="10" t="str">
        <v>20260806004</v>
      </c>
      <c r="D854" s="1"/>
      <c r="E854" s="1"/>
      <c r="F854" s="1"/>
    </row>
    <row r="855" spans="1:6">
      <c r="A855" s="10"/>
      <c r="B855" s="10"/>
      <c r="C855" s="10" t="str">
        <v>20260807002</v>
      </c>
      <c r="D855" s="1"/>
      <c r="E855" s="1"/>
      <c r="F855" s="1"/>
    </row>
    <row r="856" spans="1:6">
      <c r="A856" s="10"/>
      <c r="B856" s="10"/>
      <c r="C856" s="10"/>
      <c r="D856" s="1"/>
      <c r="E856" s="1"/>
      <c r="F856" s="1"/>
    </row>
    <row r="857" spans="1:6">
      <c r="A857" s="10"/>
      <c r="B857" s="10"/>
      <c r="C857" s="10"/>
      <c r="D857" s="1"/>
      <c r="E857" s="1"/>
      <c r="F857" s="1"/>
    </row>
  </sheetData>
  <phoneticPr fontId="4" type="noConversion"/>
  <conditionalFormatting sqref="A3:A440">
    <cfRule type="expression" dxfId="6" priority="5">
      <formula>AND(A3&lt;&gt;"",COUNTIF($B$3:$B$20001,A3)=0)</formula>
    </cfRule>
    <cfRule type="expression" dxfId="5" priority="7">
      <formula>AND(A3&lt;&gt;"",COUNTIF($B$3:$B$20001,A3)&gt;0)</formula>
    </cfRule>
  </conditionalFormatting>
  <conditionalFormatting sqref="B3:B724">
    <cfRule type="expression" dxfId="4" priority="4">
      <formula>AND(B3&lt;&gt;"",COUNTIF($A$3:$A$20001,B3)=0)</formula>
    </cfRule>
    <cfRule type="expression" dxfId="3" priority="6">
      <formula>AND(B3&lt;&gt;"",COUNTIF($A$3:$A$20001,B3)&gt;0)</formula>
    </cfRule>
  </conditionalFormatting>
  <conditionalFormatting sqref="C3:C857">
    <cfRule type="expression" dxfId="2" priority="1">
      <formula>AND(C3&lt;&gt;"",COUNTIF($A$3:$A$20001,C3)=0,COUNTIF($B$3:$B$20001,C3)&gt;0)</formula>
    </cfRule>
    <cfRule type="expression" dxfId="1" priority="2">
      <formula>AND(C3&lt;&gt;"",COUNTIF($A$3:$A$20001,C3)&gt;0,COUNTIF($B$3:$B$20001,C3)=0)</formula>
    </cfRule>
    <cfRule type="expression" dxfId="0" priority="3">
      <formula>AND(C3&lt;&gt;"",COUNTIF($A$3:$A$20001,C3)&gt;0,COUNTIF($B$3:$B$20001,C3)&gt;0)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48AC-67FC-4713-AB74-84413E100167}">
  <dimension ref="A1:P333"/>
  <sheetViews>
    <sheetView zoomScale="190" workbookViewId="0">
      <selection activeCell="E6" sqref="E6"/>
    </sheetView>
  </sheetViews>
  <sheetFormatPr baseColWidth="10" defaultColWidth="8.83203125" defaultRowHeight="15"/>
  <cols>
    <col min="1" max="1" width="17.83203125" bestFit="1" customWidth="1"/>
    <col min="2" max="2" width="6.5" bestFit="1" customWidth="1"/>
    <col min="3" max="3" width="26.83203125" bestFit="1" customWidth="1"/>
    <col min="4" max="4" width="17.33203125" bestFit="1" customWidth="1"/>
    <col min="5" max="5" width="25.1640625" bestFit="1" customWidth="1"/>
    <col min="6" max="6" width="48.5" bestFit="1" customWidth="1"/>
    <col min="7" max="8" width="6.5" bestFit="1" customWidth="1"/>
    <col min="9" max="9" width="11.5" bestFit="1" customWidth="1"/>
    <col min="10" max="10" width="29.1640625" bestFit="1" customWidth="1"/>
    <col min="11" max="11" width="9.6640625" bestFit="1" customWidth="1"/>
    <col min="12" max="12" width="8.6640625" bestFit="1" customWidth="1"/>
    <col min="13" max="13" width="15.33203125" bestFit="1" customWidth="1"/>
    <col min="14" max="14" width="14.83203125" bestFit="1" customWidth="1"/>
    <col min="15" max="15" width="8.1640625" bestFit="1" customWidth="1"/>
    <col min="16" max="16" width="20.5" bestFit="1" customWidth="1"/>
    <col min="17" max="17" width="33.5" customWidth="1"/>
  </cols>
  <sheetData>
    <row r="1" spans="1:16">
      <c r="A1" s="30" t="s">
        <v>3864</v>
      </c>
      <c r="B1" s="28" t="s">
        <v>3866</v>
      </c>
      <c r="C1" s="28" t="s">
        <v>4228</v>
      </c>
      <c r="D1" s="30" t="s">
        <v>4229</v>
      </c>
      <c r="E1" s="30" t="s">
        <v>4230</v>
      </c>
      <c r="F1" s="31" t="s">
        <v>3865</v>
      </c>
      <c r="G1" s="31" t="s">
        <v>3866</v>
      </c>
      <c r="H1" s="34" t="s">
        <v>3866</v>
      </c>
      <c r="I1" s="34" t="s">
        <v>3867</v>
      </c>
      <c r="J1" s="34" t="s">
        <v>3868</v>
      </c>
      <c r="K1" s="34" t="s">
        <v>3869</v>
      </c>
      <c r="L1" s="34" t="s">
        <v>11</v>
      </c>
      <c r="M1" s="34" t="s">
        <v>3870</v>
      </c>
      <c r="N1" s="34" t="s">
        <v>3871</v>
      </c>
      <c r="O1" s="34" t="s">
        <v>12</v>
      </c>
      <c r="P1" s="34" t="s">
        <v>3872</v>
      </c>
    </row>
    <row r="2" spans="1:16">
      <c r="A2" t="s">
        <v>158</v>
      </c>
      <c r="B2" s="24">
        <v>1</v>
      </c>
      <c r="C2" s="25" t="s">
        <v>3873</v>
      </c>
      <c r="D2" t="s">
        <v>210</v>
      </c>
      <c r="E2" t="s">
        <v>194</v>
      </c>
      <c r="F2" s="29" t="str" cm="1">
        <f t="array" ref="F2:G45">_xlfn.LET(_xlpm.pcn,_xlfn._xlws.SORT(_xlfn.UNIQUE(_xlfn._xlws.FILTER($E$2:$E$1288,($E$2:$E$1288&lt;&gt;"")*ISNUMBER(_xlfn.XMATCH($E$2:$E$1288,$C$2:$C$1288)),""))),_xlfn.HSTACK(_xlpm.pcn,_xlfn.XLOOKUP(_xlpm.pcn,$C$2:$C$1288,$B$2:$B$1288,"")))</f>
        <v>20231031008</v>
      </c>
      <c r="G2">
        <v>2</v>
      </c>
      <c r="H2" s="29" cm="1">
        <f t="array" ref="H2:P45">_xlfn._xlws.FILTER('RA index'!$A$2:$I$185,ISNUMBER(_xlfn.XMATCH('RA index'!$A$2:$A$185&amp;"",_xlfn.CHOOSECOLS(_xlfn.ANCHORARRAY($F$2),2)&amp;"")),"No matching RA")</f>
        <v>2</v>
      </c>
      <c r="I2" t="str">
        <v>20231031008</v>
      </c>
      <c r="J2" t="str">
        <v>OP07CDR</v>
      </c>
      <c r="K2">
        <v>1</v>
      </c>
      <c r="L2" t="str">
        <v>Fab Site</v>
      </c>
      <c r="M2" t="str">
        <v>Design, Wafer Fab Site</v>
      </c>
      <c r="N2" t="str">
        <v>2023-10-31</v>
      </c>
      <c r="O2" t="str">
        <v>Qualification of RFAB using qualified Process Technology and Die Revision for select devices</v>
      </c>
      <c r="P2" t="str">
        <v>PCN_20231031008__MPN_OP07CDR.xlsx</v>
      </c>
    </row>
    <row r="3" spans="1:16">
      <c r="A3" t="s">
        <v>166</v>
      </c>
      <c r="B3" s="24">
        <v>2</v>
      </c>
      <c r="C3" s="25" t="s">
        <v>702</v>
      </c>
      <c r="D3" t="s">
        <v>197</v>
      </c>
      <c r="E3" t="s">
        <v>197</v>
      </c>
      <c r="F3" s="29" t="str">
        <v>20240312001</v>
      </c>
      <c r="G3">
        <v>4</v>
      </c>
      <c r="H3">
        <v>4</v>
      </c>
      <c r="I3" t="str">
        <v>20240312001</v>
      </c>
      <c r="J3" t="str">
        <v>DAC7760IPWPR; DAC8760IPWPR</v>
      </c>
      <c r="K3">
        <v>2</v>
      </c>
      <c r="L3" t="str">
        <v>Material</v>
      </c>
      <c r="M3" t="str">
        <v>Material</v>
      </c>
      <c r="N3" t="str">
        <v>2024-03-14</v>
      </c>
      <c r="O3" t="str">
        <v>Qualify New Assembly Material set for Selected Device(s)</v>
      </c>
      <c r="P3" t="str">
        <v>PCN_20240312001__MPN_DAC7760IPWPR+DAC8760IPWPR.xlsx</v>
      </c>
    </row>
    <row r="4" spans="1:16">
      <c r="A4" t="s">
        <v>224</v>
      </c>
      <c r="B4" s="24">
        <v>3</v>
      </c>
      <c r="C4" s="25" t="s">
        <v>1135</v>
      </c>
      <c r="D4" t="s">
        <v>197</v>
      </c>
      <c r="E4" t="s">
        <v>210</v>
      </c>
      <c r="F4" s="29" t="str">
        <v>20240320000</v>
      </c>
      <c r="G4">
        <v>12</v>
      </c>
      <c r="H4">
        <v>12</v>
      </c>
      <c r="I4" t="str">
        <v>20240320000</v>
      </c>
      <c r="J4" t="str">
        <v>SN3138064RGCR</v>
      </c>
      <c r="K4">
        <v>1</v>
      </c>
      <c r="L4" t="str">
        <v>Material</v>
      </c>
      <c r="M4" t="str">
        <v>Material</v>
      </c>
      <c r="N4" t="str">
        <v>2024-03-20</v>
      </c>
      <c r="O4" t="str">
        <v>Qualification alternate Mount &amp; Mold Compound material for select devices</v>
      </c>
      <c r="P4" t="str">
        <v>PCN_20240320000__MPN_SN3138064RGCR.xlsx</v>
      </c>
    </row>
    <row r="5" spans="1:16">
      <c r="A5" t="s">
        <v>258</v>
      </c>
      <c r="B5" s="24">
        <v>4</v>
      </c>
      <c r="C5" s="25" t="s">
        <v>1181</v>
      </c>
      <c r="D5" t="s">
        <v>205</v>
      </c>
      <c r="E5" t="s">
        <v>225</v>
      </c>
      <c r="F5" s="29" t="str">
        <v>20240325002</v>
      </c>
      <c r="G5">
        <v>23</v>
      </c>
      <c r="H5">
        <v>23</v>
      </c>
      <c r="I5" t="str">
        <v>20240325002</v>
      </c>
      <c r="J5" t="str">
        <v>UCC5350MCQDWVRQ1</v>
      </c>
      <c r="K5">
        <v>1</v>
      </c>
      <c r="L5" t="str">
        <v>Fab and Assembly/Test Sites</v>
      </c>
      <c r="M5" t="str">
        <v>Fab and Assembly/Test Sites</v>
      </c>
      <c r="N5" t="str">
        <v>2024-03-26</v>
      </c>
      <c r="O5" t="str">
        <v>Qualification of RFAB as an additional Fab site option and additional Assembly BOM options for select devices.</v>
      </c>
      <c r="P5" t="str">
        <v>PCN_20240325002__MPN_UCC5350MCQDWVRQ1.xlsx</v>
      </c>
    </row>
    <row r="6" spans="1:16">
      <c r="A6" t="s">
        <v>249</v>
      </c>
      <c r="B6" s="24">
        <v>5</v>
      </c>
      <c r="C6" s="25" t="s">
        <v>1181</v>
      </c>
      <c r="D6" t="s">
        <v>216</v>
      </c>
      <c r="E6" t="s">
        <v>238</v>
      </c>
      <c r="F6" s="29" t="str">
        <v>20240326001</v>
      </c>
      <c r="G6">
        <v>24</v>
      </c>
      <c r="H6">
        <v>24</v>
      </c>
      <c r="I6" t="str">
        <v>20240326001</v>
      </c>
      <c r="J6" t="str">
        <v>INA190A3IDCKR; INA199A1DCKR</v>
      </c>
      <c r="K6">
        <v>2</v>
      </c>
      <c r="L6" t="str">
        <v>Material</v>
      </c>
      <c r="M6" t="str">
        <v>Material</v>
      </c>
      <c r="N6" t="str">
        <v>2024-03-27</v>
      </c>
      <c r="O6" t="str">
        <v>Qualification alternate Mount Compound material for select devices</v>
      </c>
      <c r="P6" t="str">
        <v>PCN_20240326001__MPN_INA190A3IDCKR+INA199A1DCKR.xlsx</v>
      </c>
    </row>
    <row r="7" spans="1:16">
      <c r="A7" t="s">
        <v>277</v>
      </c>
      <c r="B7" s="24">
        <v>6</v>
      </c>
      <c r="C7" s="25" t="s">
        <v>1181</v>
      </c>
      <c r="D7" t="s">
        <v>240</v>
      </c>
      <c r="E7" t="s">
        <v>240</v>
      </c>
      <c r="F7" s="29" t="str">
        <v>20240508001</v>
      </c>
      <c r="G7">
        <v>31</v>
      </c>
      <c r="H7">
        <v>31</v>
      </c>
      <c r="I7" t="str">
        <v>20240508001</v>
      </c>
      <c r="J7" t="str">
        <v>SN1710027DRLR; TMP112AIDRLR</v>
      </c>
      <c r="K7">
        <v>2</v>
      </c>
      <c r="L7" t="str">
        <v>Fab and Assembly/Test Sites</v>
      </c>
      <c r="M7" t="str">
        <v>Fab and Assembly/Test Sites</v>
      </c>
      <c r="N7" t="str">
        <v>2024-05-08</v>
      </c>
      <c r="O7" t="str">
        <v>Qualification of RFAB using qualified Process Technology, Die Revision and additional Assembly site/BOM options for select devices</v>
      </c>
      <c r="P7" t="str">
        <v>PCN_20240508001__MPN_SN1710027DRLR+TMP112AIDRLR.xlsx</v>
      </c>
    </row>
    <row r="8" spans="1:16">
      <c r="A8" t="s">
        <v>286</v>
      </c>
      <c r="B8" s="24">
        <v>7</v>
      </c>
      <c r="C8" s="25" t="s">
        <v>1181</v>
      </c>
      <c r="D8" t="s">
        <v>240</v>
      </c>
      <c r="E8" t="s">
        <v>263</v>
      </c>
      <c r="F8" s="29" t="str">
        <v>20240605000</v>
      </c>
      <c r="G8">
        <v>33</v>
      </c>
      <c r="H8">
        <v>33</v>
      </c>
      <c r="I8" t="str">
        <v>20240605000</v>
      </c>
      <c r="J8" t="str">
        <v>SN3138064RGCR</v>
      </c>
      <c r="K8">
        <v>1</v>
      </c>
      <c r="L8" t="str">
        <v>Material</v>
      </c>
      <c r="M8" t="str">
        <v>Material</v>
      </c>
      <c r="N8" t="str">
        <v>2024-06-06</v>
      </c>
      <c r="O8" t="str">
        <v>Add Cu as Alternative Wire Base Metal for Selected Device(s)</v>
      </c>
      <c r="P8" t="str">
        <v>PCN_20240605000__MPN_SN3138064RGCR.xlsx</v>
      </c>
    </row>
    <row r="9" spans="1:16">
      <c r="A9" t="s">
        <v>291</v>
      </c>
      <c r="B9" s="24">
        <v>8</v>
      </c>
      <c r="C9" s="25" t="s">
        <v>1181</v>
      </c>
      <c r="D9" t="s">
        <v>300</v>
      </c>
      <c r="E9" t="s">
        <v>266</v>
      </c>
      <c r="F9" s="29" t="str">
        <v>20240626000</v>
      </c>
      <c r="G9">
        <v>48</v>
      </c>
      <c r="H9">
        <v>48</v>
      </c>
      <c r="I9" t="str">
        <v>20240626000</v>
      </c>
      <c r="J9" t="str">
        <v>LMG3410R050RWHR; LMG3410R050RWHT; LMG3411R050RWHR; LMG3411R070RWHR; LMG3411R150RWHR</v>
      </c>
      <c r="K9">
        <v>5</v>
      </c>
      <c r="L9" t="str">
        <v>Material</v>
      </c>
      <c r="M9" t="str">
        <v>Material</v>
      </c>
      <c r="N9" t="str">
        <v>2024-06-26</v>
      </c>
      <c r="O9" t="str">
        <v>Qualification of new Mount Compound for select devices</v>
      </c>
      <c r="P9" t="str">
        <v>PCN_20240626000__MPN_LMG3410R050RWHR+LMG3410R050RWHT+LMG3411R050RWHR+LMG3411R070RWHR+LMG3411R150RWHR.xlsx</v>
      </c>
    </row>
    <row r="10" spans="1:16">
      <c r="A10" t="s">
        <v>307</v>
      </c>
      <c r="B10" s="24">
        <v>9</v>
      </c>
      <c r="C10" s="25" t="s">
        <v>1181</v>
      </c>
      <c r="D10" t="s">
        <v>266</v>
      </c>
      <c r="E10" t="s">
        <v>268</v>
      </c>
      <c r="F10" s="29" t="str">
        <v>20240723008</v>
      </c>
      <c r="G10">
        <v>60</v>
      </c>
      <c r="H10">
        <v>60</v>
      </c>
      <c r="I10" t="str">
        <v>20240723008</v>
      </c>
      <c r="J10" t="str">
        <v>UCC27200ADDAR; UCC27200ADRMR; UCC27200DR; UCC27201ADDAR; UCC27201ADRCR; UCC27201ADRMR; UCC27201AQDDARQ1; UCC27201DR; UCC27211ADRMR; UCC27211AQDDARQ1; UCC27211DDAR; UCC27211DPRR</v>
      </c>
      <c r="K10">
        <v>12</v>
      </c>
      <c r="L10" t="str">
        <v>Fab and Assembly/Test Sites</v>
      </c>
      <c r="M10" t="str">
        <v>Fab and Assembly/Test Sites</v>
      </c>
      <c r="N10" t="str">
        <v>2024-07-24</v>
      </c>
      <c r="O10" t="str">
        <v>Qualification of AIZU using qualified Process Technology, Die Revision, Datasheet update and additional Assembly Site/BOM options for select devices</v>
      </c>
      <c r="P10" t="str">
        <v>PCN_20240723008__MPN_UCC27200ADDAR+UCC27200ADRMR+UCC27200DR+UCC27201ADDAR+UCC27201ADRCR+UCC27201ADRMR+UCC27201AQDDARQ1+UCC27201DR+UCC27211ADRMR+UCC27211AQDDARQ1+UCC27211DDAR+UCC27211DPRR.xlsx</v>
      </c>
    </row>
    <row r="11" spans="1:16">
      <c r="A11" t="s">
        <v>293</v>
      </c>
      <c r="B11" s="24">
        <v>10</v>
      </c>
      <c r="C11" s="25" t="s">
        <v>1181</v>
      </c>
      <c r="D11" t="s">
        <v>268</v>
      </c>
      <c r="E11" t="s">
        <v>325</v>
      </c>
      <c r="F11" s="29" t="str">
        <v>20240724001</v>
      </c>
      <c r="G11">
        <v>61</v>
      </c>
      <c r="H11">
        <v>61</v>
      </c>
      <c r="I11" t="str">
        <v>20240724001</v>
      </c>
      <c r="J11" t="str">
        <v>BQ771803DPJR</v>
      </c>
      <c r="K11">
        <v>1</v>
      </c>
      <c r="L11" t="str">
        <v>Material</v>
      </c>
      <c r="M11" t="str">
        <v>Material</v>
      </c>
      <c r="N11" t="str">
        <v>2024-07-26</v>
      </c>
      <c r="O11" t="str">
        <v>Qualification of an alternate Lead Finish material for select devices</v>
      </c>
      <c r="P11" t="str">
        <v>PCN_20240724001__MPN_BQ771803DPJR.xlsx</v>
      </c>
    </row>
    <row r="12" spans="1:16">
      <c r="A12" t="s">
        <v>298</v>
      </c>
      <c r="B12" s="24">
        <v>11</v>
      </c>
      <c r="C12" s="25" t="s">
        <v>1227</v>
      </c>
      <c r="D12" t="s">
        <v>343</v>
      </c>
      <c r="E12" t="s">
        <v>341</v>
      </c>
      <c r="F12" s="29" t="str">
        <v>20240806003</v>
      </c>
      <c r="G12">
        <v>64</v>
      </c>
      <c r="H12">
        <v>64</v>
      </c>
      <c r="I12" t="str">
        <v>20240806003</v>
      </c>
      <c r="J12" t="str">
        <v>CD4541BE; CD4541BM96</v>
      </c>
      <c r="K12">
        <v>2</v>
      </c>
      <c r="L12" t="str">
        <v>Fab Site</v>
      </c>
      <c r="M12" t="str">
        <v>Fab Site</v>
      </c>
      <c r="N12" t="str">
        <v>2024-08-06</v>
      </c>
      <c r="O12" t="str">
        <v>Qualification of DFAB as an additional Wafer Fab site option for select devices</v>
      </c>
      <c r="P12" t="str">
        <v>PCN_20240806003__MPN_CD4541BE+CD4541BM96.xlsx</v>
      </c>
    </row>
    <row r="13" spans="1:16">
      <c r="A13" t="s">
        <v>312</v>
      </c>
      <c r="B13" s="24">
        <v>12</v>
      </c>
      <c r="C13" s="25" t="s">
        <v>1212</v>
      </c>
      <c r="D13" t="s">
        <v>336</v>
      </c>
      <c r="E13" t="s">
        <v>336</v>
      </c>
      <c r="F13" s="29" t="str">
        <v>20240813001</v>
      </c>
      <c r="G13">
        <v>65</v>
      </c>
      <c r="H13">
        <v>65</v>
      </c>
      <c r="I13" t="str">
        <v>20240813001</v>
      </c>
      <c r="J13" t="str">
        <v>F280023PTQR; F280039CPZQ1; F28384DPTPQR; TMS320F28075PTPQ; TMS320F28075PZPQ; TMS320F28377DPTPQ; TMS320F28377SPTPQ</v>
      </c>
      <c r="K13">
        <v>7</v>
      </c>
      <c r="L13" t="str">
        <v>Material</v>
      </c>
      <c r="M13" t="str">
        <v>Material</v>
      </c>
      <c r="N13" t="str">
        <v>2024-08-14</v>
      </c>
      <c r="O13" t="str">
        <v>Qualification of additional low-COP wafer substrate type for select F65 products</v>
      </c>
      <c r="P13" t="str">
        <v>PCN_20240813001__MPN_F280023PTQR+F280039CPZQ1+F28384DPTPQR+TMS320F28075PTPQ+TMS320F28075PZPQ+TMS320F28377DPTPQ+TMS320F28377SPTPQ.xlsx</v>
      </c>
    </row>
    <row r="14" spans="1:16">
      <c r="A14" t="s">
        <v>327</v>
      </c>
      <c r="B14" s="24">
        <v>13</v>
      </c>
      <c r="C14" s="25" t="s">
        <v>1212</v>
      </c>
      <c r="D14" t="s">
        <v>351</v>
      </c>
      <c r="E14" t="s">
        <v>351</v>
      </c>
      <c r="F14" s="29" t="str">
        <v>20241015002</v>
      </c>
      <c r="G14">
        <v>66</v>
      </c>
      <c r="H14">
        <v>66</v>
      </c>
      <c r="I14" t="str">
        <v>20241015002</v>
      </c>
      <c r="J14" t="str">
        <v>UC2842AD8TR</v>
      </c>
      <c r="K14">
        <v>1</v>
      </c>
      <c r="L14" t="str">
        <v>Data Sheet</v>
      </c>
      <c r="M14" t="str">
        <v>Data Sheet</v>
      </c>
      <c r="N14" t="str">
        <v>2024-10-17</v>
      </c>
      <c r="O14" t="str">
        <v>Datasheet for UCx84xA, TLx84x, TLx84xB and UC2842AQ, UC2843AQ, UC2844AQ, UC2845AQ, UC2843A-Q1</v>
      </c>
      <c r="P14" t="str">
        <v>PCN_20241015002__MPN_UC2842AD8TR.xlsx</v>
      </c>
    </row>
    <row r="15" spans="1:16">
      <c r="A15" t="s">
        <v>348</v>
      </c>
      <c r="B15" s="24">
        <v>14</v>
      </c>
      <c r="C15" s="25" t="s">
        <v>1212</v>
      </c>
      <c r="D15" t="s">
        <v>387</v>
      </c>
      <c r="E15" t="s">
        <v>356</v>
      </c>
      <c r="F15" s="29" t="str">
        <v>20241015003</v>
      </c>
      <c r="G15">
        <v>85</v>
      </c>
      <c r="H15">
        <v>85</v>
      </c>
      <c r="I15" t="str">
        <v>20241015003</v>
      </c>
      <c r="J15" t="str">
        <v>UC2842ADTR</v>
      </c>
      <c r="K15">
        <v>1</v>
      </c>
      <c r="L15" t="str">
        <v>Fab and Assembly/Test Sites</v>
      </c>
      <c r="M15" t="str">
        <v>Fab and Assembly/Test Sites</v>
      </c>
      <c r="N15" t="str">
        <v>2024-10-16</v>
      </c>
      <c r="O15" t="str">
        <v>Qualification of RFAB using qualified Process Technology, Die Revision, &amp; Assembly site (TI Mexico) &amp; BOM options for select devices</v>
      </c>
      <c r="P15" t="str">
        <v>PCN_20241015003__MPN_UC2842ADTR.xlsx</v>
      </c>
    </row>
    <row r="16" spans="1:16">
      <c r="A16" t="s">
        <v>363</v>
      </c>
      <c r="B16" s="24">
        <v>15</v>
      </c>
      <c r="C16" s="25" t="s">
        <v>1212</v>
      </c>
      <c r="D16" t="s">
        <v>380</v>
      </c>
      <c r="E16" t="s">
        <v>385</v>
      </c>
      <c r="F16" s="29" t="str">
        <v>20241106000</v>
      </c>
      <c r="G16">
        <v>95</v>
      </c>
      <c r="H16">
        <v>95</v>
      </c>
      <c r="I16" t="str">
        <v>20241106000</v>
      </c>
      <c r="J16" t="str">
        <v>UCC27614DSGR; UCC27624DR; UCC27624QDRQ1</v>
      </c>
      <c r="K16">
        <v>3</v>
      </c>
      <c r="L16" t="str">
        <v>Fab Site</v>
      </c>
      <c r="M16" t="str">
        <v>Fab Site</v>
      </c>
      <c r="N16" t="str">
        <v>2024-11-07</v>
      </c>
      <c r="O16" t="str">
        <v>Qualification of RFAB as additional Fab site for select LBC9 devices</v>
      </c>
      <c r="P16" t="str">
        <v>PCN_20241106000__MPN_UCC27614DSGR+UCC27624DR+UCC27624QDRQ1.xlsx</v>
      </c>
    </row>
    <row r="17" spans="1:16">
      <c r="A17" t="s">
        <v>365</v>
      </c>
      <c r="B17" s="24">
        <v>16</v>
      </c>
      <c r="C17" s="25" t="s">
        <v>1212</v>
      </c>
      <c r="D17" t="s">
        <v>405</v>
      </c>
      <c r="E17" t="s">
        <v>380</v>
      </c>
      <c r="F17" s="29" t="str">
        <v>20250110000</v>
      </c>
      <c r="G17">
        <v>106</v>
      </c>
      <c r="H17">
        <v>106</v>
      </c>
      <c r="I17" t="str">
        <v>20250110000</v>
      </c>
      <c r="J17" t="str">
        <v>F2800152QPHPRQ1; F2800154QPHPRQ1; F2800157QPNQ1</v>
      </c>
      <c r="K17">
        <v>3</v>
      </c>
      <c r="L17" t="str">
        <v>Fab Site</v>
      </c>
      <c r="M17" t="str">
        <v>Fab Site</v>
      </c>
      <c r="N17" t="str">
        <v>2025-01-15</v>
      </c>
      <c r="O17" t="str">
        <v>Qualification of LFAB as an additional Wafer Fab site option, low-COP wafer substrate, datasheet and bond wire removal for select F65 devices</v>
      </c>
      <c r="P17" t="str">
        <v>PCN_20250110000__MPN_F2800152QPHPRQ1+F2800154QPHPRQ1+F2800157QPNQ1.xlsx</v>
      </c>
    </row>
    <row r="18" spans="1:16">
      <c r="A18" t="s">
        <v>471</v>
      </c>
      <c r="B18" s="24">
        <v>17</v>
      </c>
      <c r="C18" s="25" t="s">
        <v>1212</v>
      </c>
      <c r="D18" t="s">
        <v>412</v>
      </c>
      <c r="E18" t="s">
        <v>393</v>
      </c>
      <c r="F18" s="29" t="str">
        <v>20250213002</v>
      </c>
      <c r="G18">
        <v>113</v>
      </c>
      <c r="H18">
        <v>113</v>
      </c>
      <c r="I18" t="str">
        <v>20250213002</v>
      </c>
      <c r="J18" t="str">
        <v>LP5562TME/NOPB</v>
      </c>
      <c r="K18">
        <v>1</v>
      </c>
      <c r="L18" t="str">
        <v>Material</v>
      </c>
      <c r="M18" t="str">
        <v>Material</v>
      </c>
      <c r="N18" t="str">
        <v>2025-02-14</v>
      </c>
      <c r="O18" t="str">
        <v>Qualification of Die Coat material change for select devices</v>
      </c>
      <c r="P18" t="str">
        <v>PCN_20250213002__MPN_LP5562TME-NOPB.xlsx</v>
      </c>
    </row>
    <row r="19" spans="1:16">
      <c r="A19" t="s">
        <v>474</v>
      </c>
      <c r="B19" s="24">
        <v>18</v>
      </c>
      <c r="C19" s="25" t="s">
        <v>1212</v>
      </c>
      <c r="D19" t="s">
        <v>420</v>
      </c>
      <c r="E19" t="s">
        <v>403</v>
      </c>
      <c r="F19" s="29" t="str">
        <v>20250226003</v>
      </c>
      <c r="G19">
        <v>114</v>
      </c>
      <c r="H19">
        <v>114</v>
      </c>
      <c r="I19" t="str">
        <v>20250226003</v>
      </c>
      <c r="J19" t="str">
        <v>LM60BIM3X/NOPB</v>
      </c>
      <c r="K19">
        <v>1</v>
      </c>
      <c r="L19" t="str">
        <v>Fab and Assembly/Test Sites</v>
      </c>
      <c r="M19" t="str">
        <v>Fab and Assembly/Test Sites</v>
      </c>
      <c r="N19" t="str">
        <v>2025-02-26</v>
      </c>
      <c r="O19" t="str">
        <v>Qualification of RFAB using qualified Process Technology, Die Revision, Datasheet and additional Assembly Site/BOM options for select devices</v>
      </c>
      <c r="P19" t="str">
        <v>PCN_20250226003__MPN_LM60BIM3X-NOPB.xlsx</v>
      </c>
    </row>
    <row r="20" spans="1:16">
      <c r="A20" t="s">
        <v>492</v>
      </c>
      <c r="B20" s="24">
        <v>19</v>
      </c>
      <c r="C20" s="25" t="s">
        <v>1212</v>
      </c>
      <c r="D20" t="s">
        <v>420</v>
      </c>
      <c r="E20" t="s">
        <v>412</v>
      </c>
      <c r="F20" t="str">
        <v>20250226008</v>
      </c>
      <c r="G20">
        <v>115</v>
      </c>
      <c r="H20">
        <v>115</v>
      </c>
      <c r="I20" t="str">
        <v>20250226008</v>
      </c>
      <c r="J20" t="str">
        <v>INA226AIDGSR; INA226AQDGSRQ1</v>
      </c>
      <c r="K20">
        <v>2</v>
      </c>
      <c r="L20" t="str">
        <v>Fab and Assembly/Test Sites</v>
      </c>
      <c r="M20" t="str">
        <v>Fab and Assembly/Test Sites</v>
      </c>
      <c r="N20" t="str">
        <v>2025-02-26</v>
      </c>
      <c r="O20" t="str">
        <v>Qualification of RFAB using qualified Process Technology, Die Revision, Assembly/test site (MLA) and BOM updates</v>
      </c>
      <c r="P20" t="str">
        <v>PCN_20250226008__MPN_INA226AIDGSR+INA226AQDGSRQ1.xlsx</v>
      </c>
    </row>
    <row r="21" spans="1:16">
      <c r="A21" t="s">
        <v>516</v>
      </c>
      <c r="B21" s="24">
        <v>20</v>
      </c>
      <c r="C21" s="25" t="s">
        <v>1212</v>
      </c>
      <c r="D21" t="s">
        <v>420</v>
      </c>
      <c r="E21" t="s">
        <v>417</v>
      </c>
      <c r="F21" t="str">
        <v>20250303003</v>
      </c>
      <c r="G21">
        <v>116</v>
      </c>
      <c r="H21">
        <v>116</v>
      </c>
      <c r="I21" t="str">
        <v>20250303003</v>
      </c>
      <c r="J21" t="str">
        <v>TLC6C5724QDAPRQ1</v>
      </c>
      <c r="K21">
        <v>1</v>
      </c>
      <c r="L21" t="str">
        <v>Material</v>
      </c>
      <c r="M21" t="str">
        <v>Material</v>
      </c>
      <c r="N21" t="str">
        <v>2025-03-05</v>
      </c>
      <c r="O21" t="str">
        <v>Qualification of an alternate mount compound material for select devices</v>
      </c>
      <c r="P21" t="str">
        <v>PCN_20250303003__MPN_TLC6C5724QDAPRQ1.xlsx</v>
      </c>
    </row>
    <row r="22" spans="1:16">
      <c r="A22" t="s">
        <v>538</v>
      </c>
      <c r="B22" s="24">
        <v>21</v>
      </c>
      <c r="C22" s="25" t="s">
        <v>1212</v>
      </c>
      <c r="D22" t="s">
        <v>456</v>
      </c>
      <c r="E22" t="s">
        <v>420</v>
      </c>
      <c r="F22" t="str">
        <v>20250319001</v>
      </c>
      <c r="G22">
        <v>117</v>
      </c>
      <c r="H22">
        <v>117</v>
      </c>
      <c r="I22" t="str">
        <v>20250319001</v>
      </c>
      <c r="J22" t="str">
        <v>UCC2803QDRQ1</v>
      </c>
      <c r="K22">
        <v>1</v>
      </c>
      <c r="L22" t="str">
        <v>Fab Site</v>
      </c>
      <c r="M22" t="str">
        <v>Fab Site</v>
      </c>
      <c r="N22" t="str">
        <v>2025-05-01</v>
      </c>
      <c r="O22" t="str">
        <v>Qualification of RFAB using qualified Process Technology, Die Revision, Datasheet and additional Assembly BOM options for select devices</v>
      </c>
      <c r="P22" t="str">
        <v>PCN_20250319001__MPN_UCC2803QDRQ1.xlsx</v>
      </c>
    </row>
    <row r="23" spans="1:16">
      <c r="A23" t="s">
        <v>545</v>
      </c>
      <c r="B23" s="24">
        <v>22</v>
      </c>
      <c r="C23" s="25" t="s">
        <v>1212</v>
      </c>
      <c r="D23" t="s">
        <v>456</v>
      </c>
      <c r="E23" t="s">
        <v>439</v>
      </c>
      <c r="F23" t="str">
        <v>20250319003</v>
      </c>
      <c r="G23">
        <v>121</v>
      </c>
      <c r="H23">
        <v>121</v>
      </c>
      <c r="I23" t="str">
        <v>20250319003</v>
      </c>
      <c r="J23" t="str">
        <v>INA138NA/3K; INA139NA/3K; INA168QDBVRQ1; INA169NA/3K</v>
      </c>
      <c r="K23">
        <v>4</v>
      </c>
      <c r="L23" t="str">
        <v>Fab and Assembly/Test Sites</v>
      </c>
      <c r="M23" t="str">
        <v>Fab and Assembly/Test Sites</v>
      </c>
      <c r="N23" t="str">
        <v>2025-06-05</v>
      </c>
      <c r="O23" t="str">
        <v>Qualification of DFAB as an additional Wafer Fab site option for select devices</v>
      </c>
      <c r="P23" t="str">
        <v>PCN_20250319003__MPN_INA138NA-3K+INA139NA-3K+INA168QDBVRQ1+INA169NA-3K.xlsx</v>
      </c>
    </row>
    <row r="24" spans="1:16">
      <c r="A24" t="s">
        <v>595</v>
      </c>
      <c r="B24" s="24">
        <v>23</v>
      </c>
      <c r="C24" s="25" t="s">
        <v>1237</v>
      </c>
      <c r="D24" t="s">
        <v>439</v>
      </c>
      <c r="E24" t="s">
        <v>463</v>
      </c>
      <c r="F24" t="str">
        <v>20250325001</v>
      </c>
      <c r="G24">
        <v>122</v>
      </c>
      <c r="H24">
        <v>122</v>
      </c>
      <c r="I24" t="str">
        <v>20250325001</v>
      </c>
      <c r="J24" t="str">
        <v>UCC27528QDRQ1</v>
      </c>
      <c r="K24">
        <v>1</v>
      </c>
      <c r="L24" t="str">
        <v>Material</v>
      </c>
      <c r="M24" t="str">
        <v>Material</v>
      </c>
      <c r="N24" t="str">
        <v>2025-03-26</v>
      </c>
      <c r="O24" t="str">
        <v>Qualification of additional BOM materials for selected devices</v>
      </c>
      <c r="P24" t="str">
        <v>PCN_20250325001__MPN_UCC27528QDRQ1.xlsx</v>
      </c>
    </row>
    <row r="25" spans="1:16">
      <c r="A25" t="s">
        <v>628</v>
      </c>
      <c r="B25" s="24">
        <v>24</v>
      </c>
      <c r="C25" s="25" t="s">
        <v>1249</v>
      </c>
      <c r="D25" t="s">
        <v>448</v>
      </c>
      <c r="E25" t="s">
        <v>448</v>
      </c>
      <c r="F25" t="str">
        <v>20250404000</v>
      </c>
      <c r="G25">
        <v>123</v>
      </c>
      <c r="H25">
        <v>123</v>
      </c>
      <c r="I25" t="str">
        <v>20250404000</v>
      </c>
      <c r="J25" t="str">
        <v>F280040PMQR; F280041PMS; F280041PZQR; F280041PZS; F280041PZSR; F280048PMQR; F280049CPMSR; F280049PMS; F280049PMSR; F280049PZQR; F280049PZS; F280049PZSR</v>
      </c>
      <c r="K25">
        <v>12</v>
      </c>
      <c r="L25" t="str">
        <v>Fab Site</v>
      </c>
      <c r="M25" t="str">
        <v>Fab Site</v>
      </c>
      <c r="N25" t="str">
        <v>2025-04-04</v>
      </c>
      <c r="O25" t="str">
        <v>Qualification of LFAB as an additional Wafer Fab site option for select devices</v>
      </c>
      <c r="P25" t="str">
        <v>PCN_20250404000__MPN_F280040PMQR+F280041PMS+F280041PZQR+F280041PZS+F280041PZSR+F280048PMQR+F280049CPMSR+F280049PMS+F280049PMSR+F280049PZQR+F280049PZS+F280049PZSR.xlsx</v>
      </c>
    </row>
    <row r="26" spans="1:16">
      <c r="A26" t="s">
        <v>619</v>
      </c>
      <c r="B26" s="24">
        <v>25</v>
      </c>
      <c r="C26" s="25" t="s">
        <v>1249</v>
      </c>
      <c r="D26" t="s">
        <v>448</v>
      </c>
      <c r="E26" t="s">
        <v>477</v>
      </c>
      <c r="F26" t="str">
        <v>20250417003</v>
      </c>
      <c r="G26">
        <v>125</v>
      </c>
      <c r="H26">
        <v>125</v>
      </c>
      <c r="I26" t="str">
        <v>20250417003</v>
      </c>
      <c r="J26" t="str">
        <v>UCC21550BQDWRQ1</v>
      </c>
      <c r="K26">
        <v>1</v>
      </c>
      <c r="L26" t="str">
        <v>Material</v>
      </c>
      <c r="M26" t="str">
        <v>Material</v>
      </c>
      <c r="N26" t="str">
        <v>2025-04-28</v>
      </c>
      <c r="O26" t="str">
        <v>Qualify additional BOM material for select package devices</v>
      </c>
      <c r="P26" t="str">
        <v>PCN_20250417003__MPN_UCC21550BQDWRQ1.xlsx</v>
      </c>
    </row>
    <row r="27" spans="1:16">
      <c r="A27" t="s">
        <v>711</v>
      </c>
      <c r="B27" s="24">
        <v>26</v>
      </c>
      <c r="C27" s="25" t="s">
        <v>1249</v>
      </c>
      <c r="D27" t="s">
        <v>448</v>
      </c>
      <c r="E27" t="s">
        <v>486</v>
      </c>
      <c r="F27" t="str">
        <v>20250430002</v>
      </c>
      <c r="G27">
        <v>126</v>
      </c>
      <c r="H27">
        <v>126</v>
      </c>
      <c r="I27" t="str">
        <v>20250430002</v>
      </c>
      <c r="J27" t="str">
        <v>UCC2801DTR</v>
      </c>
      <c r="K27">
        <v>1</v>
      </c>
      <c r="L27" t="str">
        <v>Fab and Assembly/Test Sites</v>
      </c>
      <c r="M27" t="str">
        <v>Fab and Assembly/Test Sites</v>
      </c>
      <c r="N27" t="str">
        <v>2025-05-01</v>
      </c>
      <c r="O27" t="str">
        <v>Qualification of RFAB using qualified Process Technology, Die Revision, Datasheet and additional Assembly Site &amp; BOM options for select devices</v>
      </c>
      <c r="P27" t="str">
        <v>PCN_20250430002__MPN_UCC2801DTR.xlsx</v>
      </c>
    </row>
    <row r="28" spans="1:16">
      <c r="A28" t="s">
        <v>723</v>
      </c>
      <c r="B28" s="24">
        <v>27</v>
      </c>
      <c r="C28" s="25" t="s">
        <v>1249</v>
      </c>
      <c r="D28" t="s">
        <v>480</v>
      </c>
      <c r="E28" t="s">
        <v>509</v>
      </c>
      <c r="F28" t="str">
        <v>20250514002</v>
      </c>
      <c r="G28">
        <v>130</v>
      </c>
      <c r="H28">
        <v>130</v>
      </c>
      <c r="I28" t="str">
        <v>20250514002</v>
      </c>
      <c r="J28" t="str">
        <v>TPS65100PWPR</v>
      </c>
      <c r="K28">
        <v>1</v>
      </c>
      <c r="L28" t="str">
        <v>Fab Site</v>
      </c>
      <c r="M28" t="str">
        <v>Fab Site</v>
      </c>
      <c r="N28" t="str">
        <v>2025-05-15</v>
      </c>
      <c r="O28" t="str">
        <v>Wafer Diameter Change for Select Devices in the LBC4 Process at DFAB</v>
      </c>
      <c r="P28" t="str">
        <v>PCN_20250514002__MPN_TPS65100PWPR.xlsx</v>
      </c>
    </row>
    <row r="29" spans="1:16">
      <c r="A29" t="s">
        <v>751</v>
      </c>
      <c r="B29" s="24">
        <v>28</v>
      </c>
      <c r="C29" s="25" t="s">
        <v>1304</v>
      </c>
      <c r="D29" t="s">
        <v>486</v>
      </c>
      <c r="E29" t="s">
        <v>512</v>
      </c>
      <c r="F29" t="str">
        <v>20250514003</v>
      </c>
      <c r="G29">
        <v>132</v>
      </c>
      <c r="H29">
        <v>132</v>
      </c>
      <c r="I29" t="str">
        <v>20250514003</v>
      </c>
      <c r="J29" t="str">
        <v>LM2903P; LM293P; LM393AP; LM393P</v>
      </c>
      <c r="K29">
        <v>4</v>
      </c>
      <c r="L29" t="str">
        <v>Fab Site</v>
      </c>
      <c r="M29" t="str">
        <v>Fab Site</v>
      </c>
      <c r="N29" t="str">
        <v>2025-05-19</v>
      </c>
      <c r="O29" t="str">
        <v>Qualification of RFAB using qualified Process Technology, Die Revision and Datasheet update for select devices</v>
      </c>
      <c r="P29" t="str">
        <v>PCN_20250514003__MPN_LM2903P+LM293P+LM393AP+LM393P.xlsx</v>
      </c>
    </row>
    <row r="30" spans="1:16">
      <c r="A30" t="s">
        <v>773</v>
      </c>
      <c r="B30" s="24">
        <v>29</v>
      </c>
      <c r="C30" s="25" t="s">
        <v>1346</v>
      </c>
      <c r="D30" t="s">
        <v>552</v>
      </c>
      <c r="E30" t="s">
        <v>522</v>
      </c>
      <c r="F30" t="str">
        <v>20250604003</v>
      </c>
      <c r="G30">
        <v>133</v>
      </c>
      <c r="H30">
        <v>133</v>
      </c>
      <c r="I30" t="str">
        <v>20250604003</v>
      </c>
      <c r="J30" t="str">
        <v>LM50CIM3X/NOPB</v>
      </c>
      <c r="K30">
        <v>1</v>
      </c>
      <c r="L30" t="str">
        <v>Fab and Assembly/Test Sites</v>
      </c>
      <c r="M30" t="str">
        <v>Fab and Assembly/Test Sites</v>
      </c>
      <c r="N30" t="str">
        <v>2025-06-04</v>
      </c>
      <c r="O30" t="str">
        <v>Qualification of RFAB using qualified Process Technology, Die Revision, additional Assembly/Test site (PHI), &amp; BOM options for select devices</v>
      </c>
      <c r="P30" t="str">
        <v>PCN_20250604003__MPN_LM50CIM3X-NOPB.xlsx</v>
      </c>
    </row>
    <row r="31" spans="1:16">
      <c r="A31" t="s">
        <v>772</v>
      </c>
      <c r="B31" s="24">
        <v>30</v>
      </c>
      <c r="C31" s="25" t="s">
        <v>1424</v>
      </c>
      <c r="D31" t="s">
        <v>552</v>
      </c>
      <c r="E31" t="s">
        <v>552</v>
      </c>
      <c r="F31" t="str">
        <v>20250618009</v>
      </c>
      <c r="G31">
        <v>134</v>
      </c>
      <c r="H31">
        <v>134</v>
      </c>
      <c r="I31" t="str">
        <v>20250618009</v>
      </c>
      <c r="J31" t="str">
        <v>TMP102AQDRLRQ1; TMP112AQDRLRQ1</v>
      </c>
      <c r="K31">
        <v>2</v>
      </c>
      <c r="L31" t="str">
        <v>Fab and Assembly/Test Sites</v>
      </c>
      <c r="M31" t="str">
        <v>Fab and Assembly/Test Sites</v>
      </c>
      <c r="N31" t="str">
        <v>2025-06-19</v>
      </c>
      <c r="O31" t="str">
        <v>Qualification of RFAB using qualified Process Technology, Die revision, CD-PR &amp; TIEM-PR as Probe site  and TI Philippines as an additional Assembly/Test option for select devices</v>
      </c>
      <c r="P31" t="str">
        <v>PCN_20250618009__MPN_TMP102AQDRLRQ1+TMP112AQDRLRQ1.xlsx</v>
      </c>
    </row>
    <row r="32" spans="1:16">
      <c r="A32" t="s">
        <v>852</v>
      </c>
      <c r="B32" s="24">
        <v>31</v>
      </c>
      <c r="C32" s="25" t="s">
        <v>1447</v>
      </c>
      <c r="D32" t="s">
        <v>552</v>
      </c>
      <c r="E32" t="s">
        <v>577</v>
      </c>
      <c r="F32" t="str">
        <v>20250630000</v>
      </c>
      <c r="G32">
        <v>135</v>
      </c>
      <c r="H32">
        <v>135</v>
      </c>
      <c r="I32" t="str">
        <v>20250630000</v>
      </c>
      <c r="J32" t="str">
        <v>ADS8684IDBTR</v>
      </c>
      <c r="K32">
        <v>1</v>
      </c>
      <c r="L32" t="str">
        <v>Material</v>
      </c>
      <c r="M32" t="str">
        <v>Material</v>
      </c>
      <c r="N32" t="str">
        <v>2025-07-01</v>
      </c>
      <c r="O32" t="str">
        <v>Qualify New Assembly Material set for Selected Device(s)</v>
      </c>
      <c r="P32" t="str">
        <v>PCN_20250630000__MPN_ADS8684IDBTR.xlsx</v>
      </c>
    </row>
    <row r="33" spans="1:16">
      <c r="A33" t="s">
        <v>861</v>
      </c>
      <c r="B33" s="24">
        <v>32</v>
      </c>
      <c r="C33" s="25" t="s">
        <v>1456</v>
      </c>
      <c r="D33" t="s">
        <v>552</v>
      </c>
      <c r="E33" t="s">
        <v>573</v>
      </c>
      <c r="F33" t="str">
        <v>20250701000</v>
      </c>
      <c r="G33">
        <v>137</v>
      </c>
      <c r="H33">
        <v>137</v>
      </c>
      <c r="I33" t="str">
        <v>20250701000</v>
      </c>
      <c r="J33" t="str">
        <v>UCC27714DR</v>
      </c>
      <c r="K33">
        <v>1</v>
      </c>
      <c r="L33" t="str">
        <v>Material</v>
      </c>
      <c r="M33" t="str">
        <v>Material</v>
      </c>
      <c r="N33" t="str">
        <v>2025-07-02</v>
      </c>
      <c r="O33" t="str">
        <v>Qualify New Assembly Material set for Selected Device(s)</v>
      </c>
      <c r="P33" t="str">
        <v>PCN_20250701000__MPN_UCC27714DR.xlsx</v>
      </c>
    </row>
    <row r="34" spans="1:16">
      <c r="A34" t="s">
        <v>888</v>
      </c>
      <c r="B34" s="24">
        <v>33</v>
      </c>
      <c r="C34" s="25" t="s">
        <v>1521</v>
      </c>
      <c r="D34" t="s">
        <v>563</v>
      </c>
      <c r="E34" t="s">
        <v>608</v>
      </c>
      <c r="F34" t="str">
        <v>20250730005</v>
      </c>
      <c r="G34">
        <v>140</v>
      </c>
      <c r="H34">
        <v>140</v>
      </c>
      <c r="I34" t="str">
        <v>20250730005</v>
      </c>
      <c r="J34" t="str">
        <v>UCC2808ADTR-2</v>
      </c>
      <c r="K34">
        <v>1</v>
      </c>
      <c r="L34" t="str">
        <v>Fab Site</v>
      </c>
      <c r="M34" t="str">
        <v>Fab Site</v>
      </c>
      <c r="N34" t="str">
        <v>2025-07-31</v>
      </c>
      <c r="O34" t="str">
        <v>Qualification of RFAB using qualified Process Technology, Die Revision and additional Assembly Site &amp; BOM options for select devices</v>
      </c>
      <c r="P34" t="str">
        <v>PCN_20250730005__MPN_UCC2808ADTR-2.xlsx</v>
      </c>
    </row>
    <row r="35" spans="1:16">
      <c r="A35" t="s">
        <v>885</v>
      </c>
      <c r="B35" s="24">
        <v>34</v>
      </c>
      <c r="C35" s="25" t="s">
        <v>1521</v>
      </c>
      <c r="D35" t="s">
        <v>563</v>
      </c>
      <c r="E35" t="s">
        <v>616</v>
      </c>
      <c r="F35" t="str">
        <v>20250730008</v>
      </c>
      <c r="G35">
        <v>145</v>
      </c>
      <c r="H35">
        <v>145</v>
      </c>
      <c r="I35" t="str">
        <v>20250730008</v>
      </c>
      <c r="J35" t="str">
        <v>UCC2808AQDR-2Q1</v>
      </c>
      <c r="K35">
        <v>1</v>
      </c>
      <c r="L35" t="str">
        <v>Fab Site</v>
      </c>
      <c r="M35" t="str">
        <v>Fab Site</v>
      </c>
      <c r="N35" t="str">
        <v>2025-07-31</v>
      </c>
      <c r="O35" t="str">
        <v>Qualification of RFAB using qualified Process Technology, Die Revision, Datasheet, and alternate BOM qualification for select devices</v>
      </c>
      <c r="P35" t="str">
        <v>PCN_20250730008__MPN_UCC2808AQDR-2Q1.xlsx</v>
      </c>
    </row>
    <row r="36" spans="1:16">
      <c r="A36" t="s">
        <v>973</v>
      </c>
      <c r="B36" s="24">
        <v>35</v>
      </c>
      <c r="C36" s="25" t="s">
        <v>1521</v>
      </c>
      <c r="D36" t="s">
        <v>579</v>
      </c>
      <c r="E36" t="s">
        <v>639</v>
      </c>
      <c r="F36" t="str">
        <v>20250819001</v>
      </c>
      <c r="G36">
        <v>146</v>
      </c>
      <c r="H36">
        <v>146</v>
      </c>
      <c r="I36" t="str">
        <v>20250819001</v>
      </c>
      <c r="J36" t="str">
        <v>ADC78H90CIMT/NOPB; ADC78H90CIMTX/NOPB; LMP90100MHE/NOPB</v>
      </c>
      <c r="K36">
        <v>3</v>
      </c>
      <c r="L36" t="str">
        <v>Material</v>
      </c>
      <c r="M36" t="str">
        <v>Material</v>
      </c>
      <c r="N36" t="str">
        <v>2025-08-20</v>
      </c>
      <c r="O36" t="str">
        <v>Qualification of a new BOM materials for select devices</v>
      </c>
      <c r="P36" t="str">
        <v>PCN_20250819001__MPN_ADC78H90CIMT-NOPB+ADC78H90CIMTX-NOPB+LMP90100MHE-NOPB.xlsx</v>
      </c>
    </row>
    <row r="37" spans="1:16">
      <c r="A37" t="s">
        <v>960</v>
      </c>
      <c r="B37" s="24">
        <v>36</v>
      </c>
      <c r="C37" s="25" t="s">
        <v>1521</v>
      </c>
      <c r="D37" t="s">
        <v>573</v>
      </c>
      <c r="E37" t="s">
        <v>685</v>
      </c>
      <c r="F37" t="str">
        <v>20251014000</v>
      </c>
      <c r="G37">
        <v>158</v>
      </c>
      <c r="H37">
        <v>158</v>
      </c>
      <c r="I37" t="str">
        <v>20251014000</v>
      </c>
      <c r="J37" t="str">
        <v>ADS7028IRTER; TDES954RGZR; TDES954RGZT</v>
      </c>
      <c r="K37">
        <v>3</v>
      </c>
      <c r="L37" t="str">
        <v>Material</v>
      </c>
      <c r="M37" t="str">
        <v>Material</v>
      </c>
      <c r="N37" t="str">
        <v>2025-10-15</v>
      </c>
      <c r="O37" t="str">
        <v>Qualification of an alternate Lead Finish material for select devices</v>
      </c>
      <c r="P37" t="str">
        <v>PCN_20251014000__MPN_ADS7028IRTER+TDES954RGZR+TDES954RGZT.xlsx</v>
      </c>
    </row>
    <row r="38" spans="1:16">
      <c r="A38" t="s">
        <v>987</v>
      </c>
      <c r="B38" s="24">
        <v>37</v>
      </c>
      <c r="C38" s="25" t="s">
        <v>1521</v>
      </c>
      <c r="D38" t="s">
        <v>586</v>
      </c>
      <c r="E38" t="s">
        <v>702</v>
      </c>
      <c r="F38" t="str">
        <v>20251104003</v>
      </c>
      <c r="G38">
        <v>170</v>
      </c>
      <c r="H38">
        <v>170</v>
      </c>
      <c r="I38" t="str">
        <v>20251104003</v>
      </c>
      <c r="J38" t="str">
        <v>TMP411ADGKR; TMP411CDGKR</v>
      </c>
      <c r="K38">
        <v>2</v>
      </c>
      <c r="L38" t="str">
        <v>Fab and Assembly/Test Sites</v>
      </c>
      <c r="M38" t="str">
        <v>Fab and Assembly/Test Sites</v>
      </c>
      <c r="N38" t="str">
        <v>2025-11-04</v>
      </c>
      <c r="O38" t="str">
        <v>Qualification of RFAB using qualified Process Technology, Die Change, new assembly sites (MLA &amp; MEX) and BOM updates</v>
      </c>
      <c r="P38" t="str">
        <v>PCN_20251104003__MPN_TMP411ADGKR+TMP411CDGKR.xlsx</v>
      </c>
    </row>
    <row r="39" spans="1:16">
      <c r="A39" t="s">
        <v>1028</v>
      </c>
      <c r="B39" s="24">
        <v>38</v>
      </c>
      <c r="C39" s="25" t="s">
        <v>1521</v>
      </c>
      <c r="D39" t="s">
        <v>608</v>
      </c>
      <c r="E39" t="s">
        <v>706</v>
      </c>
      <c r="F39" t="str">
        <v>20260206001</v>
      </c>
      <c r="G39">
        <v>172</v>
      </c>
      <c r="H39">
        <v>172</v>
      </c>
      <c r="I39" t="str">
        <v>20260206001</v>
      </c>
      <c r="J39" t="str">
        <v>UCC28711DR</v>
      </c>
      <c r="K39">
        <v>1</v>
      </c>
      <c r="L39" t="str">
        <v>Material</v>
      </c>
      <c r="M39" t="str">
        <v>Material</v>
      </c>
      <c r="N39" t="str">
        <v>2026-02-06</v>
      </c>
      <c r="O39" t="str">
        <v>Qualify New Assembly Material set for Selected Device(s)</v>
      </c>
      <c r="P39" t="str">
        <v>PCN_20260206001__MPN_UCC28711DR.xlsx</v>
      </c>
    </row>
    <row r="40" spans="1:16">
      <c r="A40" t="s">
        <v>1040</v>
      </c>
      <c r="B40" s="24">
        <v>39</v>
      </c>
      <c r="C40" s="25" t="s">
        <v>1521</v>
      </c>
      <c r="D40" t="s">
        <v>639</v>
      </c>
      <c r="E40" t="s">
        <v>695</v>
      </c>
      <c r="F40" t="str">
        <v>20260211000</v>
      </c>
      <c r="G40">
        <v>175</v>
      </c>
      <c r="H40">
        <v>175</v>
      </c>
      <c r="I40" t="str">
        <v>20260211000</v>
      </c>
      <c r="J40" t="str">
        <v>TLC555QDRQ1</v>
      </c>
      <c r="K40">
        <v>1</v>
      </c>
      <c r="L40" t="str">
        <v>Fab Site</v>
      </c>
      <c r="M40" t="str">
        <v>Fab Site</v>
      </c>
      <c r="N40" t="str">
        <v>2026-02-13</v>
      </c>
      <c r="O40" t="str">
        <v>Qualification of RFAB using qualified Process Technology, Datasheet, Die revision, additional Assembly site, Test, and BOM options for select devices</v>
      </c>
      <c r="P40" t="str">
        <v>PCN_20260211000__MPN_TLC555QDRQ1.xlsx</v>
      </c>
    </row>
    <row r="41" spans="1:16">
      <c r="A41" t="s">
        <v>1041</v>
      </c>
      <c r="B41" s="24">
        <v>40</v>
      </c>
      <c r="C41" s="25" t="s">
        <v>1521</v>
      </c>
      <c r="D41" t="s">
        <v>665</v>
      </c>
      <c r="E41" t="s">
        <v>718</v>
      </c>
      <c r="F41" t="str">
        <v>20260223007</v>
      </c>
      <c r="G41">
        <v>176</v>
      </c>
      <c r="H41">
        <v>176</v>
      </c>
      <c r="I41" t="str">
        <v>20260223007</v>
      </c>
      <c r="J41" t="str">
        <v>ADS1219IPWR; ADS1262IPWR; CDCE913PWR; DAC80004IPWR</v>
      </c>
      <c r="K41">
        <v>4</v>
      </c>
      <c r="L41" t="str">
        <v>Material</v>
      </c>
      <c r="M41" t="str">
        <v>Material</v>
      </c>
      <c r="N41" t="str">
        <v>2026-02-25</v>
      </c>
      <c r="O41" t="str">
        <v>Add Cu as Alternative Wire Base Metal for Selected Device(s)</v>
      </c>
      <c r="P41" t="str">
        <v>PCN_20260223007__MPN_ADS1219IPWR+ADS1262IPWR+CDCE913PWR+DAC80004IPWR.xlsx</v>
      </c>
    </row>
    <row r="42" spans="1:16">
      <c r="A42" t="s">
        <v>1075</v>
      </c>
      <c r="B42" s="24">
        <v>41</v>
      </c>
      <c r="C42" s="25" t="s">
        <v>1521</v>
      </c>
      <c r="D42" t="s">
        <v>648</v>
      </c>
      <c r="E42" t="s">
        <v>720</v>
      </c>
      <c r="F42" t="str">
        <v>20260223008</v>
      </c>
      <c r="G42">
        <v>179</v>
      </c>
      <c r="H42">
        <v>179</v>
      </c>
      <c r="I42" t="str">
        <v>20260223008</v>
      </c>
      <c r="J42" t="str">
        <v>INA180A2QDBVRQ1</v>
      </c>
      <c r="K42">
        <v>1</v>
      </c>
      <c r="L42" t="str">
        <v>Material</v>
      </c>
      <c r="M42" t="str">
        <v>Material</v>
      </c>
      <c r="N42" t="str">
        <v>2026-02-26</v>
      </c>
      <c r="O42" t="str">
        <v>Add Cu as Alternative Wire Base Metal for Selected Device(s)</v>
      </c>
      <c r="P42" t="str">
        <v>PCN_20260223008__MPN_INA180A2QDBVRQ1.xlsx</v>
      </c>
    </row>
    <row r="43" spans="1:16">
      <c r="A43" t="s">
        <v>1111</v>
      </c>
      <c r="B43" s="24">
        <v>42</v>
      </c>
      <c r="C43" s="25" t="s">
        <v>1521</v>
      </c>
      <c r="D43" t="s">
        <v>660</v>
      </c>
      <c r="E43" t="s">
        <v>725</v>
      </c>
      <c r="F43" t="str">
        <v>20260326003</v>
      </c>
      <c r="G43">
        <v>181</v>
      </c>
      <c r="H43">
        <v>181</v>
      </c>
      <c r="I43" t="str">
        <v>20260326003</v>
      </c>
      <c r="J43" t="str">
        <v>NE555P</v>
      </c>
      <c r="K43">
        <v>1</v>
      </c>
      <c r="L43" t="str">
        <v>Die Revision</v>
      </c>
      <c r="M43" t="str">
        <v>Die Revision</v>
      </c>
      <c r="N43" t="str">
        <v>2026-03-30</v>
      </c>
      <c r="O43" t="str">
        <v>NE555 Timers Design Change</v>
      </c>
      <c r="P43" t="str">
        <v>PCN_20260326003__MPN_NE555P.xlsx</v>
      </c>
    </row>
    <row r="44" spans="1:16">
      <c r="A44" t="s">
        <v>1094</v>
      </c>
      <c r="B44" s="24">
        <v>43</v>
      </c>
      <c r="C44" s="25" t="s">
        <v>1521</v>
      </c>
      <c r="D44" t="s">
        <v>654</v>
      </c>
      <c r="E44" t="s">
        <v>737</v>
      </c>
      <c r="F44" t="str">
        <v>20260402000</v>
      </c>
      <c r="G44">
        <v>182</v>
      </c>
      <c r="H44">
        <v>182</v>
      </c>
      <c r="I44" t="str">
        <v>20260402000</v>
      </c>
      <c r="J44" t="str">
        <v>TLC556IDR</v>
      </c>
      <c r="K44">
        <v>1</v>
      </c>
      <c r="L44" t="str">
        <v>Die Revision</v>
      </c>
      <c r="M44" t="str">
        <v>Die Revision</v>
      </c>
      <c r="N44" t="str">
        <v>2026-04-07</v>
      </c>
      <c r="O44" t="str">
        <v>TLC556x Design Change</v>
      </c>
      <c r="P44" t="str">
        <v>PCN_20260402000__MPN_TLC556IDR.xlsx</v>
      </c>
    </row>
    <row r="45" spans="1:16">
      <c r="A45" t="s">
        <v>1144</v>
      </c>
      <c r="B45" s="24">
        <v>44</v>
      </c>
      <c r="C45" s="25" t="s">
        <v>1521</v>
      </c>
      <c r="D45" t="s">
        <v>695</v>
      </c>
      <c r="E45" t="s">
        <v>740</v>
      </c>
      <c r="F45" t="str">
        <v>20260409005</v>
      </c>
      <c r="G45">
        <v>183</v>
      </c>
      <c r="H45">
        <v>183</v>
      </c>
      <c r="I45" t="str">
        <v>20260409005</v>
      </c>
      <c r="J45" t="str">
        <v>SN74AVC4T774PWR</v>
      </c>
      <c r="K45">
        <v>1</v>
      </c>
      <c r="L45" t="str">
        <v>Fab Site</v>
      </c>
      <c r="M45" t="str">
        <v>Fab Site</v>
      </c>
      <c r="N45" t="str">
        <v>2026-04-10</v>
      </c>
      <c r="O45" t="str">
        <v>Qualification of RFAB using qualified Process Technology, BOM, Die Revision and Datasheet for select devices</v>
      </c>
      <c r="P45" t="str">
        <v>PCN_20260409005__MPN_SN74AVC4T774PWR.xlsx</v>
      </c>
    </row>
    <row r="46" spans="1:16">
      <c r="A46" t="s">
        <v>1147</v>
      </c>
      <c r="B46" s="24">
        <v>45</v>
      </c>
      <c r="C46" s="25" t="s">
        <v>1521</v>
      </c>
      <c r="D46" t="s">
        <v>687</v>
      </c>
      <c r="E46" t="s">
        <v>744</v>
      </c>
    </row>
    <row r="47" spans="1:16">
      <c r="A47" t="s">
        <v>1131</v>
      </c>
      <c r="B47" s="24">
        <v>46</v>
      </c>
      <c r="C47" s="25" t="s">
        <v>1537</v>
      </c>
      <c r="D47" t="s">
        <v>687</v>
      </c>
      <c r="E47" t="s">
        <v>746</v>
      </c>
    </row>
    <row r="48" spans="1:16">
      <c r="A48" t="s">
        <v>1135</v>
      </c>
      <c r="B48" s="24">
        <v>47</v>
      </c>
      <c r="C48" s="25" t="s">
        <v>1595</v>
      </c>
      <c r="D48" t="s">
        <v>706</v>
      </c>
      <c r="E48" t="s">
        <v>765</v>
      </c>
    </row>
    <row r="49" spans="1:5">
      <c r="A49" t="s">
        <v>1129</v>
      </c>
      <c r="B49" s="24">
        <v>48</v>
      </c>
      <c r="C49" s="25" t="s">
        <v>1634</v>
      </c>
      <c r="D49" t="s">
        <v>702</v>
      </c>
      <c r="E49" t="s">
        <v>770</v>
      </c>
    </row>
    <row r="50" spans="1:5">
      <c r="A50" t="s">
        <v>1153</v>
      </c>
      <c r="B50" s="24">
        <v>49</v>
      </c>
      <c r="C50" s="25" t="s">
        <v>1625</v>
      </c>
      <c r="D50" t="s">
        <v>740</v>
      </c>
      <c r="E50" t="s">
        <v>780</v>
      </c>
    </row>
    <row r="51" spans="1:5">
      <c r="A51" t="s">
        <v>1173</v>
      </c>
      <c r="B51" s="24">
        <v>50</v>
      </c>
      <c r="C51" s="25" t="s">
        <v>1688</v>
      </c>
      <c r="D51" t="s">
        <v>726</v>
      </c>
      <c r="E51" t="s">
        <v>783</v>
      </c>
    </row>
    <row r="52" spans="1:5">
      <c r="A52" t="s">
        <v>1204</v>
      </c>
      <c r="B52" s="24">
        <v>51</v>
      </c>
      <c r="C52" s="25" t="s">
        <v>1688</v>
      </c>
      <c r="D52" t="s">
        <v>726</v>
      </c>
      <c r="E52" t="s">
        <v>789</v>
      </c>
    </row>
    <row r="53" spans="1:5">
      <c r="A53" t="s">
        <v>1227</v>
      </c>
      <c r="B53" s="24">
        <v>52</v>
      </c>
      <c r="C53" s="25" t="s">
        <v>1684</v>
      </c>
      <c r="D53" t="s">
        <v>759</v>
      </c>
      <c r="E53" t="s">
        <v>796</v>
      </c>
    </row>
    <row r="54" spans="1:5">
      <c r="A54" t="s">
        <v>1221</v>
      </c>
      <c r="B54" s="24">
        <v>53</v>
      </c>
      <c r="C54" s="25" t="s">
        <v>1684</v>
      </c>
      <c r="D54" t="s">
        <v>780</v>
      </c>
      <c r="E54" t="s">
        <v>806</v>
      </c>
    </row>
    <row r="55" spans="1:5">
      <c r="A55" t="s">
        <v>1276</v>
      </c>
      <c r="B55" s="24">
        <v>54</v>
      </c>
      <c r="C55" s="25" t="s">
        <v>1684</v>
      </c>
      <c r="D55" t="s">
        <v>783</v>
      </c>
      <c r="E55" t="s">
        <v>808</v>
      </c>
    </row>
    <row r="56" spans="1:5">
      <c r="A56" t="s">
        <v>1299</v>
      </c>
      <c r="B56" s="24">
        <v>55</v>
      </c>
      <c r="C56" s="25" t="s">
        <v>1684</v>
      </c>
      <c r="D56" t="s">
        <v>810</v>
      </c>
      <c r="E56" t="s">
        <v>801</v>
      </c>
    </row>
    <row r="57" spans="1:5">
      <c r="A57" t="s">
        <v>1301</v>
      </c>
      <c r="B57" s="24">
        <v>56</v>
      </c>
      <c r="C57" s="25" t="s">
        <v>1684</v>
      </c>
      <c r="D57" t="s">
        <v>801</v>
      </c>
      <c r="E57" t="s">
        <v>810</v>
      </c>
    </row>
    <row r="58" spans="1:5">
      <c r="A58" t="s">
        <v>1310</v>
      </c>
      <c r="B58" s="24">
        <v>57</v>
      </c>
      <c r="C58" s="25" t="s">
        <v>1684</v>
      </c>
      <c r="D58" t="s">
        <v>796</v>
      </c>
      <c r="E58" t="s">
        <v>826</v>
      </c>
    </row>
    <row r="59" spans="1:5">
      <c r="A59" t="s">
        <v>1356</v>
      </c>
      <c r="B59" s="24">
        <v>58</v>
      </c>
      <c r="C59" s="25" t="s">
        <v>1684</v>
      </c>
      <c r="D59" t="s">
        <v>796</v>
      </c>
      <c r="E59" t="s">
        <v>837</v>
      </c>
    </row>
    <row r="60" spans="1:5">
      <c r="A60" t="s">
        <v>1358</v>
      </c>
      <c r="B60" s="24">
        <v>59</v>
      </c>
      <c r="C60" s="25" t="s">
        <v>1684</v>
      </c>
      <c r="D60" t="s">
        <v>796</v>
      </c>
      <c r="E60" t="s">
        <v>831</v>
      </c>
    </row>
    <row r="61" spans="1:5">
      <c r="A61" t="s">
        <v>1346</v>
      </c>
      <c r="B61" s="24">
        <v>60</v>
      </c>
      <c r="C61" s="25" t="s">
        <v>1713</v>
      </c>
      <c r="D61" t="s">
        <v>820</v>
      </c>
      <c r="E61" t="s">
        <v>864</v>
      </c>
    </row>
    <row r="62" spans="1:5">
      <c r="A62" t="s">
        <v>1371</v>
      </c>
      <c r="B62" s="24">
        <v>61</v>
      </c>
      <c r="C62" s="25" t="s">
        <v>1732</v>
      </c>
      <c r="D62" t="s">
        <v>842</v>
      </c>
      <c r="E62" t="s">
        <v>882</v>
      </c>
    </row>
    <row r="63" spans="1:5">
      <c r="A63" t="s">
        <v>1436</v>
      </c>
      <c r="B63" s="24">
        <v>62</v>
      </c>
      <c r="C63" s="25" t="s">
        <v>1732</v>
      </c>
      <c r="D63" t="s">
        <v>837</v>
      </c>
      <c r="E63" t="s">
        <v>884</v>
      </c>
    </row>
    <row r="64" spans="1:5">
      <c r="A64" t="s">
        <v>1385</v>
      </c>
      <c r="B64" s="24">
        <v>63</v>
      </c>
      <c r="C64" s="25" t="s">
        <v>1732</v>
      </c>
      <c r="D64" t="s">
        <v>831</v>
      </c>
      <c r="E64" t="s">
        <v>890</v>
      </c>
    </row>
    <row r="65" spans="1:5">
      <c r="A65" t="s">
        <v>1423</v>
      </c>
      <c r="B65" s="24">
        <v>64</v>
      </c>
      <c r="C65" s="25" t="s">
        <v>1781</v>
      </c>
      <c r="D65" t="s">
        <v>831</v>
      </c>
      <c r="E65" t="s">
        <v>920</v>
      </c>
    </row>
    <row r="66" spans="1:5">
      <c r="A66" t="s">
        <v>1444</v>
      </c>
      <c r="B66" s="24">
        <v>65</v>
      </c>
      <c r="C66" s="25" t="s">
        <v>1805</v>
      </c>
      <c r="D66" t="s">
        <v>831</v>
      </c>
      <c r="E66" t="s">
        <v>914</v>
      </c>
    </row>
    <row r="67" spans="1:5">
      <c r="A67" t="s">
        <v>1442</v>
      </c>
      <c r="B67" s="24">
        <v>66</v>
      </c>
      <c r="C67" s="25" t="s">
        <v>2019</v>
      </c>
      <c r="D67" t="s">
        <v>867</v>
      </c>
      <c r="E67" t="s">
        <v>958</v>
      </c>
    </row>
    <row r="68" spans="1:5">
      <c r="A68" t="s">
        <v>1440</v>
      </c>
      <c r="B68" s="24">
        <v>67</v>
      </c>
      <c r="C68" s="25" t="s">
        <v>2019</v>
      </c>
      <c r="D68" t="s">
        <v>890</v>
      </c>
      <c r="E68" t="s">
        <v>965</v>
      </c>
    </row>
    <row r="69" spans="1:5">
      <c r="A69" t="s">
        <v>1453</v>
      </c>
      <c r="B69" s="24">
        <v>68</v>
      </c>
      <c r="C69" s="25" t="s">
        <v>2019</v>
      </c>
      <c r="D69" t="s">
        <v>890</v>
      </c>
      <c r="E69" t="s">
        <v>974</v>
      </c>
    </row>
    <row r="70" spans="1:5">
      <c r="A70" t="s">
        <v>1456</v>
      </c>
      <c r="B70" s="24">
        <v>69</v>
      </c>
      <c r="C70" s="25" t="s">
        <v>2019</v>
      </c>
      <c r="D70" t="s">
        <v>890</v>
      </c>
      <c r="E70" t="s">
        <v>975</v>
      </c>
    </row>
    <row r="71" spans="1:5">
      <c r="A71" t="s">
        <v>1479</v>
      </c>
      <c r="B71" s="24">
        <v>70</v>
      </c>
      <c r="C71" s="25" t="s">
        <v>2019</v>
      </c>
      <c r="D71" t="s">
        <v>890</v>
      </c>
      <c r="E71" t="s">
        <v>953</v>
      </c>
    </row>
    <row r="72" spans="1:5">
      <c r="A72" t="s">
        <v>1481</v>
      </c>
      <c r="B72" s="24">
        <v>71</v>
      </c>
      <c r="C72" s="25" t="s">
        <v>2019</v>
      </c>
      <c r="D72" t="s">
        <v>909</v>
      </c>
      <c r="E72" t="s">
        <v>980</v>
      </c>
    </row>
    <row r="73" spans="1:5">
      <c r="A73" t="s">
        <v>1474</v>
      </c>
      <c r="B73" s="24">
        <v>72</v>
      </c>
      <c r="C73" s="25" t="s">
        <v>2019</v>
      </c>
      <c r="D73" t="s">
        <v>920</v>
      </c>
      <c r="E73" t="s">
        <v>985</v>
      </c>
    </row>
    <row r="74" spans="1:5">
      <c r="A74" t="s">
        <v>1697</v>
      </c>
      <c r="B74" s="24">
        <v>73</v>
      </c>
      <c r="C74" s="25" t="s">
        <v>2019</v>
      </c>
      <c r="D74" t="s">
        <v>914</v>
      </c>
      <c r="E74" t="s">
        <v>992</v>
      </c>
    </row>
    <row r="75" spans="1:5">
      <c r="A75" t="s">
        <v>1531</v>
      </c>
      <c r="B75" s="24">
        <v>74</v>
      </c>
      <c r="C75" s="25" t="s">
        <v>2019</v>
      </c>
      <c r="D75" t="s">
        <v>933</v>
      </c>
      <c r="E75" t="s">
        <v>994</v>
      </c>
    </row>
    <row r="76" spans="1:5">
      <c r="A76" t="s">
        <v>1537</v>
      </c>
      <c r="B76" s="24">
        <v>75</v>
      </c>
      <c r="C76" s="25" t="s">
        <v>2019</v>
      </c>
      <c r="D76" t="s">
        <v>965</v>
      </c>
      <c r="E76" t="s">
        <v>942</v>
      </c>
    </row>
    <row r="77" spans="1:5">
      <c r="A77" t="s">
        <v>1604</v>
      </c>
      <c r="B77" s="24">
        <v>76</v>
      </c>
      <c r="C77" s="25" t="s">
        <v>2019</v>
      </c>
      <c r="D77" t="s">
        <v>953</v>
      </c>
      <c r="E77" t="s">
        <v>947</v>
      </c>
    </row>
    <row r="78" spans="1:5">
      <c r="A78" t="s">
        <v>1606</v>
      </c>
      <c r="B78" s="24">
        <v>77</v>
      </c>
      <c r="C78" s="25" t="s">
        <v>2019</v>
      </c>
      <c r="D78" t="s">
        <v>942</v>
      </c>
      <c r="E78" t="s">
        <v>999</v>
      </c>
    </row>
    <row r="79" spans="1:5">
      <c r="A79" t="s">
        <v>1689</v>
      </c>
      <c r="B79" s="24">
        <v>78</v>
      </c>
      <c r="C79" s="25" t="s">
        <v>2019</v>
      </c>
      <c r="D79" t="s">
        <v>947</v>
      </c>
      <c r="E79" t="s">
        <v>1010</v>
      </c>
    </row>
    <row r="80" spans="1:5">
      <c r="A80" t="s">
        <v>1602</v>
      </c>
      <c r="B80" s="24">
        <v>79</v>
      </c>
      <c r="C80" s="25" t="s">
        <v>2019</v>
      </c>
      <c r="D80" t="s">
        <v>992</v>
      </c>
      <c r="E80" t="s">
        <v>1013</v>
      </c>
    </row>
    <row r="81" spans="1:5">
      <c r="A81" t="s">
        <v>1609</v>
      </c>
      <c r="B81" s="24">
        <v>80</v>
      </c>
      <c r="C81" s="25" t="s">
        <v>2019</v>
      </c>
      <c r="D81" t="s">
        <v>999</v>
      </c>
      <c r="E81" t="s">
        <v>1022</v>
      </c>
    </row>
    <row r="82" spans="1:5">
      <c r="A82" t="s">
        <v>1621</v>
      </c>
      <c r="B82" s="24">
        <v>81</v>
      </c>
      <c r="C82" s="25" t="s">
        <v>2019</v>
      </c>
      <c r="D82" t="s">
        <v>999</v>
      </c>
      <c r="E82" t="s">
        <v>1026</v>
      </c>
    </row>
    <row r="83" spans="1:5">
      <c r="A83" t="s">
        <v>1694</v>
      </c>
      <c r="B83" s="24">
        <v>82</v>
      </c>
      <c r="C83" s="25" t="s">
        <v>2019</v>
      </c>
      <c r="D83" t="s">
        <v>1022</v>
      </c>
      <c r="E83" t="s">
        <v>1035</v>
      </c>
    </row>
    <row r="84" spans="1:5">
      <c r="A84" t="s">
        <v>1688</v>
      </c>
      <c r="B84" s="24">
        <v>83</v>
      </c>
      <c r="C84" s="25" t="s">
        <v>2019</v>
      </c>
      <c r="D84" t="s">
        <v>1018</v>
      </c>
      <c r="E84" t="s">
        <v>1043</v>
      </c>
    </row>
    <row r="85" spans="1:5">
      <c r="A85" t="s">
        <v>1684</v>
      </c>
      <c r="B85" s="24">
        <v>84</v>
      </c>
      <c r="C85" s="25" t="s">
        <v>2019</v>
      </c>
      <c r="D85" t="s">
        <v>1043</v>
      </c>
      <c r="E85" t="s">
        <v>1045</v>
      </c>
    </row>
    <row r="86" spans="1:5">
      <c r="A86" t="s">
        <v>1666</v>
      </c>
      <c r="B86" s="24">
        <v>85</v>
      </c>
      <c r="C86" s="25" t="s">
        <v>2003</v>
      </c>
      <c r="D86" t="s">
        <v>1045</v>
      </c>
      <c r="E86" t="s">
        <v>1063</v>
      </c>
    </row>
    <row r="87" spans="1:5">
      <c r="A87" t="s">
        <v>1708</v>
      </c>
      <c r="B87" s="24">
        <v>86</v>
      </c>
      <c r="C87" s="25" t="s">
        <v>2003</v>
      </c>
      <c r="D87" t="s">
        <v>1054</v>
      </c>
      <c r="E87" t="s">
        <v>1109</v>
      </c>
    </row>
    <row r="88" spans="1:5">
      <c r="A88" t="s">
        <v>1867</v>
      </c>
      <c r="B88" s="24">
        <v>87</v>
      </c>
      <c r="C88" s="25" t="s">
        <v>2003</v>
      </c>
      <c r="D88" t="s">
        <v>1069</v>
      </c>
      <c r="E88" t="s">
        <v>1118</v>
      </c>
    </row>
    <row r="89" spans="1:5">
      <c r="A89" t="s">
        <v>1737</v>
      </c>
      <c r="B89" s="24">
        <v>88</v>
      </c>
      <c r="C89" s="25" t="s">
        <v>2003</v>
      </c>
      <c r="D89" t="s">
        <v>1090</v>
      </c>
      <c r="E89" t="s">
        <v>1166</v>
      </c>
    </row>
    <row r="90" spans="1:5">
      <c r="A90" t="s">
        <v>1760</v>
      </c>
      <c r="B90" s="24">
        <v>89</v>
      </c>
      <c r="C90" s="25" t="s">
        <v>2003</v>
      </c>
      <c r="D90" t="s">
        <v>1099</v>
      </c>
      <c r="E90" t="s">
        <v>1167</v>
      </c>
    </row>
    <row r="91" spans="1:5">
      <c r="A91" t="s">
        <v>1774</v>
      </c>
      <c r="B91" s="24">
        <v>90</v>
      </c>
      <c r="C91" s="25" t="s">
        <v>2003</v>
      </c>
      <c r="D91" t="s">
        <v>1122</v>
      </c>
      <c r="E91" t="s">
        <v>1170</v>
      </c>
    </row>
    <row r="92" spans="1:5">
      <c r="A92" t="s">
        <v>1762</v>
      </c>
      <c r="B92" s="24">
        <v>91</v>
      </c>
      <c r="C92" s="25" t="s">
        <v>2003</v>
      </c>
      <c r="D92" t="s">
        <v>1118</v>
      </c>
      <c r="E92" t="s">
        <v>1181</v>
      </c>
    </row>
    <row r="93" spans="1:5">
      <c r="A93" t="s">
        <v>1776</v>
      </c>
      <c r="B93" s="24">
        <v>92</v>
      </c>
      <c r="C93" s="25" t="s">
        <v>2003</v>
      </c>
      <c r="D93" t="s">
        <v>1113</v>
      </c>
      <c r="E93" t="s">
        <v>1182</v>
      </c>
    </row>
    <row r="94" spans="1:5">
      <c r="A94" t="s">
        <v>1778</v>
      </c>
      <c r="B94" s="24">
        <v>93</v>
      </c>
      <c r="C94" s="25" t="s">
        <v>2003</v>
      </c>
      <c r="D94" t="s">
        <v>1161</v>
      </c>
      <c r="E94" t="s">
        <v>1207</v>
      </c>
    </row>
    <row r="95" spans="1:5">
      <c r="A95" t="s">
        <v>1800</v>
      </c>
      <c r="B95" s="24">
        <v>94</v>
      </c>
      <c r="C95" s="25" t="s">
        <v>2003</v>
      </c>
      <c r="D95" t="s">
        <v>1175</v>
      </c>
      <c r="E95" t="s">
        <v>1212</v>
      </c>
    </row>
    <row r="96" spans="1:5">
      <c r="A96" t="s">
        <v>1786</v>
      </c>
      <c r="B96" s="24">
        <v>95</v>
      </c>
      <c r="C96" s="25" t="s">
        <v>2053</v>
      </c>
      <c r="D96" t="s">
        <v>1181</v>
      </c>
      <c r="E96" t="s">
        <v>1232</v>
      </c>
    </row>
    <row r="97" spans="1:5">
      <c r="A97" t="s">
        <v>1860</v>
      </c>
      <c r="B97" s="24">
        <v>96</v>
      </c>
      <c r="C97" s="25" t="s">
        <v>2069</v>
      </c>
      <c r="D97" t="s">
        <v>1182</v>
      </c>
      <c r="E97" t="s">
        <v>1237</v>
      </c>
    </row>
    <row r="98" spans="1:5">
      <c r="A98" t="s">
        <v>2044</v>
      </c>
      <c r="B98" s="24">
        <v>97</v>
      </c>
      <c r="C98" s="25" t="s">
        <v>2069</v>
      </c>
      <c r="D98" t="s">
        <v>1182</v>
      </c>
      <c r="E98" t="s">
        <v>1249</v>
      </c>
    </row>
    <row r="99" spans="1:5">
      <c r="A99" t="s">
        <v>1803</v>
      </c>
      <c r="B99" s="24">
        <v>98</v>
      </c>
      <c r="C99" s="25" t="s">
        <v>2069</v>
      </c>
      <c r="D99" t="s">
        <v>1232</v>
      </c>
      <c r="E99" t="s">
        <v>1261</v>
      </c>
    </row>
    <row r="100" spans="1:5">
      <c r="A100" t="s">
        <v>1810</v>
      </c>
      <c r="B100" s="24">
        <v>99</v>
      </c>
      <c r="C100" s="25" t="s">
        <v>2069</v>
      </c>
      <c r="D100" t="s">
        <v>1237</v>
      </c>
      <c r="E100" t="s">
        <v>1254</v>
      </c>
    </row>
    <row r="101" spans="1:5">
      <c r="A101" t="s">
        <v>1819</v>
      </c>
      <c r="B101" s="24">
        <v>100</v>
      </c>
      <c r="C101" s="25" t="s">
        <v>2221</v>
      </c>
      <c r="D101" t="s">
        <v>1237</v>
      </c>
      <c r="E101" t="s">
        <v>1281</v>
      </c>
    </row>
    <row r="102" spans="1:5">
      <c r="A102" t="s">
        <v>1824</v>
      </c>
      <c r="B102" s="24">
        <v>101</v>
      </c>
      <c r="C102" s="25" t="s">
        <v>2221</v>
      </c>
      <c r="D102" t="s">
        <v>1237</v>
      </c>
      <c r="E102" t="s">
        <v>1283</v>
      </c>
    </row>
    <row r="103" spans="1:5">
      <c r="A103" t="s">
        <v>1830</v>
      </c>
      <c r="B103" s="24">
        <v>102</v>
      </c>
      <c r="C103" s="25" t="s">
        <v>2221</v>
      </c>
      <c r="D103" t="s">
        <v>1237</v>
      </c>
      <c r="E103" t="s">
        <v>1313</v>
      </c>
    </row>
    <row r="104" spans="1:5">
      <c r="A104" t="s">
        <v>1843</v>
      </c>
      <c r="B104" s="24">
        <v>103</v>
      </c>
      <c r="C104" s="25" t="s">
        <v>2221</v>
      </c>
      <c r="D104" t="s">
        <v>1249</v>
      </c>
      <c r="E104" t="s">
        <v>1332</v>
      </c>
    </row>
    <row r="105" spans="1:5">
      <c r="A105" t="s">
        <v>1833</v>
      </c>
      <c r="B105" s="24">
        <v>104</v>
      </c>
      <c r="C105" s="25" t="s">
        <v>2220</v>
      </c>
      <c r="D105" t="s">
        <v>1283</v>
      </c>
      <c r="E105" t="s">
        <v>1337</v>
      </c>
    </row>
    <row r="106" spans="1:5">
      <c r="A106" t="s">
        <v>1840</v>
      </c>
      <c r="B106" s="24">
        <v>105</v>
      </c>
      <c r="C106" s="25" t="s">
        <v>2209</v>
      </c>
      <c r="D106" t="s">
        <v>1290</v>
      </c>
      <c r="E106" t="s">
        <v>1339</v>
      </c>
    </row>
    <row r="107" spans="1:5">
      <c r="A107" t="s">
        <v>1854</v>
      </c>
      <c r="B107" s="24">
        <v>106</v>
      </c>
      <c r="C107" s="25" t="s">
        <v>2286</v>
      </c>
      <c r="D107" t="s">
        <v>1294</v>
      </c>
      <c r="E107" t="s">
        <v>1343</v>
      </c>
    </row>
    <row r="108" spans="1:5">
      <c r="A108" t="s">
        <v>1852</v>
      </c>
      <c r="B108" s="24">
        <v>107</v>
      </c>
      <c r="C108" s="25" t="s">
        <v>2313</v>
      </c>
      <c r="D108" t="s">
        <v>1281</v>
      </c>
      <c r="E108" t="s">
        <v>1388</v>
      </c>
    </row>
    <row r="109" spans="1:5">
      <c r="A109" t="s">
        <v>1863</v>
      </c>
      <c r="B109" s="24">
        <v>108</v>
      </c>
      <c r="C109" s="25" t="s">
        <v>2313</v>
      </c>
      <c r="D109" t="s">
        <v>1261</v>
      </c>
      <c r="E109" t="s">
        <v>1404</v>
      </c>
    </row>
    <row r="110" spans="1:5">
      <c r="A110" t="s">
        <v>1894</v>
      </c>
      <c r="B110" s="24">
        <v>109</v>
      </c>
      <c r="C110" s="25" t="s">
        <v>2357</v>
      </c>
      <c r="D110" t="s">
        <v>1254</v>
      </c>
      <c r="E110" t="s">
        <v>1412</v>
      </c>
    </row>
    <row r="111" spans="1:5">
      <c r="A111" t="s">
        <v>1889</v>
      </c>
      <c r="B111" s="24">
        <v>110</v>
      </c>
      <c r="C111" s="25" t="s">
        <v>2357</v>
      </c>
      <c r="D111" t="s">
        <v>1254</v>
      </c>
      <c r="E111" t="s">
        <v>1432</v>
      </c>
    </row>
    <row r="112" spans="1:5">
      <c r="A112" t="s">
        <v>1897</v>
      </c>
      <c r="B112" s="24">
        <v>111</v>
      </c>
      <c r="C112" s="25" t="s">
        <v>2357</v>
      </c>
      <c r="D112" t="s">
        <v>1254</v>
      </c>
      <c r="E112" t="s">
        <v>1447</v>
      </c>
    </row>
    <row r="113" spans="1:5">
      <c r="A113" t="s">
        <v>1914</v>
      </c>
      <c r="B113" s="24">
        <v>112</v>
      </c>
      <c r="C113" s="25" t="s">
        <v>2379</v>
      </c>
      <c r="D113" t="s">
        <v>1304</v>
      </c>
      <c r="E113" t="s">
        <v>1469</v>
      </c>
    </row>
    <row r="114" spans="1:5">
      <c r="A114" t="s">
        <v>1924</v>
      </c>
      <c r="B114" s="24">
        <v>113</v>
      </c>
      <c r="C114" s="25" t="s">
        <v>2425</v>
      </c>
      <c r="D114" t="s">
        <v>1313</v>
      </c>
      <c r="E114" t="s">
        <v>1502</v>
      </c>
    </row>
    <row r="115" spans="1:5">
      <c r="A115" t="s">
        <v>1919</v>
      </c>
      <c r="B115" s="24">
        <v>114</v>
      </c>
      <c r="C115" s="25" t="s">
        <v>2470</v>
      </c>
      <c r="D115" t="s">
        <v>1313</v>
      </c>
      <c r="E115" t="s">
        <v>1495</v>
      </c>
    </row>
    <row r="116" spans="1:5">
      <c r="A116" t="s">
        <v>1928</v>
      </c>
      <c r="B116" s="24">
        <v>115</v>
      </c>
      <c r="C116" s="25" t="s">
        <v>2468</v>
      </c>
      <c r="D116" t="s">
        <v>1332</v>
      </c>
      <c r="E116" t="s">
        <v>1505</v>
      </c>
    </row>
    <row r="117" spans="1:5">
      <c r="A117" t="s">
        <v>1941</v>
      </c>
      <c r="B117" s="24">
        <v>116</v>
      </c>
      <c r="C117" s="25" t="s">
        <v>2488</v>
      </c>
      <c r="D117" t="s">
        <v>1332</v>
      </c>
      <c r="E117" t="s">
        <v>1521</v>
      </c>
    </row>
    <row r="118" spans="1:5">
      <c r="A118" t="s">
        <v>1938</v>
      </c>
      <c r="B118" s="24">
        <v>117</v>
      </c>
      <c r="C118" s="25" t="s">
        <v>2726</v>
      </c>
      <c r="D118" t="s">
        <v>1388</v>
      </c>
      <c r="E118" t="s">
        <v>1558</v>
      </c>
    </row>
    <row r="119" spans="1:5">
      <c r="A119" t="s">
        <v>1936</v>
      </c>
      <c r="B119" s="24">
        <v>118</v>
      </c>
      <c r="C119" s="25" t="s">
        <v>2726</v>
      </c>
      <c r="D119" t="s">
        <v>1388</v>
      </c>
      <c r="E119" t="s">
        <v>1564</v>
      </c>
    </row>
    <row r="120" spans="1:5">
      <c r="A120" t="s">
        <v>1931</v>
      </c>
      <c r="B120" s="24">
        <v>119</v>
      </c>
      <c r="C120" s="25" t="s">
        <v>2726</v>
      </c>
      <c r="D120" t="s">
        <v>1399</v>
      </c>
      <c r="E120" t="s">
        <v>1575</v>
      </c>
    </row>
    <row r="121" spans="1:5">
      <c r="A121" t="s">
        <v>1971</v>
      </c>
      <c r="B121" s="24">
        <v>120</v>
      </c>
      <c r="C121" s="25" t="s">
        <v>2726</v>
      </c>
      <c r="D121" t="s">
        <v>1404</v>
      </c>
      <c r="E121" t="s">
        <v>1577</v>
      </c>
    </row>
    <row r="122" spans="1:5">
      <c r="A122" t="s">
        <v>1965</v>
      </c>
      <c r="B122" s="24">
        <v>121</v>
      </c>
      <c r="C122" s="25" t="s">
        <v>2816</v>
      </c>
      <c r="D122" t="s">
        <v>1424</v>
      </c>
      <c r="E122" t="s">
        <v>1579</v>
      </c>
    </row>
    <row r="123" spans="1:5">
      <c r="A123" t="s">
        <v>1977</v>
      </c>
      <c r="B123" s="24">
        <v>122</v>
      </c>
      <c r="C123" s="25" t="s">
        <v>2590</v>
      </c>
      <c r="D123" t="s">
        <v>1417</v>
      </c>
      <c r="E123" t="s">
        <v>1587</v>
      </c>
    </row>
    <row r="124" spans="1:5">
      <c r="A124" t="s">
        <v>1967</v>
      </c>
      <c r="B124" s="24">
        <v>123</v>
      </c>
      <c r="C124" s="25" t="s">
        <v>2630</v>
      </c>
      <c r="D124" t="s">
        <v>1417</v>
      </c>
      <c r="E124" t="s">
        <v>1570</v>
      </c>
    </row>
    <row r="125" spans="1:5">
      <c r="A125" t="s">
        <v>1984</v>
      </c>
      <c r="B125" s="24">
        <v>124</v>
      </c>
      <c r="C125" s="25" t="s">
        <v>2699</v>
      </c>
      <c r="D125" t="s">
        <v>1447</v>
      </c>
      <c r="E125" t="s">
        <v>1590</v>
      </c>
    </row>
    <row r="126" spans="1:5">
      <c r="A126" t="s">
        <v>1979</v>
      </c>
      <c r="B126" s="24">
        <v>125</v>
      </c>
      <c r="C126" s="25" t="s">
        <v>2706</v>
      </c>
      <c r="D126" t="s">
        <v>1469</v>
      </c>
      <c r="E126" t="s">
        <v>1615</v>
      </c>
    </row>
    <row r="127" spans="1:5">
      <c r="A127" t="s">
        <v>2024</v>
      </c>
      <c r="B127" s="24">
        <v>126</v>
      </c>
      <c r="C127" s="25" t="s">
        <v>2731</v>
      </c>
      <c r="D127" t="s">
        <v>1495</v>
      </c>
      <c r="E127" t="s">
        <v>1634</v>
      </c>
    </row>
    <row r="128" spans="1:5">
      <c r="A128" t="s">
        <v>2012</v>
      </c>
      <c r="B128" s="24">
        <v>127</v>
      </c>
      <c r="C128" s="25" t="s">
        <v>2731</v>
      </c>
      <c r="D128" t="s">
        <v>1495</v>
      </c>
      <c r="E128" t="s">
        <v>1646</v>
      </c>
    </row>
    <row r="129" spans="1:5">
      <c r="A129" t="s">
        <v>2017</v>
      </c>
      <c r="B129" s="24">
        <v>128</v>
      </c>
      <c r="C129" s="25" t="s">
        <v>2731</v>
      </c>
      <c r="D129" t="s">
        <v>1484</v>
      </c>
      <c r="E129" t="s">
        <v>1651</v>
      </c>
    </row>
    <row r="130" spans="1:5">
      <c r="A130" t="s">
        <v>2026</v>
      </c>
      <c r="B130" s="24">
        <v>129</v>
      </c>
      <c r="C130" s="25" t="s">
        <v>2731</v>
      </c>
      <c r="D130" t="s">
        <v>1484</v>
      </c>
      <c r="E130" t="s">
        <v>1652</v>
      </c>
    </row>
    <row r="131" spans="1:5">
      <c r="A131" t="s">
        <v>2036</v>
      </c>
      <c r="B131" s="24">
        <v>130</v>
      </c>
      <c r="C131" s="25" t="s">
        <v>2752</v>
      </c>
      <c r="D131" t="s">
        <v>1484</v>
      </c>
      <c r="E131" t="s">
        <v>1653</v>
      </c>
    </row>
    <row r="132" spans="1:5">
      <c r="A132" t="s">
        <v>2034</v>
      </c>
      <c r="B132" s="24">
        <v>131</v>
      </c>
      <c r="C132" s="25" t="s">
        <v>2752</v>
      </c>
      <c r="D132" t="s">
        <v>1505</v>
      </c>
      <c r="E132" t="s">
        <v>1711</v>
      </c>
    </row>
    <row r="133" spans="1:5">
      <c r="A133" t="s">
        <v>2041</v>
      </c>
      <c r="B133" s="24">
        <v>132</v>
      </c>
      <c r="C133" s="25" t="s">
        <v>2763</v>
      </c>
      <c r="D133" t="s">
        <v>1516</v>
      </c>
      <c r="E133" t="s">
        <v>1713</v>
      </c>
    </row>
    <row r="134" spans="1:5">
      <c r="A134" t="s">
        <v>2062</v>
      </c>
      <c r="B134" s="24">
        <v>133</v>
      </c>
      <c r="C134" s="25" t="s">
        <v>2810</v>
      </c>
      <c r="D134" t="s">
        <v>1521</v>
      </c>
      <c r="E134" t="s">
        <v>1720</v>
      </c>
    </row>
    <row r="135" spans="1:5">
      <c r="A135" t="s">
        <v>2150</v>
      </c>
      <c r="B135" s="24">
        <v>134</v>
      </c>
      <c r="C135" s="25" t="s">
        <v>2872</v>
      </c>
      <c r="D135" t="s">
        <v>1590</v>
      </c>
      <c r="E135" t="s">
        <v>1725</v>
      </c>
    </row>
    <row r="136" spans="1:5">
      <c r="A136" t="s">
        <v>2097</v>
      </c>
      <c r="B136" s="24">
        <v>135</v>
      </c>
      <c r="C136" s="25" t="s">
        <v>2892</v>
      </c>
      <c r="D136" t="s">
        <v>1558</v>
      </c>
      <c r="E136" t="s">
        <v>1727</v>
      </c>
    </row>
    <row r="137" spans="1:5">
      <c r="A137" t="s">
        <v>2092</v>
      </c>
      <c r="B137" s="24">
        <v>136</v>
      </c>
      <c r="C137" s="25" t="s">
        <v>2892</v>
      </c>
      <c r="D137" t="s">
        <v>1570</v>
      </c>
      <c r="E137" t="s">
        <v>1730</v>
      </c>
    </row>
    <row r="138" spans="1:5">
      <c r="A138" t="s">
        <v>2096</v>
      </c>
      <c r="B138" s="24">
        <v>137</v>
      </c>
      <c r="C138" s="25" t="s">
        <v>2904</v>
      </c>
      <c r="D138" t="s">
        <v>1579</v>
      </c>
      <c r="E138" t="s">
        <v>1732</v>
      </c>
    </row>
    <row r="139" spans="1:5">
      <c r="A139" t="s">
        <v>2078</v>
      </c>
      <c r="B139" s="24">
        <v>138</v>
      </c>
      <c r="C139" s="25" t="s">
        <v>2948</v>
      </c>
      <c r="D139" t="s">
        <v>1577</v>
      </c>
      <c r="E139" t="s">
        <v>1747</v>
      </c>
    </row>
    <row r="140" spans="1:5">
      <c r="A140" t="s">
        <v>2084</v>
      </c>
      <c r="B140" s="24">
        <v>139</v>
      </c>
      <c r="C140" s="25" t="s">
        <v>2948</v>
      </c>
      <c r="D140" t="s">
        <v>1564</v>
      </c>
      <c r="E140" t="s">
        <v>1781</v>
      </c>
    </row>
    <row r="141" spans="1:5">
      <c r="A141" t="s">
        <v>2171</v>
      </c>
      <c r="B141" s="24">
        <v>140</v>
      </c>
      <c r="C141" s="25" t="s">
        <v>2961</v>
      </c>
      <c r="D141" t="s">
        <v>1595</v>
      </c>
      <c r="E141" t="s">
        <v>1795</v>
      </c>
    </row>
    <row r="142" spans="1:5">
      <c r="A142" t="s">
        <v>2242</v>
      </c>
      <c r="B142" s="24">
        <v>141</v>
      </c>
      <c r="C142" s="25" t="s">
        <v>2961</v>
      </c>
      <c r="D142" t="s">
        <v>1595</v>
      </c>
      <c r="E142" t="s">
        <v>1805</v>
      </c>
    </row>
    <row r="143" spans="1:5">
      <c r="A143" t="s">
        <v>2211</v>
      </c>
      <c r="B143" s="24">
        <v>142</v>
      </c>
      <c r="C143" s="25" t="s">
        <v>2961</v>
      </c>
      <c r="D143" t="s">
        <v>1615</v>
      </c>
      <c r="E143" t="s">
        <v>1838</v>
      </c>
    </row>
    <row r="144" spans="1:5">
      <c r="A144" t="s">
        <v>2226</v>
      </c>
      <c r="B144" s="24">
        <v>143</v>
      </c>
      <c r="C144" s="25" t="s">
        <v>2961</v>
      </c>
      <c r="D144" t="s">
        <v>1634</v>
      </c>
      <c r="E144" t="s">
        <v>1851</v>
      </c>
    </row>
    <row r="145" spans="1:5">
      <c r="A145" t="s">
        <v>2220</v>
      </c>
      <c r="B145" s="24">
        <v>144</v>
      </c>
      <c r="C145" s="25" t="s">
        <v>2961</v>
      </c>
      <c r="D145" t="s">
        <v>1625</v>
      </c>
      <c r="E145" t="s">
        <v>1846</v>
      </c>
    </row>
    <row r="146" spans="1:5">
      <c r="A146" t="s">
        <v>2209</v>
      </c>
      <c r="B146" s="24">
        <v>145</v>
      </c>
      <c r="C146" s="25" t="s">
        <v>2966</v>
      </c>
      <c r="D146" t="s">
        <v>1625</v>
      </c>
      <c r="E146" t="s">
        <v>1878</v>
      </c>
    </row>
    <row r="147" spans="1:5">
      <c r="A147" t="s">
        <v>2264</v>
      </c>
      <c r="B147" s="24">
        <v>146</v>
      </c>
      <c r="C147" s="25" t="s">
        <v>3020</v>
      </c>
      <c r="D147" t="s">
        <v>1653</v>
      </c>
      <c r="E147" t="s">
        <v>1903</v>
      </c>
    </row>
    <row r="148" spans="1:5">
      <c r="A148" t="s">
        <v>2251</v>
      </c>
      <c r="B148" s="24">
        <v>147</v>
      </c>
      <c r="C148" s="25" t="s">
        <v>3020</v>
      </c>
      <c r="D148" t="s">
        <v>1651</v>
      </c>
      <c r="E148" t="s">
        <v>1906</v>
      </c>
    </row>
    <row r="149" spans="1:5">
      <c r="A149" t="s">
        <v>2261</v>
      </c>
      <c r="B149" s="24">
        <v>148</v>
      </c>
      <c r="C149" s="25" t="s">
        <v>3020</v>
      </c>
      <c r="D149" t="s">
        <v>1678</v>
      </c>
      <c r="E149" t="s">
        <v>1916</v>
      </c>
    </row>
    <row r="150" spans="1:5">
      <c r="A150" t="s">
        <v>2278</v>
      </c>
      <c r="B150" s="24">
        <v>149</v>
      </c>
      <c r="C150" s="25" t="s">
        <v>3020</v>
      </c>
      <c r="D150" t="s">
        <v>1713</v>
      </c>
      <c r="E150" t="s">
        <v>1957</v>
      </c>
    </row>
    <row r="151" spans="1:5">
      <c r="A151" t="s">
        <v>2280</v>
      </c>
      <c r="B151" s="24">
        <v>150</v>
      </c>
      <c r="C151" s="25" t="s">
        <v>3020</v>
      </c>
      <c r="D151" t="s">
        <v>1713</v>
      </c>
      <c r="E151" t="s">
        <v>1959</v>
      </c>
    </row>
    <row r="152" spans="1:5">
      <c r="A152" t="s">
        <v>2283</v>
      </c>
      <c r="B152" s="24">
        <v>151</v>
      </c>
      <c r="C152" s="25" t="s">
        <v>3020</v>
      </c>
      <c r="D152" t="s">
        <v>1711</v>
      </c>
      <c r="E152" t="s">
        <v>2003</v>
      </c>
    </row>
    <row r="153" spans="1:5">
      <c r="A153" t="s">
        <v>2347</v>
      </c>
      <c r="B153" s="24">
        <v>152</v>
      </c>
      <c r="C153" s="25" t="s">
        <v>3020</v>
      </c>
      <c r="D153" t="s">
        <v>1732</v>
      </c>
      <c r="E153" t="s">
        <v>2014</v>
      </c>
    </row>
    <row r="154" spans="1:5">
      <c r="A154" t="s">
        <v>2304</v>
      </c>
      <c r="B154" s="24">
        <v>153</v>
      </c>
      <c r="C154" s="25" t="s">
        <v>3020</v>
      </c>
      <c r="D154" t="s">
        <v>1750</v>
      </c>
      <c r="E154" t="s">
        <v>2019</v>
      </c>
    </row>
    <row r="155" spans="1:5">
      <c r="A155" t="s">
        <v>2310</v>
      </c>
      <c r="B155" s="24">
        <v>154</v>
      </c>
      <c r="C155" s="25" t="s">
        <v>3020</v>
      </c>
      <c r="D155" t="s">
        <v>1750</v>
      </c>
      <c r="E155" t="s">
        <v>2032</v>
      </c>
    </row>
    <row r="156" spans="1:5">
      <c r="A156" t="s">
        <v>2342</v>
      </c>
      <c r="B156" s="24">
        <v>155</v>
      </c>
      <c r="C156" s="25" t="s">
        <v>3020</v>
      </c>
      <c r="D156" t="s">
        <v>1750</v>
      </c>
      <c r="E156" t="s">
        <v>2053</v>
      </c>
    </row>
    <row r="157" spans="1:5">
      <c r="A157" t="s">
        <v>2324</v>
      </c>
      <c r="B157" s="24">
        <v>156</v>
      </c>
      <c r="C157" s="25" t="s">
        <v>3020</v>
      </c>
      <c r="D157" t="s">
        <v>1750</v>
      </c>
      <c r="E157" t="s">
        <v>2106</v>
      </c>
    </row>
    <row r="158" spans="1:5">
      <c r="A158" t="s">
        <v>2313</v>
      </c>
      <c r="B158" s="24">
        <v>157</v>
      </c>
      <c r="C158" s="25" t="s">
        <v>3088</v>
      </c>
      <c r="D158" t="s">
        <v>1781</v>
      </c>
      <c r="E158" t="s">
        <v>2107</v>
      </c>
    </row>
    <row r="159" spans="1:5">
      <c r="A159" t="s">
        <v>2349</v>
      </c>
      <c r="B159" s="24">
        <v>158</v>
      </c>
      <c r="C159" s="25" t="s">
        <v>3118</v>
      </c>
      <c r="D159" t="s">
        <v>1789</v>
      </c>
      <c r="E159" t="s">
        <v>2130</v>
      </c>
    </row>
    <row r="160" spans="1:5">
      <c r="A160" t="s">
        <v>2365</v>
      </c>
      <c r="B160" s="24">
        <v>159</v>
      </c>
      <c r="C160" s="25" t="s">
        <v>3118</v>
      </c>
      <c r="D160" t="s">
        <v>1805</v>
      </c>
      <c r="E160" t="s">
        <v>2115</v>
      </c>
    </row>
    <row r="161" spans="1:5">
      <c r="A161" t="s">
        <v>2329</v>
      </c>
      <c r="B161" s="24">
        <v>160</v>
      </c>
      <c r="C161" s="25" t="s">
        <v>3118</v>
      </c>
      <c r="D161" t="s">
        <v>1813</v>
      </c>
      <c r="E161" t="s">
        <v>2149</v>
      </c>
    </row>
    <row r="162" spans="1:5">
      <c r="A162" t="s">
        <v>2357</v>
      </c>
      <c r="B162" s="24">
        <v>161</v>
      </c>
      <c r="C162" s="25" t="s">
        <v>3118</v>
      </c>
      <c r="D162" t="s">
        <v>1838</v>
      </c>
      <c r="E162" t="s">
        <v>2155</v>
      </c>
    </row>
    <row r="163" spans="1:5">
      <c r="A163" t="s">
        <v>2403</v>
      </c>
      <c r="B163" s="24">
        <v>162</v>
      </c>
      <c r="C163" s="25" t="s">
        <v>3118</v>
      </c>
      <c r="D163" t="s">
        <v>1851</v>
      </c>
      <c r="E163" t="s">
        <v>2162</v>
      </c>
    </row>
    <row r="164" spans="1:5">
      <c r="A164" t="s">
        <v>2368</v>
      </c>
      <c r="B164" s="24">
        <v>163</v>
      </c>
      <c r="C164" s="25" t="s">
        <v>3118</v>
      </c>
      <c r="D164" t="s">
        <v>1846</v>
      </c>
      <c r="E164" t="s">
        <v>2165</v>
      </c>
    </row>
    <row r="165" spans="1:5">
      <c r="A165" t="s">
        <v>2388</v>
      </c>
      <c r="B165" s="24">
        <v>164</v>
      </c>
      <c r="C165" s="25" t="s">
        <v>3118</v>
      </c>
      <c r="D165" t="s">
        <v>1878</v>
      </c>
      <c r="E165" t="s">
        <v>2177</v>
      </c>
    </row>
    <row r="166" spans="1:5">
      <c r="A166" t="s">
        <v>2398</v>
      </c>
      <c r="B166" s="24">
        <v>165</v>
      </c>
      <c r="C166" s="25" t="s">
        <v>3118</v>
      </c>
      <c r="D166" t="s">
        <v>1872</v>
      </c>
      <c r="E166" t="s">
        <v>2179</v>
      </c>
    </row>
    <row r="167" spans="1:5">
      <c r="A167" t="s">
        <v>2400</v>
      </c>
      <c r="B167" s="24">
        <v>166</v>
      </c>
      <c r="C167" s="25" t="s">
        <v>3118</v>
      </c>
      <c r="D167" t="s">
        <v>1908</v>
      </c>
      <c r="E167" t="s">
        <v>2180</v>
      </c>
    </row>
    <row r="168" spans="1:5">
      <c r="A168" t="s">
        <v>2390</v>
      </c>
      <c r="B168" s="24">
        <v>167</v>
      </c>
      <c r="C168" s="25" t="s">
        <v>3123</v>
      </c>
      <c r="D168" t="s">
        <v>1951</v>
      </c>
      <c r="E168" t="s">
        <v>2189</v>
      </c>
    </row>
    <row r="169" spans="1:5">
      <c r="A169" t="s">
        <v>2386</v>
      </c>
      <c r="B169" s="24">
        <v>168</v>
      </c>
      <c r="C169" s="25" t="s">
        <v>3141</v>
      </c>
      <c r="D169" t="s">
        <v>1959</v>
      </c>
      <c r="E169" t="s">
        <v>2194</v>
      </c>
    </row>
    <row r="170" spans="1:5">
      <c r="A170" t="s">
        <v>2419</v>
      </c>
      <c r="B170" s="24">
        <v>169</v>
      </c>
      <c r="C170" s="25" t="s">
        <v>3191</v>
      </c>
      <c r="D170" t="s">
        <v>1993</v>
      </c>
      <c r="E170" t="s">
        <v>2196</v>
      </c>
    </row>
    <row r="171" spans="1:5">
      <c r="A171" t="s">
        <v>2440</v>
      </c>
      <c r="B171" s="24">
        <v>170</v>
      </c>
      <c r="C171" s="25" t="s">
        <v>3199</v>
      </c>
      <c r="D171" t="s">
        <v>1993</v>
      </c>
      <c r="E171" t="s">
        <v>2286</v>
      </c>
    </row>
    <row r="172" spans="1:5">
      <c r="A172" t="s">
        <v>2437</v>
      </c>
      <c r="B172" s="24">
        <v>171</v>
      </c>
      <c r="C172" s="25" t="s">
        <v>3244</v>
      </c>
      <c r="D172" t="s">
        <v>2019</v>
      </c>
      <c r="E172" t="s">
        <v>2296</v>
      </c>
    </row>
    <row r="173" spans="1:5">
      <c r="A173" t="s">
        <v>2454</v>
      </c>
      <c r="B173" s="24">
        <v>172</v>
      </c>
      <c r="C173" s="25" t="s">
        <v>3402</v>
      </c>
      <c r="D173" t="s">
        <v>2003</v>
      </c>
      <c r="E173" t="s">
        <v>2299</v>
      </c>
    </row>
    <row r="174" spans="1:5">
      <c r="A174" t="s">
        <v>2504</v>
      </c>
      <c r="B174" s="24">
        <v>173</v>
      </c>
      <c r="C174" s="25" t="s">
        <v>3402</v>
      </c>
      <c r="D174" t="s">
        <v>2053</v>
      </c>
      <c r="E174" t="s">
        <v>2334</v>
      </c>
    </row>
    <row r="175" spans="1:5">
      <c r="A175" t="s">
        <v>2483</v>
      </c>
      <c r="B175" s="24">
        <v>174</v>
      </c>
      <c r="C175" s="25" t="s">
        <v>3402</v>
      </c>
      <c r="D175" t="s">
        <v>2069</v>
      </c>
      <c r="E175" t="s">
        <v>2340</v>
      </c>
    </row>
    <row r="176" spans="1:5">
      <c r="A176" t="s">
        <v>2460</v>
      </c>
      <c r="B176" s="24">
        <v>175</v>
      </c>
      <c r="C176" s="25" t="s">
        <v>3418</v>
      </c>
      <c r="D176" t="s">
        <v>2131</v>
      </c>
      <c r="E176" t="s">
        <v>2363</v>
      </c>
    </row>
    <row r="177" spans="1:5">
      <c r="A177" t="s">
        <v>2476</v>
      </c>
      <c r="B177" s="24">
        <v>176</v>
      </c>
      <c r="C177" s="25" t="s">
        <v>3444</v>
      </c>
      <c r="D177" t="s">
        <v>2109</v>
      </c>
      <c r="E177" t="s">
        <v>2414</v>
      </c>
    </row>
    <row r="178" spans="1:5">
      <c r="A178" t="s">
        <v>2574</v>
      </c>
      <c r="B178" s="24">
        <v>177</v>
      </c>
      <c r="C178" s="25" t="s">
        <v>3444</v>
      </c>
      <c r="D178" t="s">
        <v>2115</v>
      </c>
      <c r="E178" t="s">
        <v>2425</v>
      </c>
    </row>
    <row r="179" spans="1:5">
      <c r="A179" t="s">
        <v>2551</v>
      </c>
      <c r="B179" s="24">
        <v>178</v>
      </c>
      <c r="C179" s="25" t="s">
        <v>3444</v>
      </c>
      <c r="D179" t="s">
        <v>2115</v>
      </c>
      <c r="E179" t="s">
        <v>2431</v>
      </c>
    </row>
    <row r="180" spans="1:5">
      <c r="A180" t="s">
        <v>2540</v>
      </c>
      <c r="B180" s="24">
        <v>179</v>
      </c>
      <c r="C180" s="25" t="s">
        <v>3451</v>
      </c>
      <c r="D180" t="s">
        <v>2115</v>
      </c>
      <c r="E180" t="s">
        <v>2468</v>
      </c>
    </row>
    <row r="181" spans="1:5">
      <c r="A181" t="s">
        <v>2557</v>
      </c>
      <c r="B181" s="24">
        <v>180</v>
      </c>
      <c r="C181" s="25" t="s">
        <v>3465</v>
      </c>
      <c r="D181" t="s">
        <v>2115</v>
      </c>
      <c r="E181" t="s">
        <v>2470</v>
      </c>
    </row>
    <row r="182" spans="1:5">
      <c r="A182" t="s">
        <v>2562</v>
      </c>
      <c r="B182" s="24">
        <v>181</v>
      </c>
      <c r="C182" s="25" t="s">
        <v>3544</v>
      </c>
      <c r="D182" t="s">
        <v>2115</v>
      </c>
      <c r="E182" t="s">
        <v>2471</v>
      </c>
    </row>
    <row r="183" spans="1:5">
      <c r="A183" t="s">
        <v>2555</v>
      </c>
      <c r="B183" s="24">
        <v>182</v>
      </c>
      <c r="C183" s="25" t="s">
        <v>3575</v>
      </c>
      <c r="D183" t="s">
        <v>2138</v>
      </c>
      <c r="E183" t="s">
        <v>2474</v>
      </c>
    </row>
    <row r="184" spans="1:5">
      <c r="A184" t="s">
        <v>2549</v>
      </c>
      <c r="B184" s="24">
        <v>183</v>
      </c>
      <c r="C184" s="25" t="s">
        <v>3578</v>
      </c>
      <c r="D184" t="s">
        <v>2107</v>
      </c>
      <c r="E184" t="s">
        <v>2488</v>
      </c>
    </row>
    <row r="185" spans="1:5">
      <c r="A185" t="s">
        <v>2566</v>
      </c>
      <c r="B185" s="24">
        <v>184</v>
      </c>
      <c r="C185" s="25" t="s">
        <v>3617</v>
      </c>
      <c r="D185" t="s">
        <v>2157</v>
      </c>
      <c r="E185" t="s">
        <v>2529</v>
      </c>
    </row>
    <row r="186" spans="1:5">
      <c r="A186" t="s">
        <v>2582</v>
      </c>
      <c r="D186" t="s">
        <v>2221</v>
      </c>
      <c r="E186" t="s">
        <v>2535</v>
      </c>
    </row>
    <row r="187" spans="1:5">
      <c r="A187" t="s">
        <v>2615</v>
      </c>
      <c r="D187" t="s">
        <v>2165</v>
      </c>
      <c r="E187" t="s">
        <v>2538</v>
      </c>
    </row>
    <row r="188" spans="1:5">
      <c r="A188" t="s">
        <v>2610</v>
      </c>
      <c r="D188" t="s">
        <v>2203</v>
      </c>
      <c r="E188" t="s">
        <v>2590</v>
      </c>
    </row>
    <row r="189" spans="1:5">
      <c r="A189" t="s">
        <v>2620</v>
      </c>
      <c r="D189" t="s">
        <v>2198</v>
      </c>
      <c r="E189" t="s">
        <v>2596</v>
      </c>
    </row>
    <row r="190" spans="1:5">
      <c r="A190" t="s">
        <v>2649</v>
      </c>
      <c r="D190" t="s">
        <v>2236</v>
      </c>
      <c r="E190" t="s">
        <v>2598</v>
      </c>
    </row>
    <row r="191" spans="1:5">
      <c r="A191" t="s">
        <v>2639</v>
      </c>
      <c r="D191" t="s">
        <v>2286</v>
      </c>
      <c r="E191" t="s">
        <v>2600</v>
      </c>
    </row>
    <row r="192" spans="1:5">
      <c r="A192" t="s">
        <v>2644</v>
      </c>
      <c r="D192" t="s">
        <v>2286</v>
      </c>
      <c r="E192" t="s">
        <v>2627</v>
      </c>
    </row>
    <row r="193" spans="1:5">
      <c r="A193" t="s">
        <v>2655</v>
      </c>
      <c r="D193" t="s">
        <v>2299</v>
      </c>
      <c r="E193" t="s">
        <v>2630</v>
      </c>
    </row>
    <row r="194" spans="1:5">
      <c r="A194" t="s">
        <v>2667</v>
      </c>
      <c r="D194" t="s">
        <v>2379</v>
      </c>
      <c r="E194" t="s">
        <v>2706</v>
      </c>
    </row>
    <row r="195" spans="1:5">
      <c r="A195" t="s">
        <v>2674</v>
      </c>
      <c r="D195" t="s">
        <v>2414</v>
      </c>
      <c r="E195" t="s">
        <v>2731</v>
      </c>
    </row>
    <row r="196" spans="1:5">
      <c r="A196" t="s">
        <v>2693</v>
      </c>
      <c r="D196" t="s">
        <v>2431</v>
      </c>
      <c r="E196" t="s">
        <v>2726</v>
      </c>
    </row>
    <row r="197" spans="1:5">
      <c r="A197" t="s">
        <v>2699</v>
      </c>
      <c r="D197" t="s">
        <v>2442</v>
      </c>
      <c r="E197" t="s">
        <v>2736</v>
      </c>
    </row>
    <row r="198" spans="1:5">
      <c r="A198" t="s">
        <v>2687</v>
      </c>
      <c r="D198" t="s">
        <v>2468</v>
      </c>
      <c r="E198" t="s">
        <v>2752</v>
      </c>
    </row>
    <row r="199" spans="1:5">
      <c r="A199" t="s">
        <v>2744</v>
      </c>
      <c r="D199" t="s">
        <v>2524</v>
      </c>
      <c r="E199" t="s">
        <v>2754</v>
      </c>
    </row>
    <row r="200" spans="1:5">
      <c r="A200" t="s">
        <v>2769</v>
      </c>
      <c r="D200" t="s">
        <v>2538</v>
      </c>
      <c r="E200" t="s">
        <v>2763</v>
      </c>
    </row>
    <row r="201" spans="1:5">
      <c r="A201" t="s">
        <v>2772</v>
      </c>
      <c r="D201" t="s">
        <v>2726</v>
      </c>
      <c r="E201" t="s">
        <v>2791</v>
      </c>
    </row>
    <row r="202" spans="1:5">
      <c r="A202" t="s">
        <v>2778</v>
      </c>
      <c r="D202" t="s">
        <v>2816</v>
      </c>
      <c r="E202" t="s">
        <v>2798</v>
      </c>
    </row>
    <row r="203" spans="1:5">
      <c r="A203" t="s">
        <v>2786</v>
      </c>
      <c r="D203" t="s">
        <v>2590</v>
      </c>
      <c r="E203" t="s">
        <v>2810</v>
      </c>
    </row>
    <row r="204" spans="1:5">
      <c r="A204" t="s">
        <v>2833</v>
      </c>
      <c r="D204" t="s">
        <v>2600</v>
      </c>
      <c r="E204" t="s">
        <v>2816</v>
      </c>
    </row>
    <row r="205" spans="1:5">
      <c r="A205" t="s">
        <v>2822</v>
      </c>
      <c r="D205" t="s">
        <v>2630</v>
      </c>
      <c r="E205" t="s">
        <v>2845</v>
      </c>
    </row>
    <row r="206" spans="1:5">
      <c r="A206" t="s">
        <v>2876</v>
      </c>
      <c r="D206" t="s">
        <v>2763</v>
      </c>
      <c r="E206" t="s">
        <v>2855</v>
      </c>
    </row>
    <row r="207" spans="1:5">
      <c r="A207" t="s">
        <v>2887</v>
      </c>
      <c r="D207" t="s">
        <v>2791</v>
      </c>
      <c r="E207" t="s">
        <v>2857</v>
      </c>
    </row>
    <row r="208" spans="1:5">
      <c r="A208" t="s">
        <v>2894</v>
      </c>
      <c r="D208" t="s">
        <v>2845</v>
      </c>
      <c r="E208" t="s">
        <v>2858</v>
      </c>
    </row>
    <row r="209" spans="1:5">
      <c r="A209" t="s">
        <v>2909</v>
      </c>
      <c r="D209" t="s">
        <v>2904</v>
      </c>
      <c r="E209" t="s">
        <v>2861</v>
      </c>
    </row>
    <row r="210" spans="1:5">
      <c r="A210" t="s">
        <v>2921</v>
      </c>
      <c r="D210" t="s">
        <v>2912</v>
      </c>
      <c r="E210" t="s">
        <v>2863</v>
      </c>
    </row>
    <row r="211" spans="1:5">
      <c r="A211" t="s">
        <v>2935</v>
      </c>
      <c r="D211" t="s">
        <v>2966</v>
      </c>
      <c r="E211" t="s">
        <v>2869</v>
      </c>
    </row>
    <row r="212" spans="1:5">
      <c r="A212" t="s">
        <v>2938</v>
      </c>
      <c r="D212" t="s">
        <v>2968</v>
      </c>
      <c r="E212" t="s">
        <v>2870</v>
      </c>
    </row>
    <row r="213" spans="1:5">
      <c r="A213" t="s">
        <v>2948</v>
      </c>
      <c r="D213" t="s">
        <v>3118</v>
      </c>
      <c r="E213" t="s">
        <v>2872</v>
      </c>
    </row>
    <row r="214" spans="1:5">
      <c r="A214" t="s">
        <v>2958</v>
      </c>
      <c r="D214" t="s">
        <v>3133</v>
      </c>
      <c r="E214" t="s">
        <v>2874</v>
      </c>
    </row>
    <row r="215" spans="1:5">
      <c r="A215" t="s">
        <v>2977</v>
      </c>
      <c r="D215" t="s">
        <v>3215</v>
      </c>
      <c r="E215" t="s">
        <v>2878</v>
      </c>
    </row>
    <row r="216" spans="1:5">
      <c r="A216" t="s">
        <v>2982</v>
      </c>
      <c r="D216" t="s">
        <v>420</v>
      </c>
      <c r="E216" t="s">
        <v>2892</v>
      </c>
    </row>
    <row r="217" spans="1:5">
      <c r="A217" t="s">
        <v>3026</v>
      </c>
      <c r="D217" t="s">
        <v>1404</v>
      </c>
      <c r="E217" t="s">
        <v>2893</v>
      </c>
    </row>
    <row r="218" spans="1:5">
      <c r="A218" t="s">
        <v>3038</v>
      </c>
      <c r="E218" t="s">
        <v>2904</v>
      </c>
    </row>
    <row r="219" spans="1:5">
      <c r="A219" t="s">
        <v>3047</v>
      </c>
      <c r="E219" t="s">
        <v>2912</v>
      </c>
    </row>
    <row r="220" spans="1:5">
      <c r="A220" t="s">
        <v>3062</v>
      </c>
      <c r="E220" t="s">
        <v>2919</v>
      </c>
    </row>
    <row r="221" spans="1:5">
      <c r="A221" t="s">
        <v>3069</v>
      </c>
      <c r="E221" t="s">
        <v>2923</v>
      </c>
    </row>
    <row r="222" spans="1:5">
      <c r="A222" t="s">
        <v>3081</v>
      </c>
      <c r="E222" t="s">
        <v>2950</v>
      </c>
    </row>
    <row r="223" spans="1:5">
      <c r="A223" t="s">
        <v>3088</v>
      </c>
      <c r="E223" t="s">
        <v>2961</v>
      </c>
    </row>
    <row r="224" spans="1:5">
      <c r="A224" t="s">
        <v>3098</v>
      </c>
      <c r="E224" t="s">
        <v>2962</v>
      </c>
    </row>
    <row r="225" spans="1:5">
      <c r="A225" t="s">
        <v>3123</v>
      </c>
      <c r="E225" t="s">
        <v>2964</v>
      </c>
    </row>
    <row r="226" spans="1:5">
      <c r="A226" t="s">
        <v>3141</v>
      </c>
      <c r="E226" t="s">
        <v>2966</v>
      </c>
    </row>
    <row r="227" spans="1:5">
      <c r="A227" t="s">
        <v>3152</v>
      </c>
      <c r="E227" t="s">
        <v>3003</v>
      </c>
    </row>
    <row r="228" spans="1:5">
      <c r="A228" t="s">
        <v>3148</v>
      </c>
      <c r="E228" t="s">
        <v>2998</v>
      </c>
    </row>
    <row r="229" spans="1:5">
      <c r="A229" t="s">
        <v>3125</v>
      </c>
      <c r="E229" t="s">
        <v>3006</v>
      </c>
    </row>
    <row r="230" spans="1:5">
      <c r="A230" t="s">
        <v>3169</v>
      </c>
      <c r="E230" t="s">
        <v>3009</v>
      </c>
    </row>
    <row r="231" spans="1:5">
      <c r="A231" t="s">
        <v>3163</v>
      </c>
      <c r="E231" t="s">
        <v>3020</v>
      </c>
    </row>
    <row r="232" spans="1:5">
      <c r="A232" t="s">
        <v>3174</v>
      </c>
      <c r="E232" t="s">
        <v>3044</v>
      </c>
    </row>
    <row r="233" spans="1:5">
      <c r="A233" t="s">
        <v>3182</v>
      </c>
      <c r="E233" t="s">
        <v>3056</v>
      </c>
    </row>
    <row r="234" spans="1:5">
      <c r="A234" t="s">
        <v>3193</v>
      </c>
      <c r="E234" t="s">
        <v>3059</v>
      </c>
    </row>
    <row r="235" spans="1:5">
      <c r="A235" t="s">
        <v>3191</v>
      </c>
      <c r="E235" t="s">
        <v>3085</v>
      </c>
    </row>
    <row r="236" spans="1:5">
      <c r="A236" t="s">
        <v>3201</v>
      </c>
      <c r="E236" t="s">
        <v>3101</v>
      </c>
    </row>
    <row r="237" spans="1:5">
      <c r="A237" t="s">
        <v>3238</v>
      </c>
      <c r="E237" t="s">
        <v>3118</v>
      </c>
    </row>
    <row r="238" spans="1:5">
      <c r="A238" t="s">
        <v>3229</v>
      </c>
      <c r="E238" t="s">
        <v>3133</v>
      </c>
    </row>
    <row r="239" spans="1:5">
      <c r="A239" t="s">
        <v>3235</v>
      </c>
      <c r="E239" t="s">
        <v>3150</v>
      </c>
    </row>
    <row r="240" spans="1:5">
      <c r="A240" t="s">
        <v>3240</v>
      </c>
      <c r="E240" t="s">
        <v>3151</v>
      </c>
    </row>
    <row r="241" spans="1:5">
      <c r="A241" t="s">
        <v>3244</v>
      </c>
      <c r="E241" t="s">
        <v>3199</v>
      </c>
    </row>
    <row r="242" spans="1:5">
      <c r="A242" t="s">
        <v>3242</v>
      </c>
      <c r="E242" t="s">
        <v>3212</v>
      </c>
    </row>
    <row r="243" spans="1:5">
      <c r="A243" t="s">
        <v>3254</v>
      </c>
      <c r="E243" t="s">
        <v>3220</v>
      </c>
    </row>
    <row r="244" spans="1:5">
      <c r="A244" t="s">
        <v>3364</v>
      </c>
      <c r="E244" t="s">
        <v>3225</v>
      </c>
    </row>
    <row r="245" spans="1:5">
      <c r="A245" t="s">
        <v>3297</v>
      </c>
      <c r="E245" t="s">
        <v>3227</v>
      </c>
    </row>
    <row r="246" spans="1:5">
      <c r="A246" t="s">
        <v>3303</v>
      </c>
      <c r="E246" t="s">
        <v>3266</v>
      </c>
    </row>
    <row r="247" spans="1:5">
      <c r="A247" t="s">
        <v>3310</v>
      </c>
      <c r="E247" t="s">
        <v>3280</v>
      </c>
    </row>
    <row r="248" spans="1:5">
      <c r="A248" t="s">
        <v>3306</v>
      </c>
      <c r="E248" t="s">
        <v>3286</v>
      </c>
    </row>
    <row r="249" spans="1:5">
      <c r="A249" t="s">
        <v>3323</v>
      </c>
      <c r="E249" t="s">
        <v>3289</v>
      </c>
    </row>
    <row r="250" spans="1:5">
      <c r="A250" t="s">
        <v>3325</v>
      </c>
      <c r="E250" t="s">
        <v>3292</v>
      </c>
    </row>
    <row r="251" spans="1:5">
      <c r="A251" t="s">
        <v>3340</v>
      </c>
      <c r="E251" t="s">
        <v>3295</v>
      </c>
    </row>
    <row r="252" spans="1:5">
      <c r="A252" t="s">
        <v>3347</v>
      </c>
      <c r="E252" t="s">
        <v>3308</v>
      </c>
    </row>
    <row r="253" spans="1:5">
      <c r="A253" t="s">
        <v>3353</v>
      </c>
      <c r="E253" t="s">
        <v>3320</v>
      </c>
    </row>
    <row r="254" spans="1:5">
      <c r="A254" t="s">
        <v>3361</v>
      </c>
      <c r="E254" t="s">
        <v>3334</v>
      </c>
    </row>
    <row r="255" spans="1:5">
      <c r="A255" t="s">
        <v>3366</v>
      </c>
      <c r="E255" t="s">
        <v>3343</v>
      </c>
    </row>
    <row r="256" spans="1:5">
      <c r="A256" t="s">
        <v>3412</v>
      </c>
      <c r="E256" t="s">
        <v>3369</v>
      </c>
    </row>
    <row r="257" spans="1:5">
      <c r="A257" t="s">
        <v>3406</v>
      </c>
      <c r="E257" t="s">
        <v>3399</v>
      </c>
    </row>
    <row r="258" spans="1:5">
      <c r="A258" t="s">
        <v>3377</v>
      </c>
      <c r="E258" t="s">
        <v>3402</v>
      </c>
    </row>
    <row r="259" spans="1:5">
      <c r="A259" t="s">
        <v>3380</v>
      </c>
      <c r="E259" t="s">
        <v>3409</v>
      </c>
    </row>
    <row r="260" spans="1:5">
      <c r="A260" t="s">
        <v>3388</v>
      </c>
      <c r="E260" t="s">
        <v>3418</v>
      </c>
    </row>
    <row r="261" spans="1:5">
      <c r="A261" t="s">
        <v>3394</v>
      </c>
      <c r="E261" t="s">
        <v>3432</v>
      </c>
    </row>
    <row r="262" spans="1:5">
      <c r="A262" t="s">
        <v>3415</v>
      </c>
      <c r="E262" t="s">
        <v>3444</v>
      </c>
    </row>
    <row r="263" spans="1:5">
      <c r="A263" t="s">
        <v>3420</v>
      </c>
      <c r="E263" t="s">
        <v>3448</v>
      </c>
    </row>
    <row r="264" spans="1:5">
      <c r="A264" t="s">
        <v>3424</v>
      </c>
      <c r="E264" t="s">
        <v>3451</v>
      </c>
    </row>
    <row r="265" spans="1:5">
      <c r="A265" t="s">
        <v>3434</v>
      </c>
      <c r="E265" t="s">
        <v>3452</v>
      </c>
    </row>
    <row r="266" spans="1:5">
      <c r="A266" t="s">
        <v>3427</v>
      </c>
      <c r="E266" t="s">
        <v>3478</v>
      </c>
    </row>
    <row r="267" spans="1:5">
      <c r="A267" t="s">
        <v>3430</v>
      </c>
      <c r="E267" t="s">
        <v>3501</v>
      </c>
    </row>
    <row r="268" spans="1:5">
      <c r="A268" t="s">
        <v>3442</v>
      </c>
      <c r="E268" t="s">
        <v>3515</v>
      </c>
    </row>
    <row r="269" spans="1:5">
      <c r="A269" t="s">
        <v>3475</v>
      </c>
      <c r="E269" t="s">
        <v>3523</v>
      </c>
    </row>
    <row r="270" spans="1:5">
      <c r="A270" t="s">
        <v>3462</v>
      </c>
      <c r="E270" t="s">
        <v>3532</v>
      </c>
    </row>
    <row r="271" spans="1:5">
      <c r="A271" t="s">
        <v>3465</v>
      </c>
      <c r="E271" t="s">
        <v>3535</v>
      </c>
    </row>
    <row r="272" spans="1:5">
      <c r="A272" t="s">
        <v>3489</v>
      </c>
      <c r="E272" t="s">
        <v>3544</v>
      </c>
    </row>
    <row r="273" spans="1:5">
      <c r="A273" t="s">
        <v>3499</v>
      </c>
      <c r="E273" t="s">
        <v>3556</v>
      </c>
    </row>
    <row r="274" spans="1:5">
      <c r="A274" t="s">
        <v>3494</v>
      </c>
      <c r="E274" t="s">
        <v>3558</v>
      </c>
    </row>
    <row r="275" spans="1:5">
      <c r="A275" t="s">
        <v>3507</v>
      </c>
      <c r="E275" t="s">
        <v>3575</v>
      </c>
    </row>
    <row r="276" spans="1:5">
      <c r="A276" t="s">
        <v>3517</v>
      </c>
      <c r="E276" t="s">
        <v>3578</v>
      </c>
    </row>
    <row r="277" spans="1:5">
      <c r="A277" t="s">
        <v>3514</v>
      </c>
      <c r="E277" t="s">
        <v>3586</v>
      </c>
    </row>
    <row r="278" spans="1:5">
      <c r="A278" t="s">
        <v>3520</v>
      </c>
      <c r="E278" t="s">
        <v>3605</v>
      </c>
    </row>
    <row r="279" spans="1:5">
      <c r="A279" t="s">
        <v>3526</v>
      </c>
      <c r="E279" t="s">
        <v>3614</v>
      </c>
    </row>
    <row r="280" spans="1:5">
      <c r="A280" t="s">
        <v>3529</v>
      </c>
      <c r="E280" t="s">
        <v>3645</v>
      </c>
    </row>
    <row r="281" spans="1:5">
      <c r="A281" t="s">
        <v>3536</v>
      </c>
      <c r="E281" t="s">
        <v>3649</v>
      </c>
    </row>
    <row r="282" spans="1:5">
      <c r="A282" t="s">
        <v>3541</v>
      </c>
      <c r="E282" t="s">
        <v>3659</v>
      </c>
    </row>
    <row r="283" spans="1:5">
      <c r="A283" t="s">
        <v>3538</v>
      </c>
      <c r="E283" t="s">
        <v>3667</v>
      </c>
    </row>
    <row r="284" spans="1:5">
      <c r="A284" t="s">
        <v>3547</v>
      </c>
      <c r="E284" t="s">
        <v>3682</v>
      </c>
    </row>
    <row r="285" spans="1:5">
      <c r="A285" t="s">
        <v>3551</v>
      </c>
      <c r="E285" t="s">
        <v>3684</v>
      </c>
    </row>
    <row r="286" spans="1:5">
      <c r="A286" t="s">
        <v>3554</v>
      </c>
      <c r="E286" t="s">
        <v>3687</v>
      </c>
    </row>
    <row r="287" spans="1:5">
      <c r="A287" t="s">
        <v>3567</v>
      </c>
      <c r="E287" t="s">
        <v>3695</v>
      </c>
    </row>
    <row r="288" spans="1:5">
      <c r="A288" t="s">
        <v>3561</v>
      </c>
      <c r="E288" t="s">
        <v>3701</v>
      </c>
    </row>
    <row r="289" spans="1:5">
      <c r="A289" t="s">
        <v>3573</v>
      </c>
      <c r="E289" t="s">
        <v>3717</v>
      </c>
    </row>
    <row r="290" spans="1:5">
      <c r="A290" t="s">
        <v>3597</v>
      </c>
      <c r="E290" t="s">
        <v>3720</v>
      </c>
    </row>
    <row r="291" spans="1:5">
      <c r="A291" t="s">
        <v>3603</v>
      </c>
      <c r="E291" t="s">
        <v>3722</v>
      </c>
    </row>
    <row r="292" spans="1:5">
      <c r="A292" t="s">
        <v>3608</v>
      </c>
      <c r="E292" t="s">
        <v>3740</v>
      </c>
    </row>
    <row r="293" spans="1:5">
      <c r="A293" t="s">
        <v>3617</v>
      </c>
      <c r="E293" t="s">
        <v>3752</v>
      </c>
    </row>
    <row r="294" spans="1:5">
      <c r="A294" t="s">
        <v>3622</v>
      </c>
      <c r="E294" t="s">
        <v>3755</v>
      </c>
    </row>
    <row r="295" spans="1:5">
      <c r="A295" t="s">
        <v>3620</v>
      </c>
      <c r="E295" t="s">
        <v>3758</v>
      </c>
    </row>
    <row r="296" spans="1:5">
      <c r="A296" t="s">
        <v>3633</v>
      </c>
      <c r="E296" t="s">
        <v>3760</v>
      </c>
    </row>
    <row r="297" spans="1:5">
      <c r="A297" t="s">
        <v>3636</v>
      </c>
      <c r="E297" t="s">
        <v>3771</v>
      </c>
    </row>
    <row r="298" spans="1:5">
      <c r="A298" t="s">
        <v>3639</v>
      </c>
      <c r="E298" t="s">
        <v>3779</v>
      </c>
    </row>
    <row r="299" spans="1:5">
      <c r="A299" t="s">
        <v>3642</v>
      </c>
      <c r="E299" t="s">
        <v>3783</v>
      </c>
    </row>
    <row r="300" spans="1:5">
      <c r="A300" t="s">
        <v>3652</v>
      </c>
      <c r="E300" t="s">
        <v>3792</v>
      </c>
    </row>
    <row r="301" spans="1:5">
      <c r="A301" t="s">
        <v>3647</v>
      </c>
      <c r="E301" t="s">
        <v>3797</v>
      </c>
    </row>
    <row r="302" spans="1:5">
      <c r="A302" t="s">
        <v>3650</v>
      </c>
      <c r="E302" t="s">
        <v>3817</v>
      </c>
    </row>
    <row r="303" spans="1:5">
      <c r="A303" t="s">
        <v>3662</v>
      </c>
      <c r="E303" t="s">
        <v>3826</v>
      </c>
    </row>
    <row r="304" spans="1:5">
      <c r="A304" t="s">
        <v>3664</v>
      </c>
      <c r="E304" t="s">
        <v>3828</v>
      </c>
    </row>
    <row r="305" spans="1:5">
      <c r="A305" t="s">
        <v>3672</v>
      </c>
      <c r="E305" t="s">
        <v>3833</v>
      </c>
    </row>
    <row r="306" spans="1:5">
      <c r="A306" t="s">
        <v>3675</v>
      </c>
      <c r="E306" t="s">
        <v>3835</v>
      </c>
    </row>
    <row r="307" spans="1:5">
      <c r="A307" t="s">
        <v>3688</v>
      </c>
    </row>
    <row r="308" spans="1:5">
      <c r="A308" t="s">
        <v>3742</v>
      </c>
    </row>
    <row r="309" spans="1:5">
      <c r="A309" t="s">
        <v>3698</v>
      </c>
    </row>
    <row r="310" spans="1:5">
      <c r="A310" t="s">
        <v>3706</v>
      </c>
    </row>
    <row r="311" spans="1:5">
      <c r="A311" t="s">
        <v>3708</v>
      </c>
    </row>
    <row r="312" spans="1:5">
      <c r="A312" t="s">
        <v>3710</v>
      </c>
    </row>
    <row r="313" spans="1:5">
      <c r="A313" t="s">
        <v>3715</v>
      </c>
    </row>
    <row r="314" spans="1:5">
      <c r="A314" t="s">
        <v>3713</v>
      </c>
    </row>
    <row r="315" spans="1:5">
      <c r="A315" t="s">
        <v>3725</v>
      </c>
    </row>
    <row r="316" spans="1:5">
      <c r="A316" t="s">
        <v>3728</v>
      </c>
    </row>
    <row r="317" spans="1:5">
      <c r="A317" t="s">
        <v>3735</v>
      </c>
    </row>
    <row r="318" spans="1:5">
      <c r="A318" t="s">
        <v>3745</v>
      </c>
    </row>
    <row r="319" spans="1:5">
      <c r="A319" t="s">
        <v>3747</v>
      </c>
    </row>
    <row r="320" spans="1:5">
      <c r="A320" t="s">
        <v>3750</v>
      </c>
    </row>
    <row r="321" spans="1:1">
      <c r="A321" t="s">
        <v>3767</v>
      </c>
    </row>
    <row r="322" spans="1:1">
      <c r="A322" t="s">
        <v>3762</v>
      </c>
    </row>
    <row r="323" spans="1:1">
      <c r="A323" t="s">
        <v>3774</v>
      </c>
    </row>
    <row r="324" spans="1:1">
      <c r="A324" t="s">
        <v>3786</v>
      </c>
    </row>
    <row r="325" spans="1:1">
      <c r="A325" t="s">
        <v>3794</v>
      </c>
    </row>
    <row r="326" spans="1:1">
      <c r="A326" t="s">
        <v>3814</v>
      </c>
    </row>
    <row r="327" spans="1:1">
      <c r="A327" t="s">
        <v>3812</v>
      </c>
    </row>
    <row r="328" spans="1:1">
      <c r="A328" t="s">
        <v>3800</v>
      </c>
    </row>
    <row r="329" spans="1:1">
      <c r="A329" t="s">
        <v>3820</v>
      </c>
    </row>
    <row r="330" spans="1:1">
      <c r="A330" t="s">
        <v>3831</v>
      </c>
    </row>
    <row r="331" spans="1:1">
      <c r="A331" t="s">
        <v>3842</v>
      </c>
    </row>
    <row r="332" spans="1:1">
      <c r="A332" t="s">
        <v>3823</v>
      </c>
    </row>
    <row r="333" spans="1:1">
      <c r="A333" t="s">
        <v>3824</v>
      </c>
    </row>
  </sheetData>
  <sortState xmlns:xlrd2="http://schemas.microsoft.com/office/spreadsheetml/2017/richdata2" ref="A2:A333">
    <sortCondition ref="A2:A333"/>
  </sortState>
  <pageMargins left="0.7" right="0.7" top="0.75" bottom="0.75" header="0.3" footer="0.3"/>
</worksheet>
</file>

<file path=docMetadata/LabelInfo.xml><?xml version="1.0" encoding="utf-8"?>
<clbl:labelList xmlns:clbl="http://schemas.microsoft.com/office/2020/mipLabelMetadata">
  <clbl:label id="{e5b49634-450b-4709-8abb-1e2b19b982b7}" enabled="0" method="" siteId="{e5b49634-450b-4709-8abb-1e2b19b982b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PCN Correspondence</vt:lpstr>
      <vt:lpstr>RA index</vt:lpstr>
      <vt:lpstr>snapshot</vt:lpstr>
      <vt:lpstr>PCN upload status</vt:lpstr>
      <vt:lpstr>Aki care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TI–Delta PCN and RA correspondence review</dc:title>
  <dc:subject>Exact material-level mapping of TI PCNs, Delta forms, and RA availability</dc:subject>
  <dc:creator>OpenAI Codex</dc:creator>
  <cp:lastModifiedBy>wanchuan Lin</cp:lastModifiedBy>
  <dcterms:created xsi:type="dcterms:W3CDTF">2026-08-18T04:36:03Z</dcterms:created>
  <dcterms:modified xsi:type="dcterms:W3CDTF">2026-08-27T12:47:37Z</dcterms:modified>
</cp:coreProperties>
</file>